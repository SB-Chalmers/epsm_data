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200" windowHeight="20100" tabRatio="600" firstSheet="2" activeTab="4" autoFilterDateGrouping="1"/>
  </bookViews>
  <sheets>
    <sheet name="Progress Notes" sheetId="1" state="visible" r:id="rId1"/>
    <sheet name="Legend" sheetId="2" state="visible" r:id="rId2"/>
    <sheet name="Opaque_Materials" sheetId="3" state="visible" r:id="rId3"/>
    <sheet name="Window_Materials" sheetId="4" state="visible" r:id="rId4"/>
    <sheet name="Layers" sheetId="5" state="visible" r:id="rId5"/>
    <sheet name="Components" sheetId="6" state="visible" r:id="rId6"/>
    <sheet name="Elements" sheetId="7" state="visible" r:id="rId7"/>
    <sheet name="Building" sheetId="8" state="visible" r:id="rId8"/>
    <sheet name="Dropdowns" sheetId="9" state="visible" r:id="rId9"/>
  </sheets>
  <externalReferences>
    <externalReference r:id="rId10"/>
  </externalReferences>
  <definedNames>
    <definedName name="building_layer">[1]Dropdowns!$D$5:$D$7</definedName>
    <definedName name="Densities">[1]Densities!$A$4:$E$410</definedName>
    <definedName name="dimension_calc">[1]Dropdowns!$T$5:$T$8</definedName>
    <definedName name="Level1_matcat">[1]Material_classif_dropdowns!$B$5:$B$14</definedName>
    <definedName name="Material_categories">'[1]Crossmatch material classific.'!$A$1:$Z$491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[$-F800]dddd\,\ mmmm\ dd\,\ yyyy"/>
  </numFmts>
  <fonts count="21">
    <font>
      <name val="Aptos Narrow"/>
      <family val="2"/>
      <color theme="1"/>
      <sz val="12"/>
      <scheme val="minor"/>
    </font>
    <font>
      <name val="Calibri"/>
      <family val="2"/>
      <b val="1"/>
      <sz val="12"/>
    </font>
    <font>
      <name val="Calibri"/>
      <family val="2"/>
      <b val="1"/>
      <i val="1"/>
      <sz val="12"/>
    </font>
    <font>
      <name val="Calibri"/>
      <family val="2"/>
      <color rgb="FF000000"/>
      <sz val="11"/>
    </font>
    <font>
      <name val="Calibri"/>
      <family val="2"/>
      <color rgb="FF000000"/>
      <sz val="12"/>
    </font>
    <font>
      <name val="Calibri"/>
      <family val="2"/>
      <color rgb="FF434343"/>
      <sz val="11"/>
    </font>
    <font>
      <name val="Calibri"/>
      <family val="2"/>
      <color theme="1"/>
      <sz val="11"/>
    </font>
    <font>
      <name val="Calibri"/>
      <family val="2"/>
      <color theme="1"/>
      <sz val="12"/>
    </font>
    <font>
      <name val="Calibri"/>
      <family val="2"/>
      <i val="1"/>
      <sz val="12"/>
    </font>
    <font>
      <name val="Calibri"/>
      <family val="2"/>
      <b val="1"/>
      <sz val="11"/>
    </font>
    <font>
      <name val="Calibri"/>
      <family val="2"/>
      <i val="1"/>
      <sz val="11"/>
    </font>
    <font>
      <name val="Calibri"/>
      <family val="2"/>
      <color rgb="FF333333"/>
      <sz val="11"/>
    </font>
    <font>
      <name val="Calibri"/>
      <family val="2"/>
      <b val="1"/>
      <color rgb="FF000000"/>
      <sz val="12"/>
    </font>
    <font>
      <name val="Aptos Narrow"/>
      <b val="1"/>
      <color theme="1"/>
      <sz val="12"/>
      <scheme val="minor"/>
    </font>
    <font>
      <name val="Aptos Narrow"/>
      <i val="1"/>
      <color theme="1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00000"/>
      <sz val="12"/>
      <scheme val="minor"/>
    </font>
    <font>
      <name val="Calibri"/>
      <family val="2"/>
      <sz val="12"/>
    </font>
    <font>
      <name val="Aptos Narrow"/>
      <family val="2"/>
      <sz val="12"/>
      <scheme val="minor"/>
    </font>
    <font>
      <name val="Aptos Narrow"/>
      <color theme="1"/>
      <sz val="12"/>
      <scheme val="minor"/>
    </font>
    <font>
      <name val="Tahoma"/>
      <family val="2"/>
      <color rgb="FF000000"/>
      <sz val="10"/>
    </font>
  </fonts>
  <fills count="24">
    <fill>
      <patternFill/>
    </fill>
    <fill>
      <patternFill patternType="gray125"/>
    </fill>
    <fill>
      <patternFill patternType="solid">
        <fgColor rgb="FF808080"/>
      </patternFill>
    </fill>
    <fill>
      <patternFill patternType="solid">
        <fgColor rgb="FFD3D3D3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249977111117893"/>
        <bgColor rgb="FF000000"/>
      </patternFill>
    </fill>
    <fill>
      <patternFill patternType="solid">
        <fgColor theme="2" tint="-0.09997863704336681"/>
        <bgColor rgb="FF000000"/>
      </patternFill>
    </fill>
    <fill>
      <patternFill patternType="solid">
        <fgColor rgb="FFFFFD78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3999755851924192"/>
        <bgColor rgb="FF000000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rgb="FF000000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0" fontId="7" fillId="6" borderId="0" pivotButton="0" quotePrefix="0" xfId="0"/>
    <xf numFmtId="0" fontId="3" fillId="0" borderId="3" pivotButton="0" quotePrefix="0" xfId="0"/>
    <xf numFmtId="0" fontId="3" fillId="0" borderId="6" pivotButton="0" quotePrefix="0" xfId="0"/>
    <xf numFmtId="0" fontId="9" fillId="2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 wrapText="1"/>
    </xf>
    <xf numFmtId="0" fontId="5" fillId="0" borderId="5" pivotButton="0" quotePrefix="0" xfId="0"/>
    <xf numFmtId="0" fontId="6" fillId="0" borderId="5" pivotButton="0" quotePrefix="0" xfId="0"/>
    <xf numFmtId="0" fontId="4" fillId="0" borderId="1" pivotButton="0" quotePrefix="0" xfId="0"/>
    <xf numFmtId="0" fontId="13" fillId="4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4" fillId="9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left" vertical="center" wrapText="1"/>
    </xf>
    <xf numFmtId="164" fontId="0" fillId="9" borderId="1" applyAlignment="1" pivotButton="0" quotePrefix="0" xfId="0">
      <alignment horizontal="left" vertical="center"/>
    </xf>
    <xf numFmtId="0" fontId="7" fillId="9" borderId="1" applyAlignment="1" pivotButton="0" quotePrefix="0" xfId="0">
      <alignment horizontal="left" vertical="center" wrapText="1"/>
    </xf>
    <xf numFmtId="164" fontId="0" fillId="10" borderId="1" applyAlignment="1" pivotButton="0" quotePrefix="0" xfId="0">
      <alignment horizontal="left" vertical="center"/>
    </xf>
    <xf numFmtId="0" fontId="3" fillId="9" borderId="1" applyAlignment="1" pivotButton="0" quotePrefix="0" xfId="0">
      <alignment wrapText="1"/>
    </xf>
    <xf numFmtId="0" fontId="0" fillId="10" borderId="1" applyAlignment="1" pivotButton="0" quotePrefix="0" xfId="0">
      <alignment horizontal="left" vertical="center" wrapText="1"/>
    </xf>
    <xf numFmtId="0" fontId="7" fillId="8" borderId="0" pivotButton="0" quotePrefix="0" xfId="0"/>
    <xf numFmtId="0" fontId="0" fillId="8" borderId="0" pivotButton="0" quotePrefix="0" xfId="0"/>
    <xf numFmtId="0" fontId="3" fillId="8" borderId="0" pivotButton="0" quotePrefix="0" xfId="0"/>
    <xf numFmtId="0" fontId="4" fillId="8" borderId="0" pivotButton="0" quotePrefix="0" xfId="0"/>
    <xf numFmtId="16" fontId="7" fillId="8" borderId="0" pivotButton="0" quotePrefix="0" xfId="0"/>
    <xf numFmtId="0" fontId="0" fillId="8" borderId="1" pivotButton="0" quotePrefix="0" xfId="0"/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/>
    </xf>
    <xf numFmtId="0" fontId="0" fillId="12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7" fillId="0" borderId="5" pivotButton="0" quotePrefix="0" xfId="0"/>
    <xf numFmtId="0" fontId="8" fillId="5" borderId="1" applyAlignment="1" pivotButton="0" quotePrefix="0" xfId="0">
      <alignment horizontal="left" vertical="center" wrapText="1"/>
    </xf>
    <xf numFmtId="0" fontId="4" fillId="8" borderId="1" pivotButton="0" quotePrefix="0" xfId="0"/>
    <xf numFmtId="0" fontId="18" fillId="0" borderId="4" applyAlignment="1" pivotButton="0" quotePrefix="0" xfId="0">
      <alignment horizontal="right" vertical="center"/>
    </xf>
    <xf numFmtId="0" fontId="4" fillId="11" borderId="5" applyAlignment="1" pivotButton="0" quotePrefix="0" xfId="0">
      <alignment horizontal="right"/>
    </xf>
    <xf numFmtId="0" fontId="0" fillId="8" borderId="4" pivotButton="0" quotePrefix="0" xfId="0"/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13" fillId="12" borderId="1" pivotButton="0" quotePrefix="0" xfId="0"/>
    <xf numFmtId="0" fontId="14" fillId="5" borderId="1" applyAlignment="1" pivotButton="0" quotePrefix="0" xfId="0">
      <alignment horizontal="left" vertical="center" wrapText="1"/>
    </xf>
    <xf numFmtId="0" fontId="1" fillId="12" borderId="1" applyAlignment="1" pivotButton="0" quotePrefix="0" xfId="0">
      <alignment horizontal="center" vertical="center"/>
    </xf>
    <xf numFmtId="0" fontId="1" fillId="12" borderId="2" applyAlignment="1" pivotButton="0" quotePrefix="0" xfId="0">
      <alignment horizontal="center" vertical="center"/>
    </xf>
    <xf numFmtId="0" fontId="1" fillId="12" borderId="6" applyAlignment="1" pivotButton="0" quotePrefix="0" xfId="0">
      <alignment horizontal="center" vertical="center"/>
    </xf>
    <xf numFmtId="0" fontId="8" fillId="5" borderId="3" applyAlignment="1" pivotButton="0" quotePrefix="0" xfId="0">
      <alignment horizontal="left" vertical="center" wrapText="1"/>
    </xf>
    <xf numFmtId="0" fontId="1" fillId="12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10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16" fillId="16" borderId="1" applyAlignment="1" pivotButton="0" quotePrefix="0" xfId="0">
      <alignment horizontal="left" vertical="center" wrapText="1"/>
    </xf>
    <xf numFmtId="0" fontId="19" fillId="8" borderId="0" pivotButton="0" quotePrefix="0" xfId="0"/>
    <xf numFmtId="164" fontId="0" fillId="17" borderId="1" applyAlignment="1" pivotButton="0" quotePrefix="0" xfId="0">
      <alignment horizontal="left" vertical="center"/>
    </xf>
    <xf numFmtId="0" fontId="0" fillId="17" borderId="1" applyAlignment="1" pivotButton="0" quotePrefix="0" xfId="0">
      <alignment horizontal="left" vertical="center"/>
    </xf>
    <xf numFmtId="0" fontId="0" fillId="17" borderId="1" applyAlignment="1" pivotButton="0" quotePrefix="0" xfId="0">
      <alignment horizontal="left" vertical="center" wrapText="1"/>
    </xf>
    <xf numFmtId="0" fontId="4" fillId="18" borderId="1" pivotButton="0" quotePrefix="0" xfId="0"/>
    <xf numFmtId="0" fontId="0" fillId="19" borderId="1" pivotButton="0" quotePrefix="0" xfId="0"/>
    <xf numFmtId="0" fontId="4" fillId="19" borderId="1" pivotButton="0" quotePrefix="0" xfId="0"/>
    <xf numFmtId="0" fontId="0" fillId="19" borderId="4" pivotButton="0" quotePrefix="0" xfId="0"/>
    <xf numFmtId="0" fontId="4" fillId="20" borderId="11" pivotButton="0" quotePrefix="0" xfId="0"/>
    <xf numFmtId="0" fontId="4" fillId="20" borderId="5" pivotButton="0" quotePrefix="0" xfId="0"/>
    <xf numFmtId="0" fontId="0" fillId="21" borderId="1" pivotButton="0" quotePrefix="0" xfId="0"/>
    <xf numFmtId="0" fontId="4" fillId="21" borderId="1" pivotButton="0" quotePrefix="0" xfId="0"/>
    <xf numFmtId="0" fontId="0" fillId="21" borderId="4" pivotButton="0" quotePrefix="0" xfId="0"/>
    <xf numFmtId="0" fontId="4" fillId="19" borderId="10" pivotButton="0" quotePrefix="0" xfId="0"/>
    <xf numFmtId="0" fontId="19" fillId="18" borderId="1" pivotButton="0" quotePrefix="0" xfId="0"/>
    <xf numFmtId="0" fontId="19" fillId="19" borderId="1" pivotButton="0" quotePrefix="0" xfId="0"/>
    <xf numFmtId="0" fontId="0" fillId="18" borderId="1" pivotButton="0" quotePrefix="0" xfId="0"/>
    <xf numFmtId="0" fontId="13" fillId="18" borderId="13" applyAlignment="1" pivotButton="0" quotePrefix="0" xfId="0">
      <alignment horizontal="center" vertical="center"/>
    </xf>
    <xf numFmtId="0" fontId="13" fillId="21" borderId="14" applyAlignment="1" pivotButton="0" quotePrefix="0" xfId="0">
      <alignment horizontal="center" vertical="center"/>
    </xf>
    <xf numFmtId="0" fontId="13" fillId="19" borderId="14" applyAlignment="1" pivotButton="0" quotePrefix="0" xfId="0">
      <alignment horizontal="center" vertical="center"/>
    </xf>
    <xf numFmtId="0" fontId="13" fillId="22" borderId="14" applyAlignment="1" pivotButton="0" quotePrefix="0" xfId="0">
      <alignment horizontal="center" vertical="center"/>
    </xf>
    <xf numFmtId="0" fontId="13" fillId="17" borderId="14" applyAlignment="1" pivotButton="0" quotePrefix="0" xfId="0">
      <alignment horizontal="center" vertical="center"/>
    </xf>
    <xf numFmtId="0" fontId="13" fillId="15" borderId="14" applyAlignment="1" pivotButton="0" quotePrefix="0" xfId="0">
      <alignment horizontal="center" vertical="center"/>
    </xf>
    <xf numFmtId="0" fontId="13" fillId="0" borderId="15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 wrapText="1"/>
    </xf>
    <xf numFmtId="0" fontId="18" fillId="8" borderId="1" applyAlignment="1" pivotButton="0" quotePrefix="0" xfId="0">
      <alignment horizontal="right" vertical="center"/>
    </xf>
    <xf numFmtId="0" fontId="4" fillId="23" borderId="11" applyAlignment="1" pivotButton="0" quotePrefix="0" xfId="0">
      <alignment horizontal="right"/>
    </xf>
    <xf numFmtId="0" fontId="0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8" borderId="10" pivotButton="0" quotePrefix="0" xfId="0"/>
    <xf numFmtId="0" fontId="4" fillId="8" borderId="16" applyAlignment="1" pivotButton="0" quotePrefix="0" xfId="0">
      <alignment horizontal="left"/>
    </xf>
    <xf numFmtId="0" fontId="1" fillId="12" borderId="3" applyAlignment="1" pivotButton="0" quotePrefix="0" xfId="0">
      <alignment horizontal="center" vertical="center"/>
    </xf>
    <xf numFmtId="0" fontId="18" fillId="0" borderId="1" applyAlignment="1" pivotButton="0" quotePrefix="0" xfId="0">
      <alignment horizontal="right" vertical="center"/>
    </xf>
    <xf numFmtId="0" fontId="0" fillId="8" borderId="3" pivotButton="0" quotePrefix="0" xfId="0"/>
    <xf numFmtId="0" fontId="4" fillId="8" borderId="9" pivotButton="0" quotePrefix="0" xfId="0"/>
    <xf numFmtId="0" fontId="7" fillId="0" borderId="10" pivotButton="0" quotePrefix="0" xfId="0"/>
    <xf numFmtId="0" fontId="1" fillId="13" borderId="10" applyAlignment="1" pivotButton="0" quotePrefix="0" xfId="0">
      <alignment horizontal="center" vertical="center"/>
    </xf>
    <xf numFmtId="0" fontId="1" fillId="12" borderId="10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8" fillId="14" borderId="10" applyAlignment="1" pivotButton="0" quotePrefix="0" xfId="0">
      <alignment horizontal="left" vertical="center" wrapText="1"/>
    </xf>
    <xf numFmtId="0" fontId="0" fillId="18" borderId="10" applyAlignment="1" pivotButton="0" quotePrefix="0" xfId="0">
      <alignment vertical="center"/>
    </xf>
    <xf numFmtId="0" fontId="4" fillId="0" borderId="10" pivotButton="0" quotePrefix="0" xfId="0"/>
    <xf numFmtId="0" fontId="4" fillId="20" borderId="10" pivotButton="0" quotePrefix="0" xfId="0"/>
    <xf numFmtId="0" fontId="0" fillId="19" borderId="10" pivotButton="0" quotePrefix="0" xfId="0"/>
    <xf numFmtId="0" fontId="16" fillId="20" borderId="10" pivotButton="0" quotePrefix="0" xfId="0"/>
    <xf numFmtId="0" fontId="4" fillId="19" borderId="16" pivotButton="0" quotePrefix="0" xfId="0"/>
    <xf numFmtId="0" fontId="4" fillId="8" borderId="16" pivotButton="0" quotePrefix="0" xfId="0"/>
    <xf numFmtId="0" fontId="3" fillId="8" borderId="10" pivotButton="0" quotePrefix="0" xfId="0"/>
    <xf numFmtId="0" fontId="3" fillId="19" borderId="10" pivotButton="0" quotePrefix="0" xfId="0"/>
    <xf numFmtId="0" fontId="3" fillId="8" borderId="10" applyAlignment="1" pivotButton="0" quotePrefix="0" xfId="0">
      <alignment horizontal="left"/>
    </xf>
    <xf numFmtId="0" fontId="0" fillId="18" borderId="3" applyAlignment="1" pivotButton="0" quotePrefix="0" xfId="0">
      <alignment vertical="center"/>
    </xf>
    <xf numFmtId="0" fontId="0" fillId="19" borderId="3" pivotButton="0" quotePrefix="0" xfId="0"/>
    <xf numFmtId="0" fontId="3" fillId="8" borderId="3" pivotButton="0" quotePrefix="0" xfId="0"/>
    <xf numFmtId="0" fontId="3" fillId="19" borderId="3" pivotButton="0" quotePrefix="0" xfId="0"/>
    <xf numFmtId="0" fontId="3" fillId="8" borderId="3" applyAlignment="1" pivotButton="0" quotePrefix="0" xfId="0">
      <alignment horizontal="left"/>
    </xf>
    <xf numFmtId="0" fontId="7" fillId="8" borderId="10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0" fillId="18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0" fillId="0" borderId="11" pivotButton="0" quotePrefix="0" xfId="0"/>
    <xf numFmtId="0" fontId="0" fillId="8" borderId="7" pivotButton="0" quotePrefix="0" xfId="0"/>
    <xf numFmtId="0" fontId="0" fillId="8" borderId="0" applyAlignment="1" pivotButton="0" quotePrefix="0" xfId="0">
      <alignment horizontal="left" vertical="center"/>
    </xf>
    <xf numFmtId="0" fontId="0" fillId="8" borderId="0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4" fillId="8" borderId="10" pivotButton="0" quotePrefix="0" xfId="0"/>
    <xf numFmtId="0" fontId="0" fillId="8" borderId="9" pivotButton="0" quotePrefix="0" xfId="0"/>
    <xf numFmtId="0" fontId="4" fillId="8" borderId="5" pivotButton="0" quotePrefix="0" xfId="0"/>
    <xf numFmtId="0" fontId="19" fillId="0" borderId="5" pivotButton="0" quotePrefix="0" xfId="0"/>
    <xf numFmtId="0" fontId="19" fillId="0" borderId="11" pivotButton="0" quotePrefix="0" xfId="0"/>
    <xf numFmtId="0" fontId="0" fillId="0" borderId="18" pivotButton="0" quotePrefix="0" xfId="0"/>
    <xf numFmtId="0" fontId="0" fillId="8" borderId="5" pivotButton="0" quotePrefix="0" xfId="0"/>
    <xf numFmtId="0" fontId="7" fillId="8" borderId="5" pivotButton="0" quotePrefix="0" xfId="0"/>
    <xf numFmtId="0" fontId="19" fillId="8" borderId="5" pivotButton="0" quotePrefix="0" xfId="0"/>
    <xf numFmtId="0" fontId="4" fillId="8" borderId="19" pivotButton="0" quotePrefix="0" xfId="0"/>
    <xf numFmtId="0" fontId="4" fillId="0" borderId="19" pivotButton="0" quotePrefix="0" xfId="0"/>
    <xf numFmtId="0" fontId="4" fillId="8" borderId="18" pivotButton="0" quotePrefix="0" xfId="0"/>
    <xf numFmtId="0" fontId="19" fillId="0" borderId="18" pivotButton="0" quotePrefix="0" xfId="0"/>
    <xf numFmtId="0" fontId="5" fillId="0" borderId="5" applyAlignment="1" pivotButton="0" quotePrefix="0" xfId="0">
      <alignment horizontal="center" vertical="center"/>
    </xf>
    <xf numFmtId="0" fontId="11" fillId="7" borderId="5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4" fillId="5" borderId="3" applyAlignment="1" pivotButton="0" quotePrefix="0" xfId="0">
      <alignment horizontal="center" vertical="center"/>
    </xf>
    <xf numFmtId="0" fontId="13" fillId="5" borderId="12" applyAlignment="1" pivotButton="0" quotePrefix="0" xfId="0">
      <alignment horizontal="center" vertical="center"/>
    </xf>
    <xf numFmtId="0" fontId="13" fillId="5" borderId="7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12" pivotButton="0" quotePrefix="0" xfId="0"/>
    <xf numFmtId="0" fontId="0" fillId="0" borderId="7" pivotButton="0" quotePrefix="0" xfId="0"/>
    <xf numFmtId="0" fontId="14" fillId="5" borderId="1" applyAlignment="1" pivotButton="0" quotePrefix="0" xfId="0">
      <alignment horizontal="center" vertical="center"/>
    </xf>
  </cellXfs>
  <cellStyles count="1">
    <cellStyle name="Normal" xfId="0" builtinId="0"/>
  </cellStyles>
  <dxfs count="27">
    <dxf>
      <fill>
        <patternFill>
          <bgColor theme="2" tint="-0.499984740745262"/>
        </patternFill>
      </fill>
    </dxf>
    <dxf>
      <fill>
        <patternFill>
          <bgColor theme="5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rgb="FFFFC7CE"/>
        </patternFill>
      </fill>
    </dxf>
    <dxf>
      <fill>
        <patternFill>
          <bgColor theme="5" tint="0.3999450666829432"/>
        </patternFill>
      </fill>
    </dxf>
    <dxf>
      <fill>
        <patternFill>
          <bgColor rgb="FFFFFD78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rgb="FFFFFD78"/>
        </patternFill>
      </fill>
    </dxf>
    <dxf>
      <fill>
        <patternFill>
          <bgColor theme="5" tint="0.3999450666829432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2"/>
        <vertAlign val="baseline"/>
      </font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2"/>
        <vertAlign val="baseline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2"/>
        <vertAlign val="baseline"/>
      </font>
    </dxf>
    <dxf>
      <font>
        <strike val="0"/>
        <outline val="0"/>
        <shadow val="0"/>
        <sz val="12"/>
        <vertAlign val="baseline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rgb="FF434343"/>
        <extend val="0"/>
        <sz val="12"/>
        <vertAlign val="baseline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2"/>
        <vertAlign val="baseline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2"/>
        <vertAlign val="baseline"/>
      </font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2"/>
        <vertAlign val="baseline"/>
      </font>
    </dxf>
    <dxf>
      <border outline="0"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auto="1"/>
        <extend val="0"/>
        <sz val="12"/>
        <vertAlign val="baseline"/>
      </font>
      <fill>
        <patternFill patternType="solid">
          <fgColor indexed="64"/>
          <bgColor theme="2" tint="-0.249977111117893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externalLink" Target="/xl/externalLinks/externalLink1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tc={8439B3D6-0357-4A6E-80B6-477BF215D2E5}</author>
    <author>tc={689D4A60-BC3A-41A6-AA8F-BA2A7AEBD92B}</author>
    <author>tc={60C3ACBD-11DC-4E5A-8982-39BFA6357055}</author>
    <author>tc={8F93866A-2C69-401A-B5E9-6F6FA0AF0850}</author>
    <author>tc={3F381634-6307-4424-B783-0C4926A2DF31}</author>
    <author>tc={608D6777-6203-4086-81E3-C934DD338A03}</author>
    <author>tc={16A35377-F5F2-4E6F-82E5-2DF2A821E7E3}</author>
    <author>tc={F9EADB23-C9C2-47F2-B208-9F107D1A5685}</author>
    <author>tc={EB9FE550-60E5-4066-BCC4-4940DDC57986}</author>
    <author>tc={FDA11E03-8216-4E14-8C68-2985D889CD2B}</author>
    <author>tc={E189236B-29BC-4FBF-BD55-703BF6F65310}</author>
    <author>tc={CAB819BC-D558-4B8A-A5D7-E254FCFA2940}</author>
    <author>tc={A91CFF9D-24C2-7D4C-8A5A-C821F4603BE6}</author>
    <author>tc={A45BF46D-A674-4AFE-A07B-BD8000C38B3B}</author>
    <author>tc={A558980E-4EF2-47AE-91AE-26814F535930}</author>
    <author>tc={771EC7A8-7E98-4EE3-8CE0-60E4413EA58F}</author>
    <author>tc={C61FC947-7DA0-4235-A80A-13B7BD0E353A}</author>
    <author>tc={8C113791-4B3B-447A-8F5D-935712584495}</author>
    <author>tc={A7EACFDF-ACCB-4ECC-8971-4AAD9B42085D}</author>
    <author>tc={FAB73CF7-871D-4384-AEC7-0887DEEF16D9}</author>
    <author>tc={844ECA2B-5CB8-4251-A8E2-BA9F6656CA8C}</author>
    <author>tc={46D977AB-0BAF-4E50-A809-0CB94616908B}</author>
    <author>tc={A8C4AFD0-50F0-4B78-AD99-A5F6948A2166}</author>
    <author>tc={822F3731-5822-4B05-B777-D6D2CA87D0AF}</author>
    <author>tc={E848021D-A0CC-42E2-8B38-0B790B69E9E4}</author>
    <author>tc={0DFD5378-53CB-47EA-931C-0752AF90F40F}</author>
    <author>tc={A0D69824-8F68-4FEE-AD67-E8178752B0A7}</author>
    <author>tc={38704AB3-8439-4169-ABE3-0AD3200C839F}</author>
  </authors>
  <commentList>
    <comment ref="E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https://www.metalsupermarkets.co.uk/product/mild-steel-sheet-galvanised/#:~:text=Framework,Thermal%20Expansion:%2012.06%20%C2%B5m/m%2Dk</t>
      </text>
    </comment>
    <comment ref="C8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Restproducts that are sometimes used are similar</t>
      </text>
    </comment>
    <comment ref="E8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SS-EN ISO 10456, Table 4</t>
      </text>
    </comment>
    <comment ref="E10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ISO Table 3</t>
      </text>
    </comment>
    <comment ref="E11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autoclaved concrete Table 4, SS-EN ISO 10456 </t>
      </text>
    </comment>
    <comment ref="E12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Conductivity might be low compared to others (cement, sand: Table 3)</t>
      </text>
    </comment>
    <comment ref="C1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 desc: Wood wool panels are made by mixing wood shavings with cement and lime as a binder and any paint.</t>
      </text>
    </comment>
    <comment ref="E1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Cement bonded particle board, Table 3</t>
      </text>
    </comment>
    <comment ref="E1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 when comparing values https://www.engineeringtoolbox.com/specific-heat-solids-d_154.html
https://www.engineeringtoolbox.com/thermal-conductivity-d_429.html</t>
      </text>
    </comment>
    <comment ref="C18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is a bit arbitrary</t>
      </text>
    </comment>
    <comment ref="E24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closest conductivity match</t>
      </text>
    </comment>
    <comment ref="C27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similar but without the asbestos</t>
      </text>
    </comment>
    <comment ref="E27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Cement bonded particle board, Table 3</t>
      </text>
    </comment>
    <comment ref="C28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Contains bitumen, otherwise 6000000140</t>
      </text>
    </comment>
    <comment ref="E28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ISO, table 3 under bitumen</t>
      </text>
    </comment>
    <comment ref="C2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 plastic product</t>
      </text>
    </comment>
    <comment ref="E30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Table 3, under wood-based panels</t>
      </text>
    </comment>
    <comment ref="C3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lättklinkerkulor</t>
      </text>
    </comment>
    <comment ref="E31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ISO 10456 Table 4, under insulation/masonry materials:
Loose-fill expanded clay,</t>
      </text>
    </comment>
    <comment ref="E36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https://help.iesve.com/ve2021/table_6_thermal_conductivity__specific_heat_capacity_and_density.htm</t>
      </text>
    </comment>
    <comment ref="C47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Plastic product used as a vapor barrier</t>
      </text>
    </comment>
    <comment ref="A53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ceramic tile</t>
      </text>
    </comment>
    <comment ref="A54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plastic mat</t>
      </text>
    </comment>
    <comment ref="A55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concrete mixed with sawdust, seems like a similar mix</t>
      </text>
    </comment>
    <comment ref="C56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necessarilly sand, but more like processed sand?</t>
      </text>
    </comment>
    <comment ref="C58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necessarilly sand, but more like processed sand?</t>
      </text>
    </comment>
    <comment ref="E58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gravel</t>
      </text>
    </comment>
    <comment ref="C60" authorId="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 to no impact (still transport accounted for)</t>
      </text>
    </comment>
  </commentList>
</comments>
</file>

<file path=xl/comments/comment2.xml><?xml version="1.0" encoding="utf-8"?>
<comments xmlns="http://schemas.openxmlformats.org/spreadsheetml/2006/main">
  <authors>
    <author>tc={5E27E27F-F63F-4BB0-9353-68268EDCE23F}</author>
    <author>tc={3D9EF86A-3862-43DF-9C17-9C3FC6D289C0}</author>
    <author>tc={8AA6B5C5-6D41-445E-940F-A7B0C47D947F}</author>
  </authors>
  <commentList>
    <comment ref="B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  <comment ref="B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  <comment ref="B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https://chalmers.sharepoint.com/sites/ChalmersEM-MLforrenovation/Shared%20Documents/Data%20Request/From%20Maud%20-%20BUDMI/Multi%20Family%20Houses/CMF/BUD_MI_CMF_1950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Content"/>
      <sheetName val="Building information"/>
      <sheetName val="Scope &amp; Data"/>
      <sheetName val="Bill of material"/>
      <sheetName val="Search materials"/>
      <sheetName val="Rules of thumb"/>
      <sheetName val="Result summary"/>
      <sheetName val="Format bespoke MI"/>
      <sheetName val="Bespoke MI results"/>
      <sheetName val="Open MI database format"/>
      <sheetName val="Dropdowns"/>
      <sheetName val="Material_classif_dropdowns"/>
      <sheetName val="Densities"/>
      <sheetName val="Crossmatch material classific."/>
      <sheetName val="Referenc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 refreshError="1"/>
    </sheetDataSet>
  </externalBook>
</externalLink>
</file>

<file path=xl/tables/table1.xml><?xml version="1.0" encoding="utf-8"?>
<table xmlns="http://schemas.openxmlformats.org/spreadsheetml/2006/main" id="1" name="Table1" displayName="Table1" ref="A1:G60" headerRowCount="1" totalsRowShown="0" headerRowDxfId="26" dataDxfId="24" headerRowBorderDxfId="25" tableBorderDxfId="23" totalsRowBorderDxfId="22">
  <autoFilter ref="A1:G60"/>
  <tableColumns count="7">
    <tableColumn id="1" name="Material Name" dataDxfId="21"/>
    <tableColumn id="2" name="Ignore?" dataDxfId="20"/>
    <tableColumn id="3" name="Boverket ID" dataDxfId="19"/>
    <tableColumn id="4" name="Boverket Match Confidence" dataDxfId="18"/>
    <tableColumn id="5" name="Honeybee Identifier" dataDxfId="17"/>
    <tableColumn id="6" name="Honeybee Match Confidence" dataDxfId="16"/>
    <tableColumn id="7" name="Combined Match Confidence" dataDxfId="15">
      <calculatedColumnFormula>(D2+F2)/2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1:AP429"/>
  <sheetViews>
    <sheetView topLeftCell="G1" zoomScale="108" workbookViewId="0">
      <selection activeCell="H4" sqref="H4"/>
    </sheetView>
  </sheetViews>
  <sheetFormatPr baseColWidth="10" defaultColWidth="11" defaultRowHeight="16"/>
  <cols>
    <col width="34.83203125" customWidth="1" min="1" max="1"/>
    <col width="37" customWidth="1" min="2" max="2"/>
    <col width="34.83203125" customWidth="1" min="3" max="3"/>
    <col width="23.83203125" customWidth="1" min="4" max="4"/>
    <col width="35.6640625" bestFit="1" customWidth="1" min="8" max="8"/>
    <col width="16" customWidth="1" min="9" max="9"/>
    <col width="6" bestFit="1" customWidth="1" min="10" max="10"/>
    <col width="11.1640625" bestFit="1" customWidth="1" min="11" max="11"/>
    <col width="19.83203125" bestFit="1" customWidth="1" min="12" max="12"/>
    <col width="15.33203125" bestFit="1" customWidth="1" min="13" max="13"/>
    <col width="16.6640625" bestFit="1" customWidth="1" min="14" max="15"/>
    <col width="17.1640625" bestFit="1" customWidth="1" min="16" max="16"/>
    <col width="14.5" bestFit="1" customWidth="1" min="17" max="17"/>
    <col width="15.1640625" bestFit="1" customWidth="1" min="18" max="18"/>
    <col width="22.1640625" bestFit="1" customWidth="1" min="19" max="19"/>
    <col width="26.1640625" bestFit="1" customWidth="1" min="20" max="20"/>
  </cols>
  <sheetData>
    <row r="1">
      <c r="A1" s="14" t="inlineStr">
        <is>
          <t>Date</t>
        </is>
      </c>
      <c r="B1" s="14" t="inlineStr">
        <is>
          <t>Sheet</t>
        </is>
      </c>
      <c r="C1" s="14" t="inlineStr">
        <is>
          <t>Note</t>
        </is>
      </c>
      <c r="D1" s="14" t="inlineStr">
        <is>
          <t>Status</t>
        </is>
      </c>
      <c r="E1" s="29" t="n"/>
      <c r="F1" s="29" t="n"/>
      <c r="G1" s="29" t="n"/>
      <c r="H1" s="37" t="inlineStr">
        <is>
          <t>Reference (Så byggdes husen 1880 - 2020)</t>
        </is>
      </c>
      <c r="I1" s="37" t="inlineStr">
        <is>
          <t>Archetype</t>
        </is>
      </c>
      <c r="J1" s="37" t="inlineStr">
        <is>
          <t>ROOF</t>
        </is>
      </c>
      <c r="K1" s="37" t="inlineStr">
        <is>
          <t>TOP_FLOOR</t>
        </is>
      </c>
      <c r="L1" s="37" t="inlineStr">
        <is>
          <t>INTERMEDIATE_FLOOR</t>
        </is>
      </c>
      <c r="M1" s="37" t="inlineStr">
        <is>
          <t>GROUND_FLOOR</t>
        </is>
      </c>
      <c r="N1" s="37" t="inlineStr">
        <is>
          <t>BASEMENT_FLOOR</t>
        </is>
      </c>
      <c r="O1" s="37" t="inlineStr">
        <is>
          <t>EXT_WALL_LOW</t>
        </is>
      </c>
      <c r="P1" s="37" t="inlineStr">
        <is>
          <t>EXT_WALL_MEDIUM</t>
        </is>
      </c>
      <c r="Q1" s="37" t="inlineStr">
        <is>
          <t>EXT_WALL_HIGH</t>
        </is>
      </c>
      <c r="R1" s="37" t="inlineStr">
        <is>
          <t>BASEMENT_WALL</t>
        </is>
      </c>
      <c r="S1" s="37" t="inlineStr">
        <is>
          <t>INT_WALL_LOADBEARING</t>
        </is>
      </c>
      <c r="T1" s="37" t="inlineStr">
        <is>
          <t>INT_WALL_NONLOADBEARING</t>
        </is>
      </c>
      <c r="U1" s="37" t="inlineStr">
        <is>
          <t>EXT_WALL</t>
        </is>
      </c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I1" s="29" t="n"/>
      <c r="AJ1" s="29" t="n"/>
      <c r="AK1" s="29" t="n"/>
      <c r="AL1" s="29" t="n"/>
      <c r="AM1" s="29" t="n"/>
      <c r="AN1" s="29" t="n"/>
      <c r="AO1" s="29" t="n"/>
      <c r="AP1" s="29" t="n"/>
    </row>
    <row r="2" ht="64" customHeight="1">
      <c r="A2" s="15" t="inlineStr">
        <is>
          <t>Date of change/comment.</t>
        </is>
      </c>
      <c r="B2" s="15" t="inlineStr">
        <is>
          <t>The sheet that changes/comments concern</t>
        </is>
      </c>
      <c r="C2" s="15" t="inlineStr">
        <is>
          <t>Short description of content</t>
        </is>
      </c>
      <c r="D2" s="15" t="inlineStr">
        <is>
          <t>Completed/Pending</t>
        </is>
      </c>
      <c r="E2" s="29" t="n"/>
      <c r="F2" s="29" t="n"/>
      <c r="G2" s="29" t="n"/>
      <c r="H2" s="33" t="inlineStr">
        <is>
          <t>Page 80 - 81</t>
        </is>
      </c>
      <c r="I2" s="36" t="inlineStr">
        <is>
          <t>CMF_1940_1</t>
        </is>
      </c>
      <c r="J2" s="34" t="inlineStr">
        <is>
          <t>x</t>
        </is>
      </c>
      <c r="K2" s="34" t="inlineStr">
        <is>
          <t>x</t>
        </is>
      </c>
      <c r="L2" s="34" t="inlineStr">
        <is>
          <t>x</t>
        </is>
      </c>
      <c r="M2" s="34" t="inlineStr">
        <is>
          <t>x</t>
        </is>
      </c>
      <c r="N2" s="34" t="inlineStr">
        <is>
          <t>x</t>
        </is>
      </c>
      <c r="O2" s="34" t="n"/>
      <c r="P2" s="34" t="n"/>
      <c r="Q2" s="34" t="n"/>
      <c r="R2" s="34" t="inlineStr">
        <is>
          <t>x</t>
        </is>
      </c>
      <c r="S2" s="34" t="inlineStr">
        <is>
          <t>x</t>
        </is>
      </c>
      <c r="T2" s="34" t="inlineStr">
        <is>
          <t>x</t>
        </is>
      </c>
      <c r="U2" s="34" t="inlineStr">
        <is>
          <t>x</t>
        </is>
      </c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  <c r="AH2" s="29" t="n"/>
      <c r="AI2" s="29" t="n"/>
      <c r="AJ2" s="29" t="n"/>
      <c r="AK2" s="29" t="n"/>
      <c r="AL2" s="29" t="n"/>
      <c r="AM2" s="29" t="n"/>
      <c r="AN2" s="29" t="n"/>
      <c r="AO2" s="29" t="n"/>
      <c r="AP2" s="29" t="n"/>
    </row>
    <row r="3" ht="34" customHeight="1">
      <c r="A3" s="18" t="n">
        <v>45989</v>
      </c>
      <c r="B3" s="19" t="inlineStr">
        <is>
          <t>Opaque_Materials &amp; Window_Materials</t>
        </is>
      </c>
      <c r="C3" s="20" t="inlineStr">
        <is>
          <t>Complete adding the materials for the two archetypes</t>
        </is>
      </c>
      <c r="D3" s="19" t="inlineStr">
        <is>
          <t>Completed</t>
        </is>
      </c>
      <c r="E3" s="29" t="n"/>
      <c r="F3" s="29" t="n"/>
      <c r="G3" s="29" t="n"/>
      <c r="H3" s="33" t="inlineStr">
        <is>
          <t>Page 94 - 95</t>
        </is>
      </c>
      <c r="I3" s="36" t="inlineStr">
        <is>
          <t>CMF_1950</t>
        </is>
      </c>
      <c r="J3" s="34" t="inlineStr">
        <is>
          <t>x</t>
        </is>
      </c>
      <c r="K3" s="34" t="inlineStr">
        <is>
          <t>x</t>
        </is>
      </c>
      <c r="L3" s="34" t="inlineStr">
        <is>
          <t>x</t>
        </is>
      </c>
      <c r="M3" s="34" t="inlineStr">
        <is>
          <t>x</t>
        </is>
      </c>
      <c r="N3" s="34" t="inlineStr">
        <is>
          <t>x</t>
        </is>
      </c>
      <c r="O3" s="34" t="inlineStr">
        <is>
          <t>x</t>
        </is>
      </c>
      <c r="P3" s="34" t="inlineStr">
        <is>
          <t>x</t>
        </is>
      </c>
      <c r="Q3" s="34" t="inlineStr">
        <is>
          <t>x</t>
        </is>
      </c>
      <c r="R3" s="34" t="inlineStr">
        <is>
          <t>x</t>
        </is>
      </c>
      <c r="S3" s="34" t="inlineStr">
        <is>
          <t>x</t>
        </is>
      </c>
      <c r="T3" s="34" t="n"/>
      <c r="U3" s="34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</row>
    <row r="4" ht="51" customHeight="1">
      <c r="A4" s="18" t="n">
        <v>45989</v>
      </c>
      <c r="B4" s="19" t="inlineStr">
        <is>
          <t>Opaque_Materials &amp; Window_Materials</t>
        </is>
      </c>
      <c r="C4" s="20" t="inlineStr">
        <is>
          <t>Confidence matching between Id's (create a new column for boverket and one for honeybee high-low confidence)</t>
        </is>
      </c>
      <c r="D4" s="19" t="inlineStr">
        <is>
          <t>Completed</t>
        </is>
      </c>
      <c r="E4" s="29" t="n"/>
      <c r="F4" s="29" t="n"/>
      <c r="G4" s="29" t="n"/>
      <c r="H4" s="33" t="n"/>
      <c r="I4" s="36" t="inlineStr">
        <is>
          <t>CMF_1960_1</t>
        </is>
      </c>
      <c r="J4" s="34" t="inlineStr">
        <is>
          <t>x</t>
        </is>
      </c>
      <c r="K4" s="34" t="inlineStr">
        <is>
          <t>x</t>
        </is>
      </c>
      <c r="L4" s="34" t="inlineStr">
        <is>
          <t>x</t>
        </is>
      </c>
      <c r="M4" s="34" t="inlineStr">
        <is>
          <t>x</t>
        </is>
      </c>
      <c r="N4" s="34" t="n"/>
      <c r="O4" s="34" t="n"/>
      <c r="P4" s="34" t="n"/>
      <c r="Q4" s="34" t="n"/>
      <c r="R4" s="34" t="n"/>
      <c r="S4" s="34" t="inlineStr">
        <is>
          <t>x</t>
        </is>
      </c>
      <c r="T4" s="34" t="inlineStr">
        <is>
          <t>x</t>
        </is>
      </c>
      <c r="U4" s="34" t="inlineStr">
        <is>
          <t>x</t>
        </is>
      </c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</row>
    <row r="5" ht="68" customHeight="1">
      <c r="A5" s="18" t="n">
        <v>45989</v>
      </c>
      <c r="B5" s="19" t="inlineStr">
        <is>
          <t>Opaque_Materials &amp; Window_Materials</t>
        </is>
      </c>
      <c r="C5" s="20" t="inlineStr">
        <is>
          <t>Naming needs to be cleaned up; lowercase, no spaces no special characters...all similar and remove duplicates</t>
        </is>
      </c>
      <c r="D5" s="19" t="inlineStr">
        <is>
          <t>Completed</t>
        </is>
      </c>
      <c r="E5" s="29" t="n"/>
      <c r="F5" s="29" t="n"/>
      <c r="G5" s="29" t="n"/>
      <c r="H5" s="33" t="inlineStr">
        <is>
          <t>Page 98 - 99</t>
        </is>
      </c>
      <c r="I5" s="36" t="inlineStr">
        <is>
          <t>CMF_1960_2</t>
        </is>
      </c>
      <c r="J5" s="34" t="inlineStr">
        <is>
          <t>x</t>
        </is>
      </c>
      <c r="K5" s="34" t="inlineStr">
        <is>
          <t>x</t>
        </is>
      </c>
      <c r="L5" s="34" t="inlineStr">
        <is>
          <t>x</t>
        </is>
      </c>
      <c r="M5" s="34" t="inlineStr">
        <is>
          <t>x</t>
        </is>
      </c>
      <c r="N5" s="34" t="inlineStr">
        <is>
          <t>x</t>
        </is>
      </c>
      <c r="O5" s="34" t="n"/>
      <c r="P5" s="34" t="n"/>
      <c r="Q5" s="34" t="n"/>
      <c r="R5" s="34" t="inlineStr">
        <is>
          <t>x</t>
        </is>
      </c>
      <c r="S5" s="34" t="inlineStr">
        <is>
          <t>x</t>
        </is>
      </c>
      <c r="T5" s="34" t="n"/>
      <c r="U5" s="34" t="inlineStr">
        <is>
          <t>x</t>
        </is>
      </c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</row>
    <row r="6" ht="34" customHeight="1">
      <c r="A6" s="18" t="n">
        <v>45989</v>
      </c>
      <c r="B6" s="19" t="inlineStr">
        <is>
          <t>Opaque_Materials &amp; Window_Materials</t>
        </is>
      </c>
      <c r="C6" s="20" t="inlineStr">
        <is>
          <t>Double check that all of the honeybee materials are not of no mass type</t>
        </is>
      </c>
      <c r="D6" s="19" t="inlineStr">
        <is>
          <t>Pending</t>
        </is>
      </c>
      <c r="E6" s="29" t="n"/>
      <c r="F6" s="29" t="n"/>
      <c r="G6" s="29" t="n"/>
      <c r="H6" s="33" t="inlineStr">
        <is>
          <t>Pages 112 - 113</t>
        </is>
      </c>
      <c r="I6" s="33" t="inlineStr">
        <is>
          <t>CMF_1970</t>
        </is>
      </c>
      <c r="J6" s="34" t="inlineStr">
        <is>
          <t>x</t>
        </is>
      </c>
      <c r="K6" s="34" t="inlineStr">
        <is>
          <t>x</t>
        </is>
      </c>
      <c r="L6" s="34" t="inlineStr">
        <is>
          <t>x</t>
        </is>
      </c>
      <c r="M6" s="34" t="inlineStr">
        <is>
          <t>x</t>
        </is>
      </c>
      <c r="N6" s="34" t="n"/>
      <c r="O6" s="34" t="n"/>
      <c r="P6" s="34" t="n"/>
      <c r="Q6" s="34" t="n"/>
      <c r="R6" s="34" t="n"/>
      <c r="S6" s="34" t="inlineStr">
        <is>
          <t>x</t>
        </is>
      </c>
      <c r="T6" s="34" t="n"/>
      <c r="U6" s="34" t="inlineStr">
        <is>
          <t>x</t>
        </is>
      </c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</row>
    <row r="7" ht="32" customHeight="1">
      <c r="A7" s="18" t="n">
        <v>45989</v>
      </c>
      <c r="B7" s="19" t="inlineStr">
        <is>
          <t>Layers</t>
        </is>
      </c>
      <c r="C7" s="26" t="inlineStr">
        <is>
          <t>split the layer names column into name and materials that its made up of</t>
        </is>
      </c>
      <c r="D7" s="19" t="inlineStr">
        <is>
          <t>Completed</t>
        </is>
      </c>
      <c r="E7" s="29" t="n"/>
      <c r="F7" s="29" t="n"/>
      <c r="G7" s="29" t="n"/>
      <c r="H7" s="33" t="inlineStr">
        <is>
          <t>Pages 112 - 113</t>
        </is>
      </c>
      <c r="I7" s="33" t="inlineStr">
        <is>
          <t>CMF_1980</t>
        </is>
      </c>
      <c r="J7" s="34" t="inlineStr">
        <is>
          <t>x</t>
        </is>
      </c>
      <c r="K7" s="34" t="inlineStr">
        <is>
          <t>x</t>
        </is>
      </c>
      <c r="L7" s="34" t="inlineStr">
        <is>
          <t>x</t>
        </is>
      </c>
      <c r="M7" s="34" t="inlineStr">
        <is>
          <t>x</t>
        </is>
      </c>
      <c r="N7" s="34" t="n"/>
      <c r="O7" s="34" t="n"/>
      <c r="P7" s="34" t="n"/>
      <c r="Q7" s="34" t="n"/>
      <c r="R7" s="34" t="n"/>
      <c r="S7" s="34" t="inlineStr">
        <is>
          <t>x</t>
        </is>
      </c>
      <c r="T7" s="34" t="n"/>
      <c r="U7" s="34" t="inlineStr">
        <is>
          <t>x</t>
        </is>
      </c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</row>
    <row r="8" ht="64" customHeight="1">
      <c r="A8" s="18" t="n">
        <v>45989</v>
      </c>
      <c r="B8" s="19" t="inlineStr">
        <is>
          <t>Layers</t>
        </is>
      </c>
      <c r="C8" s="26" t="inlineStr">
        <is>
          <t>Identify which layers need to have a composite u-value (need area fraction), add flag (column) that signifies if its a composite layer or not</t>
        </is>
      </c>
      <c r="D8" s="19" t="inlineStr">
        <is>
          <t>Completed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</row>
    <row r="9" ht="34" customHeight="1">
      <c r="A9" s="23" t="inlineStr">
        <is>
          <t>Friday, 5 December 2025</t>
        </is>
      </c>
      <c r="B9" s="19" t="inlineStr">
        <is>
          <t>Opaque_Materials &amp; Window_Materials</t>
        </is>
      </c>
      <c r="C9" s="24" t="inlineStr">
        <is>
          <t>add ignore column for red ones to keep track of not used materials</t>
        </is>
      </c>
      <c r="D9" s="19" t="inlineStr">
        <is>
          <t>Completed</t>
        </is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</row>
    <row r="10" ht="34" customHeight="1">
      <c r="A10" s="25" t="inlineStr">
        <is>
          <t>Friday, 5 December 2025</t>
        </is>
      </c>
      <c r="B10" s="21" t="inlineStr">
        <is>
          <t>All Sheets</t>
        </is>
      </c>
      <c r="C10" s="22" t="inlineStr">
        <is>
          <t>Documentation/logbok when its finished to track process</t>
        </is>
      </c>
      <c r="D10" s="21" t="inlineStr">
        <is>
          <t>Pending</t>
        </is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</row>
    <row r="11" ht="17" customHeight="1">
      <c r="A11" s="23" t="inlineStr">
        <is>
          <t>Friday, 5 December 2025</t>
        </is>
      </c>
      <c r="B11" s="19" t="inlineStr">
        <is>
          <t>Opaque_Materials &amp; Window_Materials</t>
        </is>
      </c>
      <c r="C11" s="24" t="inlineStr">
        <is>
          <t>Mark the lowconfidence w pink</t>
        </is>
      </c>
      <c r="D11" s="19" t="inlineStr">
        <is>
          <t>Completed</t>
        </is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</row>
    <row r="12" ht="68" customHeight="1">
      <c r="A12" s="61" t="inlineStr">
        <is>
          <t>Thursday, 11 December 2025</t>
        </is>
      </c>
      <c r="B12" s="62" t="inlineStr">
        <is>
          <t>Window_Materials</t>
        </is>
      </c>
      <c r="C12" s="63" t="inlineStr">
        <is>
          <t>Complete exteral database mapping and specifically to simple glazing materials in the Honeybee library and do a confidence scoring for the materials</t>
        </is>
      </c>
      <c r="D12" s="62" t="inlineStr">
        <is>
          <t>Maculated</t>
        </is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</row>
    <row r="13" ht="51" customHeight="1">
      <c r="A13" s="23" t="inlineStr">
        <is>
          <t>Thursday, 11 December 2025</t>
        </is>
      </c>
      <c r="B13" s="19" t="inlineStr">
        <is>
          <t>All Sheets</t>
        </is>
      </c>
      <c r="C13" s="35" t="inlineStr">
        <is>
          <t>For the current archetypes, identify components, layers and materials for internal structures from the BUD_MI data</t>
        </is>
      </c>
      <c r="D13" s="19" t="inlineStr">
        <is>
          <t>Pending</t>
        </is>
      </c>
      <c r="E13" s="29" t="n"/>
      <c r="F13" s="29" t="n"/>
      <c r="G13" s="29" t="n"/>
      <c r="H13" s="29" t="n"/>
      <c r="I13" s="125" t="n"/>
      <c r="J13" s="126" t="n"/>
      <c r="K13" s="126" t="n"/>
      <c r="L13" s="126" t="n"/>
      <c r="M13" s="126" t="n"/>
      <c r="N13" s="126" t="n"/>
      <c r="O13" s="126" t="n"/>
      <c r="P13" s="126" t="n"/>
      <c r="Q13" s="126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</row>
    <row r="14" ht="85" customHeight="1">
      <c r="A14" s="23" t="inlineStr">
        <is>
          <t>Thursday, 11 December 2025</t>
        </is>
      </c>
      <c r="B14" s="19" t="inlineStr">
        <is>
          <t>Components</t>
        </is>
      </c>
      <c r="C14" s="35" t="inlineStr">
        <is>
          <t>Add column or switch out Component Name for a code describing the components similar to the Layer codes. Also Switch out the Layer identifier for the layer code instead</t>
        </is>
      </c>
      <c r="D14" s="19" t="inlineStr">
        <is>
          <t>Completed</t>
        </is>
      </c>
      <c r="E14" s="29" t="n"/>
      <c r="F14" s="29" t="n"/>
      <c r="G14" s="29" t="n"/>
      <c r="H14" s="29" t="n"/>
      <c r="I14" s="125" t="n"/>
      <c r="J14" s="126" t="n"/>
      <c r="K14" s="126" t="n"/>
      <c r="L14" s="126" t="n"/>
      <c r="M14" s="126" t="n"/>
      <c r="N14" s="126" t="n"/>
      <c r="O14" s="126" t="n"/>
      <c r="P14" s="126" t="n"/>
      <c r="Q14" s="126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</row>
    <row r="15" ht="85" customHeight="1">
      <c r="A15" s="25" t="inlineStr">
        <is>
          <t>Thursday, 11 December 2025</t>
        </is>
      </c>
      <c r="B15" s="21" t="inlineStr">
        <is>
          <t>Elements</t>
        </is>
      </c>
      <c r="C15" s="27" t="inlineStr">
        <is>
          <t>Make a sheet for Elements that should be combinations of components. Make sure to add a column for area ratio of component relative the total area of overall element</t>
        </is>
      </c>
      <c r="D15" s="21" t="inlineStr">
        <is>
          <t>Pending</t>
        </is>
      </c>
      <c r="E15" s="29" t="n"/>
      <c r="F15" s="29" t="n"/>
      <c r="G15" s="29" t="n"/>
      <c r="H15" s="29" t="n"/>
      <c r="I15" s="125" t="n"/>
      <c r="J15" s="126" t="n"/>
      <c r="K15" s="126" t="n"/>
      <c r="L15" s="126" t="n"/>
      <c r="M15" s="126" t="n"/>
      <c r="N15" s="126" t="n"/>
      <c r="O15" s="126" t="n"/>
      <c r="P15" s="126" t="n"/>
      <c r="Q15" s="126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</row>
    <row r="16" ht="34" customHeight="1">
      <c r="A16" s="23" t="inlineStr">
        <is>
          <t>Thursday, 11 December 2025</t>
        </is>
      </c>
      <c r="B16" s="19" t="inlineStr">
        <is>
          <t>Components</t>
        </is>
      </c>
      <c r="C16" s="35" t="inlineStr">
        <is>
          <t>Syncronise components in Excel with Enums in Python script</t>
        </is>
      </c>
      <c r="D16" s="19" t="inlineStr">
        <is>
          <t>Completed</t>
        </is>
      </c>
      <c r="E16" s="29" t="n"/>
      <c r="F16" s="29" t="n"/>
      <c r="G16" s="29" t="n"/>
      <c r="H16" s="29" t="n"/>
      <c r="I16" s="125" t="n"/>
      <c r="J16" s="126" t="n"/>
      <c r="K16" s="126" t="n"/>
      <c r="L16" s="126" t="n"/>
      <c r="M16" s="126" t="n"/>
      <c r="N16" s="126" t="n"/>
      <c r="O16" s="126" t="n"/>
      <c r="P16" s="126" t="n"/>
      <c r="Q16" s="126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</row>
    <row r="17" ht="68" customHeight="1">
      <c r="A17" s="23" t="inlineStr">
        <is>
          <t>Thursday, 11 December 2025</t>
        </is>
      </c>
      <c r="B17" s="19" t="inlineStr">
        <is>
          <t>Components</t>
        </is>
      </c>
      <c r="C17" s="35" t="inlineStr">
        <is>
          <t>Add component codes for all components and clean up window components so that they refer back to layers using simple glazing materials</t>
        </is>
      </c>
      <c r="D17" s="19" t="inlineStr">
        <is>
          <t>Completed</t>
        </is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</row>
    <row r="18" ht="51" customHeight="1">
      <c r="A18" s="23" t="inlineStr">
        <is>
          <t>Friday, 12 December 2025</t>
        </is>
      </c>
      <c r="B18" s="19" t="inlineStr">
        <is>
          <t>Components</t>
        </is>
      </c>
      <c r="C18" s="35" t="inlineStr">
        <is>
          <t>For tall buildings, move no. Floors to notes and categorize between low, mid, high</t>
        </is>
      </c>
      <c r="D18" s="19" t="inlineStr">
        <is>
          <t>Completed</t>
        </is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</row>
    <row r="19" ht="39" customHeight="1">
      <c r="A19" s="23" t="inlineStr">
        <is>
          <t>Tuesday, 20 January 2026</t>
        </is>
      </c>
      <c r="B19" s="19" t="inlineStr">
        <is>
          <t>Layers, Components</t>
        </is>
      </c>
      <c r="C19" s="35" t="inlineStr">
        <is>
          <t>Add data for CMF_1940_1 bottom floor from BUD_MI</t>
        </is>
      </c>
      <c r="D19" s="19" t="inlineStr">
        <is>
          <t>Completed</t>
        </is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</row>
    <row r="20">
      <c r="A20" s="17" t="n"/>
      <c r="B20" s="16" t="n"/>
      <c r="C20" s="38" t="n"/>
      <c r="D20" s="16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</row>
    <row r="21">
      <c r="A21" s="17" t="n"/>
      <c r="B21" s="16" t="n"/>
      <c r="C21" s="38" t="n"/>
      <c r="D21" s="16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</row>
    <row r="22" ht="68" customHeight="1">
      <c r="A22" s="17" t="n"/>
      <c r="B22" s="16" t="n"/>
      <c r="C22" s="38" t="inlineStr">
        <is>
          <t>Simulation workflow, what tests we have ran for sensitivty analysis. Why do we do these analysis? Cold attic, heating setpoints etc.</t>
        </is>
      </c>
      <c r="D22" s="16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</row>
    <row r="23">
      <c r="A23" s="17" t="n"/>
      <c r="B23" s="16" t="n"/>
      <c r="C23" s="16" t="inlineStr">
        <is>
          <t>Ask questions about renovation stratergies</t>
        </is>
      </c>
      <c r="D23" s="16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</row>
    <row r="24">
      <c r="A24" s="17" t="n"/>
      <c r="B24" s="16" t="n"/>
      <c r="C24" s="16" t="n"/>
      <c r="D24" s="16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</row>
    <row r="25">
      <c r="A25" s="17" t="n"/>
      <c r="B25" s="16" t="n"/>
      <c r="C25" s="16" t="n"/>
      <c r="D25" s="16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</row>
    <row r="26">
      <c r="A26" s="17" t="n"/>
      <c r="B26" s="16" t="n"/>
      <c r="C26" s="16" t="n"/>
      <c r="D26" s="16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</row>
    <row r="27">
      <c r="A27" s="17" t="n"/>
      <c r="B27" s="16" t="n"/>
      <c r="C27" s="16" t="n"/>
      <c r="D27" s="16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</row>
    <row r="28">
      <c r="A28" s="17" t="n"/>
      <c r="B28" s="16" t="n"/>
      <c r="C28" s="16" t="n"/>
      <c r="D28" s="16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</row>
    <row r="29">
      <c r="A29" s="17" t="n"/>
      <c r="B29" s="16" t="n"/>
      <c r="C29" s="16" t="n"/>
      <c r="D29" s="16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</row>
    <row r="30">
      <c r="A30" s="17" t="n"/>
      <c r="B30" s="16" t="n"/>
      <c r="C30" s="16" t="n"/>
      <c r="D30" s="16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</row>
    <row r="31">
      <c r="A31" s="17" t="n"/>
      <c r="B31" s="16" t="n"/>
      <c r="C31" s="16" t="n"/>
      <c r="D31" s="16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</row>
    <row r="32">
      <c r="A32" s="17" t="n"/>
      <c r="B32" s="16" t="n"/>
      <c r="C32" s="16" t="n"/>
      <c r="D32" s="16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</row>
    <row r="33">
      <c r="A33" s="17" t="n"/>
      <c r="B33" s="16" t="n"/>
      <c r="C33" s="16" t="n"/>
      <c r="D33" s="16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</row>
    <row r="34">
      <c r="A34" s="17" t="n"/>
      <c r="B34" s="16" t="n"/>
      <c r="C34" s="16" t="n"/>
      <c r="D34" s="16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</row>
    <row r="35">
      <c r="A35" s="17" t="n"/>
      <c r="B35" s="16" t="n"/>
      <c r="C35" s="16" t="n"/>
      <c r="D35" s="16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</row>
    <row r="36">
      <c r="A36" s="17" t="n"/>
      <c r="B36" s="16" t="n"/>
      <c r="C36" s="16" t="n"/>
      <c r="D36" s="16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</row>
    <row r="37">
      <c r="A37" s="17" t="n"/>
      <c r="B37" s="16" t="n"/>
      <c r="C37" s="16" t="n"/>
      <c r="D37" s="16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</row>
    <row r="38">
      <c r="A38" s="17" t="n"/>
      <c r="B38" s="16" t="n"/>
      <c r="C38" s="16" t="n"/>
      <c r="D38" s="16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</row>
    <row r="39">
      <c r="A39" s="17" t="n"/>
      <c r="B39" s="16" t="n"/>
      <c r="C39" s="16" t="n"/>
      <c r="D39" s="16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</row>
    <row r="40">
      <c r="A40" s="17" t="n"/>
      <c r="B40" s="16" t="n"/>
      <c r="C40" s="16" t="n"/>
      <c r="D40" s="16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</row>
    <row r="41">
      <c r="A41" s="17" t="n"/>
      <c r="B41" s="16" t="n"/>
      <c r="C41" s="16" t="n"/>
      <c r="D41" s="16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</row>
    <row r="42">
      <c r="A42" s="17" t="n"/>
      <c r="B42" s="16" t="n"/>
      <c r="C42" s="16" t="n"/>
      <c r="D42" s="16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</row>
    <row r="43">
      <c r="A43" s="17" t="n"/>
      <c r="B43" s="16" t="n"/>
      <c r="C43" s="16" t="n"/>
      <c r="D43" s="16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  <c r="AB43" s="29" t="n"/>
      <c r="AC43" s="29" t="n"/>
      <c r="AD43" s="29" t="n"/>
      <c r="AE43" s="29" t="n"/>
      <c r="AF43" s="29" t="n"/>
      <c r="AG43" s="29" t="n"/>
      <c r="AH43" s="29" t="n"/>
      <c r="AI43" s="29" t="n"/>
      <c r="AJ43" s="29" t="n"/>
      <c r="AK43" s="29" t="n"/>
      <c r="AL43" s="29" t="n"/>
      <c r="AM43" s="29" t="n"/>
      <c r="AN43" s="29" t="n"/>
      <c r="AO43" s="29" t="n"/>
      <c r="AP43" s="29" t="n"/>
    </row>
    <row r="44">
      <c r="A44" s="17" t="n"/>
      <c r="B44" s="16" t="n"/>
      <c r="C44" s="16" t="n"/>
      <c r="D44" s="16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  <c r="AB44" s="29" t="n"/>
      <c r="AC44" s="29" t="n"/>
      <c r="AD44" s="29" t="n"/>
      <c r="AE44" s="29" t="n"/>
      <c r="AF44" s="29" t="n"/>
      <c r="AG44" s="29" t="n"/>
      <c r="AH44" s="29" t="n"/>
      <c r="AI44" s="29" t="n"/>
      <c r="AJ44" s="29" t="n"/>
      <c r="AK44" s="29" t="n"/>
      <c r="AL44" s="29" t="n"/>
      <c r="AM44" s="29" t="n"/>
      <c r="AN44" s="29" t="n"/>
      <c r="AO44" s="29" t="n"/>
      <c r="AP44" s="29" t="n"/>
    </row>
    <row r="45">
      <c r="A45" s="17" t="n"/>
      <c r="B45" s="16" t="n"/>
      <c r="C45" s="16" t="n"/>
      <c r="D45" s="16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  <c r="AB45" s="29" t="n"/>
      <c r="AC45" s="29" t="n"/>
      <c r="AD45" s="29" t="n"/>
      <c r="AE45" s="29" t="n"/>
      <c r="AF45" s="29" t="n"/>
      <c r="AG45" s="29" t="n"/>
      <c r="AH45" s="29" t="n"/>
      <c r="AI45" s="29" t="n"/>
      <c r="AJ45" s="29" t="n"/>
      <c r="AK45" s="29" t="n"/>
      <c r="AL45" s="29" t="n"/>
      <c r="AM45" s="29" t="n"/>
      <c r="AN45" s="29" t="n"/>
      <c r="AO45" s="29" t="n"/>
      <c r="AP45" s="29" t="n"/>
    </row>
    <row r="46">
      <c r="A46" s="17" t="n"/>
      <c r="B46" s="16" t="n"/>
      <c r="C46" s="16" t="n"/>
      <c r="D46" s="16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  <c r="AB46" s="29" t="n"/>
      <c r="AC46" s="29" t="n"/>
      <c r="AD46" s="29" t="n"/>
      <c r="AE46" s="29" t="n"/>
      <c r="AF46" s="29" t="n"/>
      <c r="AG46" s="29" t="n"/>
      <c r="AH46" s="29" t="n"/>
      <c r="AI46" s="29" t="n"/>
      <c r="AJ46" s="29" t="n"/>
      <c r="AK46" s="29" t="n"/>
      <c r="AL46" s="29" t="n"/>
      <c r="AM46" s="29" t="n"/>
      <c r="AN46" s="29" t="n"/>
      <c r="AO46" s="29" t="n"/>
      <c r="AP46" s="29" t="n"/>
    </row>
    <row r="47">
      <c r="A47" s="17" t="n"/>
      <c r="B47" s="16" t="n"/>
      <c r="C47" s="16" t="n"/>
      <c r="D47" s="16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  <c r="AB47" s="29" t="n"/>
      <c r="AC47" s="29" t="n"/>
      <c r="AD47" s="29" t="n"/>
      <c r="AE47" s="29" t="n"/>
      <c r="AF47" s="29" t="n"/>
      <c r="AG47" s="29" t="n"/>
      <c r="AH47" s="29" t="n"/>
      <c r="AI47" s="29" t="n"/>
      <c r="AJ47" s="29" t="n"/>
      <c r="AK47" s="29" t="n"/>
      <c r="AL47" s="29" t="n"/>
      <c r="AM47" s="29" t="n"/>
      <c r="AN47" s="29" t="n"/>
      <c r="AO47" s="29" t="n"/>
      <c r="AP47" s="29" t="n"/>
    </row>
    <row r="48">
      <c r="A48" s="17" t="n"/>
      <c r="B48" s="16" t="n"/>
      <c r="C48" s="16" t="n"/>
      <c r="D48" s="16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  <c r="AB48" s="29" t="n"/>
      <c r="AC48" s="29" t="n"/>
      <c r="AD48" s="29" t="n"/>
      <c r="AE48" s="29" t="n"/>
      <c r="AF48" s="29" t="n"/>
      <c r="AG48" s="29" t="n"/>
      <c r="AH48" s="29" t="n"/>
      <c r="AI48" s="29" t="n"/>
      <c r="AJ48" s="29" t="n"/>
      <c r="AK48" s="29" t="n"/>
      <c r="AL48" s="29" t="n"/>
      <c r="AM48" s="29" t="n"/>
      <c r="AN48" s="29" t="n"/>
      <c r="AO48" s="29" t="n"/>
      <c r="AP48" s="29" t="n"/>
    </row>
    <row r="49">
      <c r="A49" s="17" t="n"/>
      <c r="B49" s="16" t="n"/>
      <c r="C49" s="16" t="n"/>
      <c r="D49" s="16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  <c r="AB49" s="29" t="n"/>
      <c r="AC49" s="29" t="n"/>
      <c r="AD49" s="29" t="n"/>
      <c r="AE49" s="29" t="n"/>
      <c r="AF49" s="29" t="n"/>
      <c r="AG49" s="29" t="n"/>
      <c r="AH49" s="29" t="n"/>
      <c r="AI49" s="29" t="n"/>
      <c r="AJ49" s="29" t="n"/>
      <c r="AK49" s="29" t="n"/>
      <c r="AL49" s="29" t="n"/>
      <c r="AM49" s="29" t="n"/>
      <c r="AN49" s="29" t="n"/>
      <c r="AO49" s="29" t="n"/>
      <c r="AP49" s="29" t="n"/>
    </row>
    <row r="50">
      <c r="A50" s="17" t="n"/>
      <c r="B50" s="16" t="n"/>
      <c r="C50" s="16" t="n"/>
      <c r="D50" s="16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  <c r="AB50" s="29" t="n"/>
      <c r="AC50" s="29" t="n"/>
      <c r="AD50" s="29" t="n"/>
      <c r="AE50" s="29" t="n"/>
      <c r="AF50" s="29" t="n"/>
      <c r="AG50" s="29" t="n"/>
      <c r="AH50" s="29" t="n"/>
      <c r="AI50" s="29" t="n"/>
      <c r="AJ50" s="29" t="n"/>
      <c r="AK50" s="29" t="n"/>
      <c r="AL50" s="29" t="n"/>
      <c r="AM50" s="29" t="n"/>
      <c r="AN50" s="29" t="n"/>
      <c r="AO50" s="29" t="n"/>
      <c r="AP50" s="29" t="n"/>
    </row>
    <row r="51">
      <c r="A51" s="17" t="n"/>
      <c r="B51" s="16" t="n"/>
      <c r="C51" s="16" t="n"/>
      <c r="D51" s="16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  <c r="AB51" s="29" t="n"/>
      <c r="AC51" s="29" t="n"/>
      <c r="AD51" s="29" t="n"/>
      <c r="AE51" s="29" t="n"/>
      <c r="AF51" s="29" t="n"/>
      <c r="AG51" s="29" t="n"/>
      <c r="AH51" s="29" t="n"/>
      <c r="AI51" s="29" t="n"/>
      <c r="AJ51" s="29" t="n"/>
      <c r="AK51" s="29" t="n"/>
      <c r="AL51" s="29" t="n"/>
      <c r="AM51" s="29" t="n"/>
      <c r="AN51" s="29" t="n"/>
      <c r="AO51" s="29" t="n"/>
      <c r="AP51" s="29" t="n"/>
    </row>
    <row r="52">
      <c r="A52" s="17" t="n"/>
      <c r="B52" s="16" t="n"/>
      <c r="C52" s="16" t="n"/>
      <c r="D52" s="16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  <c r="AB52" s="29" t="n"/>
      <c r="AC52" s="29" t="n"/>
      <c r="AD52" s="29" t="n"/>
      <c r="AE52" s="29" t="n"/>
      <c r="AF52" s="29" t="n"/>
      <c r="AG52" s="29" t="n"/>
      <c r="AH52" s="29" t="n"/>
      <c r="AI52" s="29" t="n"/>
      <c r="AJ52" s="29" t="n"/>
      <c r="AK52" s="29" t="n"/>
      <c r="AL52" s="29" t="n"/>
      <c r="AM52" s="29" t="n"/>
      <c r="AN52" s="29" t="n"/>
      <c r="AO52" s="29" t="n"/>
      <c r="AP52" s="29" t="n"/>
    </row>
    <row r="53">
      <c r="A53" s="17" t="n"/>
      <c r="B53" s="16" t="n"/>
      <c r="C53" s="16" t="n"/>
      <c r="D53" s="16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  <c r="AB53" s="29" t="n"/>
      <c r="AC53" s="29" t="n"/>
      <c r="AD53" s="29" t="n"/>
      <c r="AE53" s="29" t="n"/>
      <c r="AF53" s="29" t="n"/>
      <c r="AG53" s="29" t="n"/>
      <c r="AH53" s="29" t="n"/>
      <c r="AI53" s="29" t="n"/>
      <c r="AJ53" s="29" t="n"/>
      <c r="AK53" s="29" t="n"/>
      <c r="AL53" s="29" t="n"/>
      <c r="AM53" s="29" t="n"/>
      <c r="AN53" s="29" t="n"/>
      <c r="AO53" s="29" t="n"/>
      <c r="AP53" s="29" t="n"/>
    </row>
    <row r="54">
      <c r="A54" s="17" t="n"/>
      <c r="B54" s="16" t="n"/>
      <c r="C54" s="16" t="n"/>
      <c r="D54" s="16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  <c r="AB54" s="29" t="n"/>
      <c r="AC54" s="29" t="n"/>
      <c r="AD54" s="29" t="n"/>
      <c r="AE54" s="29" t="n"/>
      <c r="AF54" s="29" t="n"/>
      <c r="AG54" s="29" t="n"/>
      <c r="AH54" s="29" t="n"/>
      <c r="AI54" s="29" t="n"/>
      <c r="AJ54" s="29" t="n"/>
      <c r="AK54" s="29" t="n"/>
      <c r="AL54" s="29" t="n"/>
      <c r="AM54" s="29" t="n"/>
      <c r="AN54" s="29" t="n"/>
      <c r="AO54" s="29" t="n"/>
      <c r="AP54" s="29" t="n"/>
    </row>
    <row r="55">
      <c r="A55" s="17" t="n"/>
      <c r="B55" s="16" t="n"/>
      <c r="C55" s="16" t="n"/>
      <c r="D55" s="16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  <c r="AB55" s="29" t="n"/>
      <c r="AC55" s="29" t="n"/>
      <c r="AD55" s="29" t="n"/>
      <c r="AE55" s="29" t="n"/>
      <c r="AF55" s="29" t="n"/>
      <c r="AG55" s="29" t="n"/>
      <c r="AH55" s="29" t="n"/>
      <c r="AI55" s="29" t="n"/>
      <c r="AJ55" s="29" t="n"/>
      <c r="AK55" s="29" t="n"/>
      <c r="AL55" s="29" t="n"/>
      <c r="AM55" s="29" t="n"/>
      <c r="AN55" s="29" t="n"/>
      <c r="AO55" s="29" t="n"/>
      <c r="AP55" s="29" t="n"/>
    </row>
    <row r="56">
      <c r="A56" s="17" t="n"/>
      <c r="B56" s="16" t="n"/>
      <c r="C56" s="16" t="n"/>
      <c r="D56" s="16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  <c r="AB56" s="29" t="n"/>
      <c r="AC56" s="29" t="n"/>
      <c r="AD56" s="29" t="n"/>
      <c r="AE56" s="29" t="n"/>
      <c r="AF56" s="29" t="n"/>
      <c r="AG56" s="29" t="n"/>
      <c r="AH56" s="29" t="n"/>
      <c r="AI56" s="29" t="n"/>
      <c r="AJ56" s="29" t="n"/>
      <c r="AK56" s="29" t="n"/>
      <c r="AL56" s="29" t="n"/>
      <c r="AM56" s="29" t="n"/>
      <c r="AN56" s="29" t="n"/>
      <c r="AO56" s="29" t="n"/>
      <c r="AP56" s="29" t="n"/>
    </row>
    <row r="57">
      <c r="A57" s="17" t="n"/>
      <c r="B57" s="16" t="n"/>
      <c r="C57" s="16" t="n"/>
      <c r="D57" s="16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  <c r="AB57" s="29" t="n"/>
      <c r="AC57" s="29" t="n"/>
      <c r="AD57" s="29" t="n"/>
      <c r="AE57" s="29" t="n"/>
      <c r="AF57" s="29" t="n"/>
      <c r="AG57" s="29" t="n"/>
      <c r="AH57" s="29" t="n"/>
      <c r="AI57" s="29" t="n"/>
      <c r="AJ57" s="29" t="n"/>
      <c r="AK57" s="29" t="n"/>
      <c r="AL57" s="29" t="n"/>
      <c r="AM57" s="29" t="n"/>
      <c r="AN57" s="29" t="n"/>
      <c r="AO57" s="29" t="n"/>
      <c r="AP57" s="29" t="n"/>
    </row>
    <row r="58">
      <c r="A58" s="17" t="n"/>
      <c r="B58" s="16" t="n"/>
      <c r="C58" s="16" t="n"/>
      <c r="D58" s="16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  <c r="AB58" s="29" t="n"/>
      <c r="AC58" s="29" t="n"/>
      <c r="AD58" s="29" t="n"/>
      <c r="AE58" s="29" t="n"/>
      <c r="AF58" s="29" t="n"/>
      <c r="AG58" s="29" t="n"/>
      <c r="AH58" s="29" t="n"/>
      <c r="AI58" s="29" t="n"/>
      <c r="AJ58" s="29" t="n"/>
      <c r="AK58" s="29" t="n"/>
      <c r="AL58" s="29" t="n"/>
      <c r="AM58" s="29" t="n"/>
      <c r="AN58" s="29" t="n"/>
      <c r="AO58" s="29" t="n"/>
      <c r="AP58" s="29" t="n"/>
    </row>
    <row r="59">
      <c r="A59" s="17" t="n"/>
      <c r="B59" s="16" t="n"/>
      <c r="C59" s="16" t="n"/>
      <c r="D59" s="16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  <c r="AB59" s="29" t="n"/>
      <c r="AC59" s="29" t="n"/>
      <c r="AD59" s="29" t="n"/>
      <c r="AE59" s="29" t="n"/>
      <c r="AF59" s="29" t="n"/>
      <c r="AG59" s="29" t="n"/>
      <c r="AH59" s="29" t="n"/>
      <c r="AI59" s="29" t="n"/>
      <c r="AJ59" s="29" t="n"/>
      <c r="AK59" s="29" t="n"/>
      <c r="AL59" s="29" t="n"/>
      <c r="AM59" s="29" t="n"/>
      <c r="AN59" s="29" t="n"/>
      <c r="AO59" s="29" t="n"/>
      <c r="AP59" s="29" t="n"/>
    </row>
    <row r="60">
      <c r="A60" s="17" t="n"/>
      <c r="B60" s="16" t="n"/>
      <c r="C60" s="16" t="n"/>
      <c r="D60" s="16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  <c r="AB60" s="29" t="n"/>
      <c r="AC60" s="29" t="n"/>
      <c r="AD60" s="29" t="n"/>
      <c r="AE60" s="29" t="n"/>
      <c r="AF60" s="29" t="n"/>
      <c r="AG60" s="29" t="n"/>
      <c r="AH60" s="29" t="n"/>
      <c r="AI60" s="29" t="n"/>
      <c r="AJ60" s="29" t="n"/>
      <c r="AK60" s="29" t="n"/>
      <c r="AL60" s="29" t="n"/>
      <c r="AM60" s="29" t="n"/>
      <c r="AN60" s="29" t="n"/>
      <c r="AO60" s="29" t="n"/>
      <c r="AP60" s="29" t="n"/>
    </row>
    <row r="61">
      <c r="A61" s="17" t="n"/>
      <c r="B61" s="16" t="n"/>
      <c r="C61" s="16" t="n"/>
      <c r="D61" s="16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  <c r="AB61" s="29" t="n"/>
      <c r="AC61" s="29" t="n"/>
      <c r="AD61" s="29" t="n"/>
      <c r="AE61" s="29" t="n"/>
      <c r="AF61" s="29" t="n"/>
      <c r="AG61" s="29" t="n"/>
      <c r="AH61" s="29" t="n"/>
      <c r="AI61" s="29" t="n"/>
      <c r="AJ61" s="29" t="n"/>
      <c r="AK61" s="29" t="n"/>
      <c r="AL61" s="29" t="n"/>
      <c r="AM61" s="29" t="n"/>
      <c r="AN61" s="29" t="n"/>
      <c r="AO61" s="29" t="n"/>
      <c r="AP61" s="29" t="n"/>
    </row>
    <row r="62">
      <c r="A62" s="17" t="n"/>
      <c r="B62" s="16" t="n"/>
      <c r="C62" s="16" t="n"/>
      <c r="D62" s="16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  <c r="AB62" s="29" t="n"/>
      <c r="AC62" s="29" t="n"/>
      <c r="AD62" s="29" t="n"/>
      <c r="AE62" s="29" t="n"/>
      <c r="AF62" s="29" t="n"/>
      <c r="AG62" s="29" t="n"/>
      <c r="AH62" s="29" t="n"/>
      <c r="AI62" s="29" t="n"/>
      <c r="AJ62" s="29" t="n"/>
      <c r="AK62" s="29" t="n"/>
      <c r="AL62" s="29" t="n"/>
      <c r="AM62" s="29" t="n"/>
      <c r="AN62" s="29" t="n"/>
      <c r="AO62" s="29" t="n"/>
      <c r="AP62" s="29" t="n"/>
    </row>
    <row r="63">
      <c r="A63" s="17" t="n"/>
      <c r="B63" s="16" t="n"/>
      <c r="C63" s="16" t="n"/>
      <c r="D63" s="16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  <c r="AB63" s="29" t="n"/>
      <c r="AC63" s="29" t="n"/>
      <c r="AD63" s="29" t="n"/>
      <c r="AE63" s="29" t="n"/>
      <c r="AF63" s="29" t="n"/>
      <c r="AG63" s="29" t="n"/>
      <c r="AH63" s="29" t="n"/>
      <c r="AI63" s="29" t="n"/>
      <c r="AJ63" s="29" t="n"/>
      <c r="AK63" s="29" t="n"/>
      <c r="AL63" s="29" t="n"/>
      <c r="AM63" s="29" t="n"/>
      <c r="AN63" s="29" t="n"/>
      <c r="AO63" s="29" t="n"/>
      <c r="AP63" s="29" t="n"/>
    </row>
    <row r="64">
      <c r="A64" s="17" t="n"/>
      <c r="B64" s="16" t="n"/>
      <c r="C64" s="16" t="n"/>
      <c r="D64" s="16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  <c r="AB64" s="29" t="n"/>
      <c r="AC64" s="29" t="n"/>
      <c r="AD64" s="29" t="n"/>
      <c r="AE64" s="29" t="n"/>
      <c r="AF64" s="29" t="n"/>
      <c r="AG64" s="29" t="n"/>
      <c r="AH64" s="29" t="n"/>
      <c r="AI64" s="29" t="n"/>
      <c r="AJ64" s="29" t="n"/>
      <c r="AK64" s="29" t="n"/>
      <c r="AL64" s="29" t="n"/>
      <c r="AM64" s="29" t="n"/>
      <c r="AN64" s="29" t="n"/>
      <c r="AO64" s="29" t="n"/>
      <c r="AP64" s="29" t="n"/>
    </row>
    <row r="65">
      <c r="A65" s="17" t="n"/>
      <c r="B65" s="16" t="n"/>
      <c r="C65" s="16" t="n"/>
      <c r="D65" s="16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  <c r="AB65" s="29" t="n"/>
      <c r="AC65" s="29" t="n"/>
      <c r="AD65" s="29" t="n"/>
      <c r="AE65" s="29" t="n"/>
      <c r="AF65" s="29" t="n"/>
      <c r="AG65" s="29" t="n"/>
      <c r="AH65" s="29" t="n"/>
      <c r="AI65" s="29" t="n"/>
      <c r="AJ65" s="29" t="n"/>
      <c r="AK65" s="29" t="n"/>
      <c r="AL65" s="29" t="n"/>
      <c r="AM65" s="29" t="n"/>
      <c r="AN65" s="29" t="n"/>
      <c r="AO65" s="29" t="n"/>
      <c r="AP65" s="29" t="n"/>
    </row>
    <row r="66">
      <c r="A66" s="17" t="n"/>
      <c r="B66" s="16" t="n"/>
      <c r="C66" s="16" t="n"/>
      <c r="D66" s="16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  <c r="AB66" s="29" t="n"/>
      <c r="AC66" s="29" t="n"/>
      <c r="AD66" s="29" t="n"/>
      <c r="AE66" s="29" t="n"/>
      <c r="AF66" s="29" t="n"/>
      <c r="AG66" s="29" t="n"/>
      <c r="AH66" s="29" t="n"/>
      <c r="AI66" s="29" t="n"/>
      <c r="AJ66" s="29" t="n"/>
      <c r="AK66" s="29" t="n"/>
      <c r="AL66" s="29" t="n"/>
      <c r="AM66" s="29" t="n"/>
      <c r="AN66" s="29" t="n"/>
      <c r="AO66" s="29" t="n"/>
      <c r="AP66" s="29" t="n"/>
    </row>
    <row r="67">
      <c r="A67" s="17" t="n"/>
      <c r="B67" s="16" t="n"/>
      <c r="C67" s="16" t="n"/>
      <c r="D67" s="16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  <c r="AB67" s="29" t="n"/>
      <c r="AC67" s="29" t="n"/>
      <c r="AD67" s="29" t="n"/>
      <c r="AE67" s="29" t="n"/>
      <c r="AF67" s="29" t="n"/>
      <c r="AG67" s="29" t="n"/>
      <c r="AH67" s="29" t="n"/>
      <c r="AI67" s="29" t="n"/>
      <c r="AJ67" s="29" t="n"/>
      <c r="AK67" s="29" t="n"/>
      <c r="AL67" s="29" t="n"/>
      <c r="AM67" s="29" t="n"/>
      <c r="AN67" s="29" t="n"/>
      <c r="AO67" s="29" t="n"/>
      <c r="AP67" s="29" t="n"/>
    </row>
    <row r="68">
      <c r="A68" s="17" t="n"/>
      <c r="B68" s="16" t="n"/>
      <c r="C68" s="16" t="n"/>
      <c r="D68" s="16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9" t="n"/>
      <c r="AF68" s="29" t="n"/>
      <c r="AG68" s="29" t="n"/>
      <c r="AH68" s="29" t="n"/>
      <c r="AI68" s="29" t="n"/>
      <c r="AJ68" s="29" t="n"/>
      <c r="AK68" s="29" t="n"/>
      <c r="AL68" s="29" t="n"/>
      <c r="AM68" s="29" t="n"/>
      <c r="AN68" s="29" t="n"/>
      <c r="AO68" s="29" t="n"/>
      <c r="AP68" s="29" t="n"/>
    </row>
    <row r="69">
      <c r="A69" s="29" t="n"/>
      <c r="B69" s="29" t="n"/>
      <c r="C69" s="29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  <c r="AB69" s="29" t="n"/>
      <c r="AC69" s="29" t="n"/>
      <c r="AD69" s="29" t="n"/>
      <c r="AE69" s="29" t="n"/>
      <c r="AF69" s="29" t="n"/>
      <c r="AG69" s="29" t="n"/>
      <c r="AH69" s="29" t="n"/>
      <c r="AI69" s="29" t="n"/>
      <c r="AJ69" s="29" t="n"/>
      <c r="AK69" s="29" t="n"/>
      <c r="AL69" s="29" t="n"/>
      <c r="AM69" s="29" t="n"/>
      <c r="AN69" s="29" t="n"/>
      <c r="AO69" s="29" t="n"/>
      <c r="AP69" s="29" t="n"/>
    </row>
    <row r="70">
      <c r="A70" s="29" t="n"/>
      <c r="B70" s="29" t="n"/>
      <c r="C70" s="29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  <c r="AB70" s="29" t="n"/>
      <c r="AC70" s="29" t="n"/>
      <c r="AD70" s="29" t="n"/>
      <c r="AE70" s="29" t="n"/>
      <c r="AF70" s="29" t="n"/>
      <c r="AG70" s="29" t="n"/>
      <c r="AH70" s="29" t="n"/>
      <c r="AI70" s="29" t="n"/>
      <c r="AJ70" s="29" t="n"/>
      <c r="AK70" s="29" t="n"/>
      <c r="AL70" s="29" t="n"/>
      <c r="AM70" s="29" t="n"/>
      <c r="AN70" s="29" t="n"/>
      <c r="AO70" s="29" t="n"/>
      <c r="AP70" s="29" t="n"/>
    </row>
    <row r="71">
      <c r="A71" s="29" t="n"/>
      <c r="B71" s="29" t="n"/>
      <c r="C71" s="29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  <c r="AB71" s="29" t="n"/>
      <c r="AC71" s="29" t="n"/>
      <c r="AD71" s="29" t="n"/>
      <c r="AE71" s="29" t="n"/>
      <c r="AF71" s="29" t="n"/>
      <c r="AG71" s="29" t="n"/>
      <c r="AH71" s="29" t="n"/>
      <c r="AI71" s="29" t="n"/>
      <c r="AJ71" s="29" t="n"/>
      <c r="AK71" s="29" t="n"/>
      <c r="AL71" s="29" t="n"/>
      <c r="AM71" s="29" t="n"/>
      <c r="AN71" s="29" t="n"/>
      <c r="AO71" s="29" t="n"/>
      <c r="AP71" s="29" t="n"/>
    </row>
    <row r="72">
      <c r="A72" s="29" t="n"/>
      <c r="B72" s="29" t="n"/>
      <c r="C72" s="29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  <c r="AB72" s="29" t="n"/>
      <c r="AC72" s="29" t="n"/>
      <c r="AD72" s="29" t="n"/>
      <c r="AE72" s="29" t="n"/>
      <c r="AF72" s="29" t="n"/>
      <c r="AG72" s="29" t="n"/>
      <c r="AH72" s="29" t="n"/>
      <c r="AI72" s="29" t="n"/>
      <c r="AJ72" s="29" t="n"/>
      <c r="AK72" s="29" t="n"/>
      <c r="AL72" s="29" t="n"/>
      <c r="AM72" s="29" t="n"/>
      <c r="AN72" s="29" t="n"/>
      <c r="AO72" s="29" t="n"/>
      <c r="AP72" s="29" t="n"/>
    </row>
    <row r="73">
      <c r="A73" s="29" t="n"/>
      <c r="B73" s="29" t="n"/>
      <c r="C73" s="29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  <c r="AB73" s="29" t="n"/>
      <c r="AC73" s="29" t="n"/>
      <c r="AD73" s="29" t="n"/>
      <c r="AE73" s="29" t="n"/>
      <c r="AF73" s="29" t="n"/>
      <c r="AG73" s="29" t="n"/>
      <c r="AH73" s="29" t="n"/>
      <c r="AI73" s="29" t="n"/>
      <c r="AJ73" s="29" t="n"/>
      <c r="AK73" s="29" t="n"/>
      <c r="AL73" s="29" t="n"/>
      <c r="AM73" s="29" t="n"/>
      <c r="AN73" s="29" t="n"/>
      <c r="AO73" s="29" t="n"/>
      <c r="AP73" s="29" t="n"/>
    </row>
    <row r="74">
      <c r="A74" s="29" t="n"/>
      <c r="B74" s="29" t="n"/>
      <c r="C74" s="29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  <c r="AB74" s="29" t="n"/>
      <c r="AC74" s="29" t="n"/>
      <c r="AD74" s="29" t="n"/>
      <c r="AE74" s="29" t="n"/>
      <c r="AF74" s="29" t="n"/>
      <c r="AG74" s="29" t="n"/>
      <c r="AH74" s="29" t="n"/>
      <c r="AI74" s="29" t="n"/>
      <c r="AJ74" s="29" t="n"/>
      <c r="AK74" s="29" t="n"/>
      <c r="AL74" s="29" t="n"/>
      <c r="AM74" s="29" t="n"/>
      <c r="AN74" s="29" t="n"/>
      <c r="AO74" s="29" t="n"/>
      <c r="AP74" s="29" t="n"/>
    </row>
    <row r="75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  <c r="AB75" s="29" t="n"/>
      <c r="AC75" s="29" t="n"/>
      <c r="AD75" s="29" t="n"/>
      <c r="AE75" s="29" t="n"/>
      <c r="AF75" s="29" t="n"/>
      <c r="AG75" s="29" t="n"/>
      <c r="AH75" s="29" t="n"/>
      <c r="AI75" s="29" t="n"/>
      <c r="AJ75" s="29" t="n"/>
      <c r="AK75" s="29" t="n"/>
      <c r="AL75" s="29" t="n"/>
      <c r="AM75" s="29" t="n"/>
      <c r="AN75" s="29" t="n"/>
      <c r="AO75" s="29" t="n"/>
      <c r="AP75" s="29" t="n"/>
    </row>
    <row r="76">
      <c r="A76" s="29" t="n"/>
      <c r="B76" s="29" t="n"/>
      <c r="C76" s="29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  <c r="AB76" s="29" t="n"/>
      <c r="AC76" s="29" t="n"/>
      <c r="AD76" s="29" t="n"/>
      <c r="AE76" s="29" t="n"/>
      <c r="AF76" s="29" t="n"/>
      <c r="AG76" s="29" t="n"/>
      <c r="AH76" s="29" t="n"/>
      <c r="AI76" s="29" t="n"/>
      <c r="AJ76" s="29" t="n"/>
      <c r="AK76" s="29" t="n"/>
      <c r="AL76" s="29" t="n"/>
      <c r="AM76" s="29" t="n"/>
      <c r="AN76" s="29" t="n"/>
      <c r="AO76" s="29" t="n"/>
      <c r="AP76" s="29" t="n"/>
    </row>
    <row r="77">
      <c r="A77" s="29" t="n"/>
      <c r="B77" s="29" t="n"/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  <c r="AB77" s="29" t="n"/>
      <c r="AC77" s="29" t="n"/>
      <c r="AD77" s="29" t="n"/>
      <c r="AE77" s="29" t="n"/>
      <c r="AF77" s="29" t="n"/>
      <c r="AG77" s="29" t="n"/>
      <c r="AH77" s="29" t="n"/>
      <c r="AI77" s="29" t="n"/>
      <c r="AJ77" s="29" t="n"/>
      <c r="AK77" s="29" t="n"/>
      <c r="AL77" s="29" t="n"/>
      <c r="AM77" s="29" t="n"/>
      <c r="AN77" s="29" t="n"/>
      <c r="AO77" s="29" t="n"/>
      <c r="AP77" s="29" t="n"/>
    </row>
    <row r="78">
      <c r="A78" s="29" t="n"/>
      <c r="B78" s="29" t="n"/>
      <c r="C78" s="29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  <c r="AB78" s="29" t="n"/>
      <c r="AC78" s="29" t="n"/>
      <c r="AD78" s="29" t="n"/>
      <c r="AE78" s="29" t="n"/>
      <c r="AF78" s="29" t="n"/>
      <c r="AG78" s="29" t="n"/>
      <c r="AH78" s="29" t="n"/>
      <c r="AI78" s="29" t="n"/>
      <c r="AJ78" s="29" t="n"/>
      <c r="AK78" s="29" t="n"/>
      <c r="AL78" s="29" t="n"/>
      <c r="AM78" s="29" t="n"/>
      <c r="AN78" s="29" t="n"/>
      <c r="AO78" s="29" t="n"/>
      <c r="AP78" s="29" t="n"/>
    </row>
    <row r="79">
      <c r="A79" s="29" t="n"/>
      <c r="B79" s="29" t="n"/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  <c r="AB79" s="29" t="n"/>
      <c r="AC79" s="29" t="n"/>
      <c r="AD79" s="29" t="n"/>
      <c r="AE79" s="29" t="n"/>
      <c r="AF79" s="29" t="n"/>
      <c r="AG79" s="29" t="n"/>
      <c r="AH79" s="29" t="n"/>
      <c r="AI79" s="29" t="n"/>
      <c r="AJ79" s="29" t="n"/>
      <c r="AK79" s="29" t="n"/>
      <c r="AL79" s="29" t="n"/>
      <c r="AM79" s="29" t="n"/>
      <c r="AN79" s="29" t="n"/>
      <c r="AO79" s="29" t="n"/>
      <c r="AP79" s="29" t="n"/>
    </row>
    <row r="80">
      <c r="A80" s="29" t="n"/>
      <c r="B80" s="29" t="n"/>
      <c r="C80" s="29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  <c r="AB80" s="29" t="n"/>
      <c r="AC80" s="29" t="n"/>
      <c r="AD80" s="29" t="n"/>
      <c r="AE80" s="29" t="n"/>
      <c r="AF80" s="29" t="n"/>
      <c r="AG80" s="29" t="n"/>
      <c r="AH80" s="29" t="n"/>
      <c r="AI80" s="29" t="n"/>
      <c r="AJ80" s="29" t="n"/>
      <c r="AK80" s="29" t="n"/>
      <c r="AL80" s="29" t="n"/>
      <c r="AM80" s="29" t="n"/>
      <c r="AN80" s="29" t="n"/>
      <c r="AO80" s="29" t="n"/>
      <c r="AP80" s="29" t="n"/>
    </row>
    <row r="81">
      <c r="A81" s="29" t="n"/>
      <c r="B81" s="29" t="n"/>
      <c r="C81" s="29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  <c r="AA81" s="29" t="n"/>
      <c r="AB81" s="29" t="n"/>
      <c r="AC81" s="29" t="n"/>
      <c r="AD81" s="29" t="n"/>
      <c r="AE81" s="29" t="n"/>
      <c r="AF81" s="29" t="n"/>
      <c r="AG81" s="29" t="n"/>
      <c r="AH81" s="29" t="n"/>
      <c r="AI81" s="29" t="n"/>
      <c r="AJ81" s="29" t="n"/>
      <c r="AK81" s="29" t="n"/>
      <c r="AL81" s="29" t="n"/>
      <c r="AM81" s="29" t="n"/>
      <c r="AN81" s="29" t="n"/>
      <c r="AO81" s="29" t="n"/>
      <c r="AP81" s="29" t="n"/>
    </row>
    <row r="82">
      <c r="A82" s="29" t="n"/>
      <c r="B82" s="29" t="n"/>
      <c r="C82" s="29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  <c r="AB82" s="29" t="n"/>
      <c r="AC82" s="29" t="n"/>
      <c r="AD82" s="29" t="n"/>
      <c r="AE82" s="29" t="n"/>
      <c r="AF82" s="29" t="n"/>
      <c r="AG82" s="29" t="n"/>
      <c r="AH82" s="29" t="n"/>
      <c r="AI82" s="29" t="n"/>
      <c r="AJ82" s="29" t="n"/>
      <c r="AK82" s="29" t="n"/>
      <c r="AL82" s="29" t="n"/>
      <c r="AM82" s="29" t="n"/>
      <c r="AN82" s="29" t="n"/>
      <c r="AO82" s="29" t="n"/>
      <c r="AP82" s="29" t="n"/>
    </row>
    <row r="83">
      <c r="A83" s="29" t="n"/>
      <c r="B83" s="29" t="n"/>
      <c r="C83" s="29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  <c r="AA83" s="29" t="n"/>
      <c r="AB83" s="29" t="n"/>
      <c r="AC83" s="29" t="n"/>
      <c r="AD83" s="29" t="n"/>
      <c r="AE83" s="29" t="n"/>
      <c r="AF83" s="29" t="n"/>
      <c r="AG83" s="29" t="n"/>
      <c r="AH83" s="29" t="n"/>
      <c r="AI83" s="29" t="n"/>
      <c r="AJ83" s="29" t="n"/>
      <c r="AK83" s="29" t="n"/>
      <c r="AL83" s="29" t="n"/>
      <c r="AM83" s="29" t="n"/>
      <c r="AN83" s="29" t="n"/>
      <c r="AO83" s="29" t="n"/>
      <c r="AP83" s="29" t="n"/>
    </row>
    <row r="84">
      <c r="A84" s="29" t="n"/>
      <c r="B84" s="29" t="n"/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  <c r="AB84" s="29" t="n"/>
      <c r="AC84" s="29" t="n"/>
      <c r="AD84" s="29" t="n"/>
      <c r="AE84" s="29" t="n"/>
      <c r="AF84" s="29" t="n"/>
      <c r="AG84" s="29" t="n"/>
      <c r="AH84" s="29" t="n"/>
      <c r="AI84" s="29" t="n"/>
      <c r="AJ84" s="29" t="n"/>
      <c r="AK84" s="29" t="n"/>
      <c r="AL84" s="29" t="n"/>
      <c r="AM84" s="29" t="n"/>
      <c r="AN84" s="29" t="n"/>
      <c r="AO84" s="29" t="n"/>
      <c r="AP84" s="29" t="n"/>
    </row>
    <row r="85">
      <c r="A85" s="29" t="n"/>
      <c r="B85" s="29" t="n"/>
      <c r="C85" s="29" t="n"/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  <c r="AB85" s="29" t="n"/>
      <c r="AC85" s="29" t="n"/>
      <c r="AD85" s="29" t="n"/>
      <c r="AE85" s="29" t="n"/>
      <c r="AF85" s="29" t="n"/>
      <c r="AG85" s="29" t="n"/>
      <c r="AH85" s="29" t="n"/>
      <c r="AI85" s="29" t="n"/>
      <c r="AJ85" s="29" t="n"/>
      <c r="AK85" s="29" t="n"/>
      <c r="AL85" s="29" t="n"/>
      <c r="AM85" s="29" t="n"/>
      <c r="AN85" s="29" t="n"/>
      <c r="AO85" s="29" t="n"/>
      <c r="AP85" s="29" t="n"/>
    </row>
    <row r="86">
      <c r="A86" s="29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  <c r="AB86" s="29" t="n"/>
      <c r="AC86" s="29" t="n"/>
      <c r="AD86" s="29" t="n"/>
      <c r="AE86" s="29" t="n"/>
      <c r="AF86" s="29" t="n"/>
      <c r="AG86" s="29" t="n"/>
      <c r="AH86" s="29" t="n"/>
      <c r="AI86" s="29" t="n"/>
      <c r="AJ86" s="29" t="n"/>
      <c r="AK86" s="29" t="n"/>
      <c r="AL86" s="29" t="n"/>
      <c r="AM86" s="29" t="n"/>
      <c r="AN86" s="29" t="n"/>
      <c r="AO86" s="29" t="n"/>
      <c r="AP86" s="29" t="n"/>
    </row>
    <row r="87">
      <c r="A87" s="29" t="n"/>
      <c r="B87" s="29" t="n"/>
      <c r="C87" s="29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  <c r="AB87" s="29" t="n"/>
      <c r="AC87" s="29" t="n"/>
      <c r="AD87" s="29" t="n"/>
      <c r="AE87" s="29" t="n"/>
      <c r="AF87" s="29" t="n"/>
      <c r="AG87" s="29" t="n"/>
      <c r="AH87" s="29" t="n"/>
      <c r="AI87" s="29" t="n"/>
      <c r="AJ87" s="29" t="n"/>
      <c r="AK87" s="29" t="n"/>
      <c r="AL87" s="29" t="n"/>
      <c r="AM87" s="29" t="n"/>
      <c r="AN87" s="29" t="n"/>
      <c r="AO87" s="29" t="n"/>
      <c r="AP87" s="29" t="n"/>
    </row>
    <row r="88">
      <c r="A88" s="29" t="n"/>
      <c r="B88" s="29" t="n"/>
      <c r="C88" s="29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  <c r="AB88" s="29" t="n"/>
      <c r="AC88" s="29" t="n"/>
      <c r="AD88" s="29" t="n"/>
      <c r="AE88" s="29" t="n"/>
      <c r="AF88" s="29" t="n"/>
      <c r="AG88" s="29" t="n"/>
      <c r="AH88" s="29" t="n"/>
      <c r="AI88" s="29" t="n"/>
      <c r="AJ88" s="29" t="n"/>
      <c r="AK88" s="29" t="n"/>
      <c r="AL88" s="29" t="n"/>
      <c r="AM88" s="29" t="n"/>
      <c r="AN88" s="29" t="n"/>
      <c r="AO88" s="29" t="n"/>
      <c r="AP88" s="29" t="n"/>
    </row>
    <row r="89">
      <c r="A89" s="29" t="n"/>
      <c r="B89" s="29" t="n"/>
      <c r="C89" s="29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  <c r="AB89" s="29" t="n"/>
      <c r="AC89" s="29" t="n"/>
      <c r="AD89" s="29" t="n"/>
      <c r="AE89" s="29" t="n"/>
      <c r="AF89" s="29" t="n"/>
      <c r="AG89" s="29" t="n"/>
      <c r="AH89" s="29" t="n"/>
      <c r="AI89" s="29" t="n"/>
      <c r="AJ89" s="29" t="n"/>
      <c r="AK89" s="29" t="n"/>
      <c r="AL89" s="29" t="n"/>
      <c r="AM89" s="29" t="n"/>
      <c r="AN89" s="29" t="n"/>
      <c r="AO89" s="29" t="n"/>
      <c r="AP89" s="29" t="n"/>
    </row>
    <row r="90">
      <c r="A90" s="29" t="n"/>
      <c r="B90" s="29" t="n"/>
      <c r="C90" s="29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  <c r="AB90" s="29" t="n"/>
      <c r="AC90" s="29" t="n"/>
      <c r="AD90" s="29" t="n"/>
      <c r="AE90" s="29" t="n"/>
      <c r="AF90" s="29" t="n"/>
      <c r="AG90" s="29" t="n"/>
      <c r="AH90" s="29" t="n"/>
      <c r="AI90" s="29" t="n"/>
      <c r="AJ90" s="29" t="n"/>
      <c r="AK90" s="29" t="n"/>
      <c r="AL90" s="29" t="n"/>
      <c r="AM90" s="29" t="n"/>
      <c r="AN90" s="29" t="n"/>
      <c r="AO90" s="29" t="n"/>
      <c r="AP90" s="29" t="n"/>
    </row>
    <row r="91">
      <c r="A91" s="29" t="n"/>
      <c r="B91" s="29" t="n"/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  <c r="AB91" s="29" t="n"/>
      <c r="AC91" s="29" t="n"/>
      <c r="AD91" s="29" t="n"/>
      <c r="AE91" s="29" t="n"/>
      <c r="AF91" s="29" t="n"/>
      <c r="AG91" s="29" t="n"/>
      <c r="AH91" s="29" t="n"/>
      <c r="AI91" s="29" t="n"/>
      <c r="AJ91" s="29" t="n"/>
      <c r="AK91" s="29" t="n"/>
      <c r="AL91" s="29" t="n"/>
      <c r="AM91" s="29" t="n"/>
      <c r="AN91" s="29" t="n"/>
      <c r="AO91" s="29" t="n"/>
      <c r="AP91" s="29" t="n"/>
    </row>
    <row r="92">
      <c r="A92" s="29" t="n"/>
      <c r="B92" s="29" t="n"/>
      <c r="C92" s="29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  <c r="AB92" s="29" t="n"/>
      <c r="AC92" s="29" t="n"/>
      <c r="AD92" s="29" t="n"/>
      <c r="AE92" s="29" t="n"/>
      <c r="AF92" s="29" t="n"/>
      <c r="AG92" s="29" t="n"/>
      <c r="AH92" s="29" t="n"/>
      <c r="AI92" s="29" t="n"/>
      <c r="AJ92" s="29" t="n"/>
      <c r="AK92" s="29" t="n"/>
      <c r="AL92" s="29" t="n"/>
      <c r="AM92" s="29" t="n"/>
      <c r="AN92" s="29" t="n"/>
      <c r="AO92" s="29" t="n"/>
      <c r="AP92" s="29" t="n"/>
    </row>
    <row r="93">
      <c r="A93" s="29" t="n"/>
      <c r="B93" s="29" t="n"/>
      <c r="C93" s="29" t="n"/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  <c r="AB93" s="29" t="n"/>
      <c r="AC93" s="29" t="n"/>
      <c r="AD93" s="29" t="n"/>
      <c r="AE93" s="29" t="n"/>
      <c r="AF93" s="29" t="n"/>
      <c r="AG93" s="29" t="n"/>
      <c r="AH93" s="29" t="n"/>
      <c r="AI93" s="29" t="n"/>
      <c r="AJ93" s="29" t="n"/>
      <c r="AK93" s="29" t="n"/>
      <c r="AL93" s="29" t="n"/>
      <c r="AM93" s="29" t="n"/>
      <c r="AN93" s="29" t="n"/>
      <c r="AO93" s="29" t="n"/>
      <c r="AP93" s="29" t="n"/>
    </row>
    <row r="94">
      <c r="A94" s="29" t="n"/>
      <c r="B94" s="29" t="n"/>
      <c r="C94" s="29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  <c r="AB94" s="29" t="n"/>
      <c r="AC94" s="29" t="n"/>
      <c r="AD94" s="29" t="n"/>
      <c r="AE94" s="29" t="n"/>
      <c r="AF94" s="29" t="n"/>
      <c r="AG94" s="29" t="n"/>
      <c r="AH94" s="29" t="n"/>
      <c r="AI94" s="29" t="n"/>
      <c r="AJ94" s="29" t="n"/>
      <c r="AK94" s="29" t="n"/>
      <c r="AL94" s="29" t="n"/>
      <c r="AM94" s="29" t="n"/>
      <c r="AN94" s="29" t="n"/>
      <c r="AO94" s="29" t="n"/>
      <c r="AP94" s="29" t="n"/>
    </row>
    <row r="95">
      <c r="A95" s="29" t="n"/>
      <c r="B95" s="29" t="n"/>
      <c r="C95" s="29" t="n"/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  <c r="AB95" s="29" t="n"/>
      <c r="AC95" s="29" t="n"/>
      <c r="AD95" s="29" t="n"/>
      <c r="AE95" s="29" t="n"/>
      <c r="AF95" s="29" t="n"/>
      <c r="AG95" s="29" t="n"/>
      <c r="AH95" s="29" t="n"/>
      <c r="AI95" s="29" t="n"/>
      <c r="AJ95" s="29" t="n"/>
      <c r="AK95" s="29" t="n"/>
      <c r="AL95" s="29" t="n"/>
      <c r="AM95" s="29" t="n"/>
      <c r="AN95" s="29" t="n"/>
      <c r="AO95" s="29" t="n"/>
      <c r="AP95" s="29" t="n"/>
    </row>
    <row r="96">
      <c r="A96" s="29" t="n"/>
      <c r="B96" s="29" t="n"/>
      <c r="C96" s="29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  <c r="AB96" s="29" t="n"/>
      <c r="AC96" s="29" t="n"/>
      <c r="AD96" s="29" t="n"/>
      <c r="AE96" s="29" t="n"/>
      <c r="AF96" s="29" t="n"/>
      <c r="AG96" s="29" t="n"/>
      <c r="AH96" s="29" t="n"/>
      <c r="AI96" s="29" t="n"/>
      <c r="AJ96" s="29" t="n"/>
      <c r="AK96" s="29" t="n"/>
      <c r="AL96" s="29" t="n"/>
      <c r="AM96" s="29" t="n"/>
      <c r="AN96" s="29" t="n"/>
      <c r="AO96" s="29" t="n"/>
      <c r="AP96" s="29" t="n"/>
    </row>
    <row r="97">
      <c r="A97" s="29" t="n"/>
      <c r="B97" s="29" t="n"/>
      <c r="C97" s="29" t="n"/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  <c r="AB97" s="29" t="n"/>
      <c r="AC97" s="29" t="n"/>
      <c r="AD97" s="29" t="n"/>
      <c r="AE97" s="29" t="n"/>
      <c r="AF97" s="29" t="n"/>
      <c r="AG97" s="29" t="n"/>
      <c r="AH97" s="29" t="n"/>
      <c r="AI97" s="29" t="n"/>
      <c r="AJ97" s="29" t="n"/>
      <c r="AK97" s="29" t="n"/>
      <c r="AL97" s="29" t="n"/>
      <c r="AM97" s="29" t="n"/>
      <c r="AN97" s="29" t="n"/>
      <c r="AO97" s="29" t="n"/>
      <c r="AP97" s="29" t="n"/>
    </row>
    <row r="98">
      <c r="A98" s="29" t="n"/>
      <c r="B98" s="29" t="n"/>
      <c r="C98" s="29" t="n"/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  <c r="AA98" s="29" t="n"/>
      <c r="AB98" s="29" t="n"/>
      <c r="AC98" s="29" t="n"/>
      <c r="AD98" s="29" t="n"/>
      <c r="AE98" s="29" t="n"/>
      <c r="AF98" s="29" t="n"/>
      <c r="AG98" s="29" t="n"/>
      <c r="AH98" s="29" t="n"/>
      <c r="AI98" s="29" t="n"/>
      <c r="AJ98" s="29" t="n"/>
      <c r="AK98" s="29" t="n"/>
      <c r="AL98" s="29" t="n"/>
      <c r="AM98" s="29" t="n"/>
      <c r="AN98" s="29" t="n"/>
      <c r="AO98" s="29" t="n"/>
      <c r="AP98" s="29" t="n"/>
    </row>
    <row r="99">
      <c r="A99" s="29" t="n"/>
      <c r="B99" s="29" t="n"/>
      <c r="C99" s="29" t="n"/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  <c r="AA99" s="29" t="n"/>
      <c r="AB99" s="29" t="n"/>
      <c r="AC99" s="29" t="n"/>
      <c r="AD99" s="29" t="n"/>
      <c r="AE99" s="29" t="n"/>
      <c r="AF99" s="29" t="n"/>
      <c r="AG99" s="29" t="n"/>
      <c r="AH99" s="29" t="n"/>
      <c r="AI99" s="29" t="n"/>
      <c r="AJ99" s="29" t="n"/>
      <c r="AK99" s="29" t="n"/>
      <c r="AL99" s="29" t="n"/>
      <c r="AM99" s="29" t="n"/>
      <c r="AN99" s="29" t="n"/>
      <c r="AO99" s="29" t="n"/>
      <c r="AP99" s="29" t="n"/>
    </row>
    <row r="100">
      <c r="A100" s="29" t="n"/>
      <c r="B100" s="29" t="n"/>
      <c r="C100" s="29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>
      <c r="A101" s="29" t="n"/>
      <c r="B101" s="29" t="n"/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>
      <c r="A102" s="29" t="n"/>
      <c r="B102" s="29" t="n"/>
      <c r="C102" s="29" t="n"/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>
      <c r="A103" s="29" t="n"/>
      <c r="B103" s="29" t="n"/>
      <c r="C103" s="29" t="n"/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>
      <c r="A104" s="29" t="n"/>
      <c r="B104" s="29" t="n"/>
      <c r="C104" s="29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>
      <c r="A105" s="29" t="n"/>
      <c r="B105" s="29" t="n"/>
      <c r="C105" s="29" t="n"/>
      <c r="D105" s="29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>
      <c r="A106" s="29" t="n"/>
      <c r="B106" s="29" t="n"/>
      <c r="C106" s="29" t="n"/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>
      <c r="A107" s="29" t="n"/>
      <c r="B107" s="29" t="n"/>
      <c r="C107" s="29" t="n"/>
      <c r="D107" s="29" t="n"/>
      <c r="E107" s="29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>
      <c r="A108" s="29" t="n"/>
      <c r="B108" s="29" t="n"/>
      <c r="C108" s="29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>
      <c r="A109" s="29" t="n"/>
      <c r="B109" s="29" t="n"/>
      <c r="C109" s="29" t="n"/>
      <c r="D109" s="29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>
      <c r="A110" s="29" t="n"/>
      <c r="B110" s="29" t="n"/>
      <c r="C110" s="29" t="n"/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>
      <c r="A111" s="29" t="n"/>
      <c r="B111" s="29" t="n"/>
      <c r="C111" s="29" t="n"/>
      <c r="D111" s="29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>
      <c r="A112" s="29" t="n"/>
      <c r="B112" s="29" t="n"/>
      <c r="C112" s="29" t="n"/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>
      <c r="A113" s="29" t="n"/>
      <c r="B113" s="29" t="n"/>
      <c r="C113" s="29" t="n"/>
      <c r="D113" s="29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>
      <c r="A114" s="29" t="n"/>
      <c r="B114" s="29" t="n"/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>
      <c r="A115" s="29" t="n"/>
      <c r="B115" s="29" t="n"/>
      <c r="C115" s="29" t="n"/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>
      <c r="A116" s="29" t="n"/>
      <c r="B116" s="29" t="n"/>
      <c r="C116" s="29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>
      <c r="A117" s="29" t="n"/>
      <c r="B117" s="29" t="n"/>
      <c r="C117" s="29" t="n"/>
      <c r="D117" s="29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>
      <c r="A119" s="29" t="n"/>
      <c r="B119" s="29" t="n"/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>
      <c r="A121" s="29" t="n"/>
      <c r="B121" s="29" t="n"/>
      <c r="C121" s="29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>
      <c r="A132" s="29" t="n"/>
      <c r="B132" s="29" t="n"/>
      <c r="C132" s="29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>
      <c r="A133" s="29" t="n"/>
      <c r="B133" s="29" t="n"/>
      <c r="C133" s="29" t="n"/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>
      <c r="A134" s="29" t="n"/>
      <c r="B134" s="29" t="n"/>
      <c r="C134" s="29" t="n"/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>
      <c r="A135" s="29" t="n"/>
      <c r="B135" s="29" t="n"/>
      <c r="C135" s="29" t="n"/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>
      <c r="A136" s="29" t="n"/>
      <c r="B136" s="29" t="n"/>
      <c r="C136" s="29" t="n"/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>
      <c r="A137" s="29" t="n"/>
      <c r="B137" s="29" t="n"/>
      <c r="C137" s="29" t="n"/>
      <c r="D137" s="29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>
      <c r="A138" s="29" t="n"/>
      <c r="B138" s="29" t="n"/>
      <c r="C138" s="29" t="n"/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>
      <c r="A139" s="29" t="n"/>
      <c r="B139" s="29" t="n"/>
      <c r="C139" s="29" t="n"/>
      <c r="D139" s="29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>
      <c r="A140" s="29" t="n"/>
      <c r="B140" s="29" t="n"/>
      <c r="C140" s="29" t="n"/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>
      <c r="A141" s="29" t="n"/>
      <c r="B141" s="29" t="n"/>
      <c r="C141" s="29" t="n"/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>
      <c r="A142" s="29" t="n"/>
      <c r="B142" s="29" t="n"/>
      <c r="C142" s="29" t="n"/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>
      <c r="A143" s="29" t="n"/>
      <c r="B143" s="29" t="n"/>
      <c r="C143" s="29" t="n"/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>
      <c r="A144" s="29" t="n"/>
      <c r="B144" s="29" t="n"/>
      <c r="C144" s="29" t="n"/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>
      <c r="A145" s="29" t="n"/>
      <c r="B145" s="29" t="n"/>
      <c r="C145" s="29" t="n"/>
      <c r="D145" s="29" t="n"/>
      <c r="E145" s="29" t="n"/>
      <c r="F145" s="29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>
      <c r="A146" s="29" t="n"/>
      <c r="B146" s="29" t="n"/>
      <c r="C146" s="29" t="n"/>
      <c r="D146" s="29" t="n"/>
      <c r="E146" s="29" t="n"/>
      <c r="F146" s="29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>
      <c r="A147" s="29" t="n"/>
      <c r="B147" s="29" t="n"/>
      <c r="C147" s="29" t="n"/>
      <c r="D147" s="29" t="n"/>
      <c r="E147" s="29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>
      <c r="A148" s="29" t="n"/>
      <c r="B148" s="29" t="n"/>
      <c r="C148" s="29" t="n"/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>
      <c r="A149" s="29" t="n"/>
      <c r="B149" s="29" t="n"/>
      <c r="C149" s="29" t="n"/>
      <c r="D149" s="29" t="n"/>
      <c r="E149" s="29" t="n"/>
      <c r="F149" s="29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>
      <c r="A150" s="29" t="n"/>
      <c r="B150" s="29" t="n"/>
      <c r="C150" s="29" t="n"/>
      <c r="D150" s="29" t="n"/>
      <c r="E150" s="29" t="n"/>
      <c r="F150" s="29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>
      <c r="A151" s="29" t="n"/>
      <c r="B151" s="29" t="n"/>
      <c r="C151" s="29" t="n"/>
      <c r="D151" s="29" t="n"/>
      <c r="E151" s="29" t="n"/>
      <c r="F151" s="29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>
      <c r="A152" s="29" t="n"/>
      <c r="B152" s="29" t="n"/>
      <c r="C152" s="29" t="n"/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>
      <c r="A153" s="29" t="n"/>
      <c r="B153" s="29" t="n"/>
      <c r="C153" s="2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>
      <c r="A154" s="29" t="n"/>
      <c r="B154" s="29" t="n"/>
      <c r="C154" s="2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>
      <c r="A155" s="29" t="n"/>
      <c r="B155" s="29" t="n"/>
      <c r="C155" s="2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>
      <c r="A156" s="29" t="n"/>
      <c r="B156" s="29" t="n"/>
      <c r="C156" s="2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>
      <c r="A157" s="29" t="n"/>
      <c r="B157" s="29" t="n"/>
      <c r="C157" s="2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>
      <c r="A158" s="29" t="n"/>
      <c r="B158" s="29" t="n"/>
      <c r="C158" s="29" t="n"/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>
      <c r="A159" s="29" t="n"/>
      <c r="B159" s="29" t="n"/>
      <c r="C159" s="29" t="n"/>
      <c r="D159" s="29" t="n"/>
      <c r="E159" s="29" t="n"/>
      <c r="F159" s="29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>
      <c r="A160" s="29" t="n"/>
      <c r="B160" s="29" t="n"/>
      <c r="C160" s="29" t="n"/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>
      <c r="A161" s="29" t="n"/>
      <c r="B161" s="29" t="n"/>
      <c r="C161" s="29" t="n"/>
      <c r="D161" s="29" t="n"/>
      <c r="E161" s="29" t="n"/>
      <c r="F161" s="29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>
      <c r="A162" s="29" t="n"/>
      <c r="B162" s="29" t="n"/>
      <c r="C162" s="29" t="n"/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>
      <c r="A163" s="29" t="n"/>
      <c r="B163" s="29" t="n"/>
      <c r="C163" s="29" t="n"/>
      <c r="D163" s="29" t="n"/>
      <c r="E163" s="29" t="n"/>
      <c r="F163" s="29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>
      <c r="A164" s="29" t="n"/>
      <c r="B164" s="29" t="n"/>
      <c r="C164" s="29" t="n"/>
      <c r="D164" s="29" t="n"/>
      <c r="E164" s="29" t="n"/>
      <c r="F164" s="29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>
      <c r="A165" s="29" t="n"/>
      <c r="B165" s="29" t="n"/>
      <c r="C165" s="29" t="n"/>
      <c r="D165" s="29" t="n"/>
      <c r="E165" s="29" t="n"/>
      <c r="F165" s="29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>
      <c r="A166" s="29" t="n"/>
      <c r="B166" s="29" t="n"/>
      <c r="C166" s="29" t="n"/>
      <c r="D166" s="29" t="n"/>
      <c r="E166" s="29" t="n"/>
      <c r="F166" s="29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>
      <c r="A167" s="29" t="n"/>
      <c r="B167" s="29" t="n"/>
      <c r="C167" s="29" t="n"/>
      <c r="D167" s="29" t="n"/>
      <c r="E167" s="29" t="n"/>
      <c r="F167" s="29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>
      <c r="A168" s="29" t="n"/>
      <c r="B168" s="29" t="n"/>
      <c r="C168" s="29" t="n"/>
      <c r="D168" s="29" t="n"/>
      <c r="E168" s="29" t="n"/>
      <c r="F168" s="29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>
      <c r="A169" s="29" t="n"/>
      <c r="B169" s="29" t="n"/>
      <c r="C169" s="29" t="n"/>
      <c r="D169" s="29" t="n"/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>
      <c r="A170" s="29" t="n"/>
      <c r="B170" s="29" t="n"/>
      <c r="C170" s="29" t="n"/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>
      <c r="A171" s="29" t="n"/>
      <c r="B171" s="29" t="n"/>
      <c r="C171" s="29" t="n"/>
      <c r="D171" s="29" t="n"/>
      <c r="E171" s="29" t="n"/>
      <c r="F171" s="29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>
      <c r="A172" s="29" t="n"/>
      <c r="B172" s="29" t="n"/>
      <c r="C172" s="29" t="n"/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>
      <c r="A173" s="29" t="n"/>
      <c r="B173" s="29" t="n"/>
      <c r="C173" s="29" t="n"/>
      <c r="D173" s="29" t="n"/>
      <c r="E173" s="29" t="n"/>
      <c r="F173" s="29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>
      <c r="A174" s="29" t="n"/>
      <c r="B174" s="29" t="n"/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>
      <c r="A175" s="29" t="n"/>
      <c r="B175" s="29" t="n"/>
      <c r="C175" s="29" t="n"/>
      <c r="D175" s="29" t="n"/>
      <c r="E175" s="29" t="n"/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>
      <c r="A176" s="29" t="n"/>
      <c r="B176" s="29" t="n"/>
      <c r="C176" s="29" t="n"/>
      <c r="D176" s="29" t="n"/>
      <c r="E176" s="29" t="n"/>
      <c r="F176" s="29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>
      <c r="A177" s="29" t="n"/>
      <c r="B177" s="29" t="n"/>
      <c r="C177" s="29" t="n"/>
      <c r="D177" s="29" t="n"/>
      <c r="E177" s="29" t="n"/>
      <c r="F177" s="29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>
      <c r="A178" s="29" t="n"/>
      <c r="B178" s="29" t="n"/>
      <c r="C178" s="29" t="n"/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>
      <c r="A179" s="29" t="n"/>
      <c r="B179" s="29" t="n"/>
      <c r="C179" s="29" t="n"/>
      <c r="D179" s="29" t="n"/>
      <c r="E179" s="29" t="n"/>
      <c r="F179" s="29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>
      <c r="A180" s="29" t="n"/>
      <c r="B180" s="29" t="n"/>
      <c r="C180" s="29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>
      <c r="A181" s="29" t="n"/>
      <c r="B181" s="29" t="n"/>
      <c r="C181" s="29" t="n"/>
      <c r="D181" s="29" t="n"/>
      <c r="E181" s="29" t="n"/>
      <c r="F181" s="29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>
      <c r="A182" s="29" t="n"/>
      <c r="B182" s="29" t="n"/>
      <c r="C182" s="29" t="n"/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>
      <c r="A183" s="29" t="n"/>
      <c r="B183" s="29" t="n"/>
      <c r="C183" s="29" t="n"/>
      <c r="D183" s="29" t="n"/>
      <c r="E183" s="29" t="n"/>
      <c r="F183" s="29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>
      <c r="A184" s="29" t="n"/>
      <c r="B184" s="29" t="n"/>
      <c r="C184" s="29" t="n"/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>
      <c r="A185" s="29" t="n"/>
      <c r="B185" s="29" t="n"/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>
      <c r="A186" s="29" t="n"/>
      <c r="B186" s="29" t="n"/>
      <c r="C186" s="29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>
      <c r="A187" s="29" t="n"/>
      <c r="B187" s="29" t="n"/>
      <c r="C187" s="29" t="n"/>
      <c r="D187" s="29" t="n"/>
      <c r="E187" s="29" t="n"/>
      <c r="F187" s="29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>
      <c r="A188" s="29" t="n"/>
      <c r="B188" s="29" t="n"/>
      <c r="C188" s="29" t="n"/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>
      <c r="A189" s="29" t="n"/>
      <c r="B189" s="29" t="n"/>
      <c r="C189" s="29" t="n"/>
      <c r="D189" s="29" t="n"/>
      <c r="E189" s="29" t="n"/>
      <c r="F189" s="29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>
      <c r="A190" s="29" t="n"/>
      <c r="B190" s="29" t="n"/>
      <c r="C190" s="29" t="n"/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>
      <c r="A191" s="29" t="n"/>
      <c r="B191" s="29" t="n"/>
      <c r="C191" s="29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>
      <c r="A192" s="29" t="n"/>
      <c r="B192" s="29" t="n"/>
      <c r="C192" s="29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>
      <c r="A193" s="29" t="n"/>
      <c r="B193" s="29" t="n"/>
      <c r="C193" s="29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>
      <c r="A194" s="29" t="n"/>
      <c r="B194" s="29" t="n"/>
      <c r="C194" s="29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>
      <c r="A195" s="29" t="n"/>
      <c r="B195" s="29" t="n"/>
      <c r="C195" s="29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>
      <c r="A196" s="29" t="n"/>
      <c r="B196" s="29" t="n"/>
      <c r="C196" s="29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>
      <c r="A197" s="29" t="n"/>
      <c r="B197" s="29" t="n"/>
      <c r="C197" s="29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>
      <c r="A198" s="29" t="n"/>
      <c r="B198" s="29" t="n"/>
      <c r="C198" s="29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>
      <c r="A199" s="29" t="n"/>
      <c r="B199" s="29" t="n"/>
      <c r="C199" s="29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>
      <c r="A200" s="29" t="n"/>
      <c r="B200" s="29" t="n"/>
      <c r="C200" s="29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>
      <c r="A201" s="29" t="n"/>
      <c r="B201" s="29" t="n"/>
      <c r="C201" s="29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>
      <c r="A202" s="29" t="n"/>
      <c r="B202" s="29" t="n"/>
      <c r="C202" s="29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>
      <c r="A203" s="29" t="n"/>
      <c r="B203" s="29" t="n"/>
      <c r="C203" s="29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>
      <c r="A204" s="29" t="n"/>
      <c r="B204" s="29" t="n"/>
      <c r="C204" s="29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>
      <c r="A205" s="29" t="n"/>
      <c r="B205" s="29" t="n"/>
      <c r="C205" s="29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>
      <c r="A206" s="29" t="n"/>
      <c r="B206" s="29" t="n"/>
      <c r="C206" s="29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>
      <c r="A207" s="29" t="n"/>
      <c r="B207" s="29" t="n"/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>
      <c r="A208" s="29" t="n"/>
      <c r="B208" s="29" t="n"/>
      <c r="C208" s="29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>
      <c r="A209" s="29" t="n"/>
      <c r="B209" s="29" t="n"/>
      <c r="C209" s="29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>
      <c r="A210" s="29" t="n"/>
      <c r="B210" s="29" t="n"/>
      <c r="C210" s="29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>
      <c r="A211" s="29" t="n"/>
      <c r="B211" s="29" t="n"/>
      <c r="C211" s="29" t="n"/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>
      <c r="A212" s="29" t="n"/>
      <c r="B212" s="29" t="n"/>
      <c r="C212" s="29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>
      <c r="A213" s="29" t="n"/>
      <c r="B213" s="29" t="n"/>
      <c r="C213" s="29" t="n"/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>
      <c r="A214" s="29" t="n"/>
      <c r="B214" s="29" t="n"/>
      <c r="C214" s="29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>
      <c r="A215" s="29" t="n"/>
      <c r="B215" s="29" t="n"/>
      <c r="C215" s="29" t="n"/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>
      <c r="A216" s="29" t="n"/>
      <c r="B216" s="29" t="n"/>
      <c r="C216" s="29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>
      <c r="A217" s="29" t="n"/>
      <c r="B217" s="29" t="n"/>
      <c r="C217" s="29" t="n"/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>
      <c r="A218" s="29" t="n"/>
      <c r="B218" s="29" t="n"/>
      <c r="C218" s="29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>
      <c r="A219" s="29" t="n"/>
      <c r="B219" s="29" t="n"/>
      <c r="C219" s="29" t="n"/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>
      <c r="A220" s="29" t="n"/>
      <c r="B220" s="29" t="n"/>
      <c r="C220" s="29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>
      <c r="A221" s="29" t="n"/>
      <c r="B221" s="29" t="n"/>
      <c r="C221" s="29" t="n"/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>
      <c r="A222" s="29" t="n"/>
      <c r="B222" s="29" t="n"/>
      <c r="C222" s="29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>
      <c r="A223" s="29" t="n"/>
      <c r="B223" s="29" t="n"/>
      <c r="C223" s="29" t="n"/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>
      <c r="A224" s="29" t="n"/>
      <c r="B224" s="29" t="n"/>
      <c r="C224" s="29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>
      <c r="A225" s="29" t="n"/>
      <c r="B225" s="29" t="n"/>
      <c r="C225" s="29" t="n"/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>
      <c r="A226" s="29" t="n"/>
      <c r="B226" s="29" t="n"/>
      <c r="C226" s="29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>
      <c r="A227" s="29" t="n"/>
      <c r="B227" s="29" t="n"/>
      <c r="C227" s="29" t="n"/>
      <c r="D227" s="29" t="n"/>
      <c r="E227" s="29" t="n"/>
      <c r="F227" s="29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>
      <c r="A228" s="29" t="n"/>
      <c r="B228" s="29" t="n"/>
      <c r="C228" s="29" t="n"/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>
      <c r="A229" s="29" t="n"/>
      <c r="B229" s="29" t="n"/>
      <c r="C229" s="29" t="n"/>
      <c r="D229" s="29" t="n"/>
      <c r="E229" s="29" t="n"/>
      <c r="F229" s="29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>
      <c r="A230" s="29" t="n"/>
      <c r="B230" s="29" t="n"/>
      <c r="C230" s="29" t="n"/>
      <c r="D230" s="29" t="n"/>
      <c r="E230" s="29" t="n"/>
      <c r="F230" s="29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>
      <c r="A231" s="29" t="n"/>
      <c r="B231" s="29" t="n"/>
      <c r="C231" s="29" t="n"/>
      <c r="D231" s="29" t="n"/>
      <c r="E231" s="29" t="n"/>
      <c r="F231" s="29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>
      <c r="A232" s="29" t="n"/>
      <c r="B232" s="29" t="n"/>
      <c r="C232" s="29" t="n"/>
      <c r="D232" s="29" t="n"/>
      <c r="E232" s="29" t="n"/>
      <c r="F232" s="29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>
      <c r="A233" s="29" t="n"/>
      <c r="B233" s="29" t="n"/>
      <c r="C233" s="29" t="n"/>
      <c r="D233" s="29" t="n"/>
      <c r="E233" s="29" t="n"/>
      <c r="F233" s="29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>
      <c r="A234" s="29" t="n"/>
      <c r="B234" s="29" t="n"/>
      <c r="C234" s="29" t="n"/>
      <c r="D234" s="29" t="n"/>
      <c r="E234" s="29" t="n"/>
      <c r="F234" s="29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>
      <c r="A235" s="29" t="n"/>
      <c r="B235" s="29" t="n"/>
      <c r="C235" s="29" t="n"/>
      <c r="D235" s="29" t="n"/>
      <c r="E235" s="29" t="n"/>
      <c r="F235" s="29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>
      <c r="A236" s="29" t="n"/>
      <c r="B236" s="29" t="n"/>
      <c r="C236" s="29" t="n"/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>
      <c r="A237" s="29" t="n"/>
      <c r="B237" s="29" t="n"/>
      <c r="C237" s="29" t="n"/>
      <c r="D237" s="29" t="n"/>
      <c r="E237" s="29" t="n"/>
      <c r="F237" s="29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>
      <c r="A238" s="29" t="n"/>
      <c r="B238" s="29" t="n"/>
      <c r="C238" s="29" t="n"/>
      <c r="D238" s="29" t="n"/>
      <c r="E238" s="29" t="n"/>
      <c r="F238" s="29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>
      <c r="A239" s="29" t="n"/>
      <c r="B239" s="29" t="n"/>
      <c r="C239" s="29" t="n"/>
      <c r="D239" s="29" t="n"/>
      <c r="E239" s="29" t="n"/>
      <c r="F239" s="29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>
      <c r="A240" s="29" t="n"/>
      <c r="B240" s="29" t="n"/>
      <c r="C240" s="29" t="n"/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>
      <c r="A241" s="29" t="n"/>
      <c r="B241" s="29" t="n"/>
      <c r="C241" s="29" t="n"/>
      <c r="D241" s="29" t="n"/>
      <c r="E241" s="29" t="n"/>
      <c r="F241" s="29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>
      <c r="A242" s="29" t="n"/>
      <c r="B242" s="29" t="n"/>
      <c r="C242" s="29" t="n"/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>
      <c r="A243" s="29" t="n"/>
      <c r="B243" s="29" t="n"/>
      <c r="C243" s="29" t="n"/>
      <c r="D243" s="29" t="n"/>
      <c r="E243" s="29" t="n"/>
      <c r="F243" s="29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>
      <c r="A244" s="29" t="n"/>
      <c r="B244" s="29" t="n"/>
      <c r="C244" s="29" t="n"/>
      <c r="D244" s="29" t="n"/>
      <c r="E244" s="29" t="n"/>
      <c r="F244" s="29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>
      <c r="A245" s="29" t="n"/>
      <c r="B245" s="29" t="n"/>
      <c r="C245" s="29" t="n"/>
      <c r="D245" s="29" t="n"/>
      <c r="E245" s="29" t="n"/>
      <c r="F245" s="29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>
      <c r="A246" s="29" t="n"/>
      <c r="B246" s="29" t="n"/>
      <c r="C246" s="29" t="n"/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>
      <c r="A247" s="29" t="n"/>
      <c r="B247" s="29" t="n"/>
      <c r="C247" s="29" t="n"/>
      <c r="D247" s="29" t="n"/>
      <c r="E247" s="29" t="n"/>
      <c r="F247" s="29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>
      <c r="A248" s="29" t="n"/>
      <c r="B248" s="29" t="n"/>
      <c r="C248" s="29" t="n"/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>
      <c r="A249" s="29" t="n"/>
      <c r="B249" s="29" t="n"/>
      <c r="C249" s="29" t="n"/>
      <c r="D249" s="29" t="n"/>
      <c r="E249" s="29" t="n"/>
      <c r="F249" s="29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>
      <c r="A250" s="29" t="n"/>
      <c r="B250" s="29" t="n"/>
      <c r="C250" s="29" t="n"/>
      <c r="D250" s="29" t="n"/>
      <c r="E250" s="29" t="n"/>
      <c r="F250" s="29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>
      <c r="A251" s="29" t="n"/>
      <c r="B251" s="29" t="n"/>
      <c r="C251" s="29" t="n"/>
      <c r="D251" s="29" t="n"/>
      <c r="E251" s="29" t="n"/>
      <c r="F251" s="29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>
      <c r="A252" s="29" t="n"/>
      <c r="B252" s="29" t="n"/>
      <c r="C252" s="29" t="n"/>
      <c r="D252" s="29" t="n"/>
      <c r="E252" s="29" t="n"/>
      <c r="F252" s="29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>
      <c r="A253" s="29" t="n"/>
      <c r="B253" s="29" t="n"/>
      <c r="C253" s="29" t="n"/>
      <c r="D253" s="29" t="n"/>
      <c r="E253" s="29" t="n"/>
      <c r="F253" s="29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>
      <c r="A254" s="29" t="n"/>
      <c r="B254" s="29" t="n"/>
      <c r="C254" s="29" t="n"/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>
      <c r="A255" s="29" t="n"/>
      <c r="B255" s="29" t="n"/>
      <c r="C255" s="29" t="n"/>
      <c r="D255" s="29" t="n"/>
      <c r="E255" s="29" t="n"/>
      <c r="F255" s="29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>
      <c r="A256" s="29" t="n"/>
      <c r="B256" s="29" t="n"/>
      <c r="C256" s="29" t="n"/>
      <c r="D256" s="29" t="n"/>
      <c r="E256" s="29" t="n"/>
      <c r="F256" s="29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>
      <c r="A257" s="29" t="n"/>
      <c r="B257" s="29" t="n"/>
      <c r="C257" s="29" t="n"/>
      <c r="D257" s="29" t="n"/>
      <c r="E257" s="29" t="n"/>
      <c r="F257" s="29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>
      <c r="A258" s="29" t="n"/>
      <c r="B258" s="29" t="n"/>
      <c r="C258" s="29" t="n"/>
      <c r="D258" s="29" t="n"/>
      <c r="E258" s="29" t="n"/>
      <c r="F258" s="29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>
      <c r="A259" s="29" t="n"/>
      <c r="B259" s="29" t="n"/>
      <c r="C259" s="29" t="n"/>
      <c r="D259" s="29" t="n"/>
      <c r="E259" s="29" t="n"/>
      <c r="F259" s="29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>
      <c r="A260" s="29" t="n"/>
      <c r="B260" s="29" t="n"/>
      <c r="C260" s="29" t="n"/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>
      <c r="A261" s="29" t="n"/>
      <c r="B261" s="29" t="n"/>
      <c r="C261" s="29" t="n"/>
      <c r="D261" s="29" t="n"/>
      <c r="E261" s="29" t="n"/>
      <c r="F261" s="29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>
      <c r="A262" s="29" t="n"/>
      <c r="B262" s="29" t="n"/>
      <c r="C262" s="29" t="n"/>
      <c r="D262" s="29" t="n"/>
      <c r="E262" s="29" t="n"/>
      <c r="F262" s="29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>
      <c r="A263" s="29" t="n"/>
      <c r="B263" s="29" t="n"/>
      <c r="C263" s="29" t="n"/>
      <c r="D263" s="29" t="n"/>
      <c r="E263" s="29" t="n"/>
      <c r="F263" s="29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>
      <c r="A264" s="29" t="n"/>
      <c r="B264" s="29" t="n"/>
      <c r="C264" s="29" t="n"/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>
      <c r="A265" s="29" t="n"/>
      <c r="B265" s="29" t="n"/>
      <c r="C265" s="29" t="n"/>
      <c r="D265" s="29" t="n"/>
      <c r="E265" s="29" t="n"/>
      <c r="F265" s="29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>
      <c r="A266" s="29" t="n"/>
      <c r="B266" s="29" t="n"/>
      <c r="C266" s="29" t="n"/>
      <c r="D266" s="29" t="n"/>
      <c r="E266" s="29" t="n"/>
      <c r="F266" s="29" t="n"/>
      <c r="G266" s="29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>
      <c r="A267" s="29" t="n"/>
      <c r="B267" s="29" t="n"/>
      <c r="C267" s="29" t="n"/>
      <c r="D267" s="29" t="n"/>
      <c r="E267" s="29" t="n"/>
      <c r="F267" s="29" t="n"/>
      <c r="G267" s="29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>
      <c r="A268" s="29" t="n"/>
      <c r="B268" s="29" t="n"/>
      <c r="C268" s="29" t="n"/>
      <c r="D268" s="29" t="n"/>
      <c r="E268" s="29" t="n"/>
      <c r="F268" s="29" t="n"/>
      <c r="G268" s="29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>
      <c r="A269" s="29" t="n"/>
      <c r="B269" s="29" t="n"/>
      <c r="C269" s="29" t="n"/>
      <c r="D269" s="29" t="n"/>
      <c r="E269" s="29" t="n"/>
      <c r="F269" s="29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>
      <c r="A270" s="29" t="n"/>
      <c r="B270" s="29" t="n"/>
      <c r="C270" s="29" t="n"/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>
      <c r="A271" s="29" t="n"/>
      <c r="B271" s="29" t="n"/>
      <c r="C271" s="29" t="n"/>
      <c r="D271" s="29" t="n"/>
      <c r="E271" s="29" t="n"/>
      <c r="F271" s="29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>
      <c r="A272" s="29" t="n"/>
      <c r="B272" s="29" t="n"/>
      <c r="C272" s="29" t="n"/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>
      <c r="A273" s="29" t="n"/>
      <c r="B273" s="29" t="n"/>
      <c r="C273" s="29" t="n"/>
      <c r="D273" s="29" t="n"/>
      <c r="E273" s="29" t="n"/>
      <c r="F273" s="29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>
      <c r="A274" s="29" t="n"/>
      <c r="B274" s="29" t="n"/>
      <c r="C274" s="29" t="n"/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>
      <c r="A275" s="29" t="n"/>
      <c r="B275" s="29" t="n"/>
      <c r="C275" s="29" t="n"/>
      <c r="D275" s="29" t="n"/>
      <c r="E275" s="29" t="n"/>
      <c r="F275" s="29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>
      <c r="A276" s="29" t="n"/>
      <c r="B276" s="29" t="n"/>
      <c r="C276" s="29" t="n"/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>
      <c r="A277" s="29" t="n"/>
      <c r="B277" s="29" t="n"/>
      <c r="C277" s="29" t="n"/>
      <c r="D277" s="29" t="n"/>
      <c r="E277" s="29" t="n"/>
      <c r="F277" s="29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>
      <c r="A278" s="29" t="n"/>
      <c r="B278" s="29" t="n"/>
      <c r="C278" s="29" t="n"/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>
      <c r="A279" s="29" t="n"/>
      <c r="B279" s="29" t="n"/>
      <c r="C279" s="29" t="n"/>
      <c r="D279" s="29" t="n"/>
      <c r="E279" s="29" t="n"/>
      <c r="F279" s="29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>
      <c r="A280" s="29" t="n"/>
      <c r="B280" s="29" t="n"/>
      <c r="C280" s="29" t="n"/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>
      <c r="A281" s="29" t="n"/>
      <c r="B281" s="29" t="n"/>
      <c r="C281" s="29" t="n"/>
      <c r="D281" s="29" t="n"/>
      <c r="E281" s="29" t="n"/>
      <c r="F281" s="29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>
      <c r="A282" s="29" t="n"/>
      <c r="B282" s="29" t="n"/>
      <c r="C282" s="29" t="n"/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>
      <c r="A283" s="29" t="n"/>
      <c r="B283" s="29" t="n"/>
      <c r="C283" s="29" t="n"/>
      <c r="D283" s="29" t="n"/>
      <c r="E283" s="29" t="n"/>
      <c r="F283" s="29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>
      <c r="A284" s="29" t="n"/>
      <c r="B284" s="29" t="n"/>
      <c r="C284" s="29" t="n"/>
      <c r="D284" s="29" t="n"/>
      <c r="E284" s="29" t="n"/>
      <c r="F284" s="29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>
      <c r="A285" s="29" t="n"/>
      <c r="B285" s="29" t="n"/>
      <c r="C285" s="29" t="n"/>
      <c r="D285" s="29" t="n"/>
      <c r="E285" s="29" t="n"/>
      <c r="F285" s="29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>
      <c r="A286" s="29" t="n"/>
      <c r="B286" s="29" t="n"/>
      <c r="C286" s="29" t="n"/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>
      <c r="A287" s="29" t="n"/>
      <c r="B287" s="29" t="n"/>
      <c r="C287" s="29" t="n"/>
      <c r="D287" s="29" t="n"/>
      <c r="E287" s="29" t="n"/>
      <c r="F287" s="29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>
      <c r="A288" s="29" t="n"/>
      <c r="B288" s="29" t="n"/>
      <c r="C288" s="29" t="n"/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>
      <c r="A289" s="29" t="n"/>
      <c r="B289" s="29" t="n"/>
      <c r="C289" s="29" t="n"/>
      <c r="D289" s="29" t="n"/>
      <c r="E289" s="29" t="n"/>
      <c r="F289" s="29" t="n"/>
      <c r="G289" s="29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>
      <c r="A290" s="29" t="n"/>
      <c r="B290" s="29" t="n"/>
      <c r="C290" s="29" t="n"/>
      <c r="D290" s="29" t="n"/>
      <c r="E290" s="29" t="n"/>
      <c r="F290" s="29" t="n"/>
      <c r="G290" s="29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>
      <c r="A291" s="29" t="n"/>
      <c r="B291" s="29" t="n"/>
      <c r="C291" s="29" t="n"/>
      <c r="D291" s="29" t="n"/>
      <c r="E291" s="29" t="n"/>
      <c r="F291" s="29" t="n"/>
      <c r="G291" s="29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>
      <c r="A292" s="29" t="n"/>
      <c r="B292" s="29" t="n"/>
      <c r="C292" s="29" t="n"/>
      <c r="D292" s="29" t="n"/>
      <c r="E292" s="29" t="n"/>
      <c r="F292" s="29" t="n"/>
      <c r="G292" s="29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>
      <c r="A293" s="29" t="n"/>
      <c r="B293" s="29" t="n"/>
      <c r="C293" s="29" t="n"/>
      <c r="D293" s="29" t="n"/>
      <c r="E293" s="29" t="n"/>
      <c r="F293" s="29" t="n"/>
      <c r="G293" s="29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>
      <c r="A294" s="29" t="n"/>
      <c r="B294" s="29" t="n"/>
      <c r="C294" s="29" t="n"/>
      <c r="D294" s="29" t="n"/>
      <c r="E294" s="29" t="n"/>
      <c r="F294" s="29" t="n"/>
      <c r="G294" s="29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>
      <c r="A295" s="29" t="n"/>
      <c r="B295" s="29" t="n"/>
      <c r="C295" s="29" t="n"/>
      <c r="D295" s="29" t="n"/>
      <c r="E295" s="29" t="n"/>
      <c r="F295" s="29" t="n"/>
      <c r="G295" s="29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>
      <c r="A296" s="29" t="n"/>
      <c r="B296" s="29" t="n"/>
      <c r="C296" s="29" t="n"/>
      <c r="D296" s="29" t="n"/>
      <c r="E296" s="29" t="n"/>
      <c r="F296" s="29" t="n"/>
      <c r="G296" s="29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>
      <c r="A297" s="29" t="n"/>
      <c r="B297" s="29" t="n"/>
      <c r="C297" s="29" t="n"/>
      <c r="D297" s="29" t="n"/>
      <c r="E297" s="29" t="n"/>
      <c r="F297" s="29" t="n"/>
      <c r="G297" s="29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>
      <c r="A298" s="29" t="n"/>
      <c r="B298" s="29" t="n"/>
      <c r="C298" s="29" t="n"/>
      <c r="D298" s="29" t="n"/>
      <c r="E298" s="29" t="n"/>
      <c r="F298" s="29" t="n"/>
      <c r="G298" s="29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>
      <c r="A299" s="29" t="n"/>
      <c r="B299" s="29" t="n"/>
      <c r="C299" s="29" t="n"/>
      <c r="D299" s="29" t="n"/>
      <c r="E299" s="29" t="n"/>
      <c r="F299" s="29" t="n"/>
      <c r="G299" s="29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>
      <c r="A300" s="29" t="n"/>
      <c r="B300" s="29" t="n"/>
      <c r="C300" s="29" t="n"/>
      <c r="D300" s="29" t="n"/>
      <c r="E300" s="29" t="n"/>
      <c r="F300" s="29" t="n"/>
      <c r="G300" s="29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>
      <c r="A301" s="29" t="n"/>
      <c r="B301" s="29" t="n"/>
      <c r="C301" s="29" t="n"/>
      <c r="D301" s="29" t="n"/>
      <c r="E301" s="29" t="n"/>
      <c r="F301" s="29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>
      <c r="A302" s="29" t="n"/>
      <c r="B302" s="29" t="n"/>
      <c r="C302" s="29" t="n"/>
      <c r="D302" s="29" t="n"/>
      <c r="E302" s="29" t="n"/>
      <c r="F302" s="29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>
      <c r="A303" s="29" t="n"/>
      <c r="B303" s="29" t="n"/>
      <c r="C303" s="29" t="n"/>
      <c r="D303" s="29" t="n"/>
      <c r="E303" s="29" t="n"/>
      <c r="F303" s="29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>
      <c r="A304" s="29" t="n"/>
      <c r="B304" s="29" t="n"/>
      <c r="C304" s="29" t="n"/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>
      <c r="A305" s="29" t="n"/>
      <c r="B305" s="29" t="n"/>
      <c r="C305" s="29" t="n"/>
      <c r="D305" s="29" t="n"/>
      <c r="E305" s="29" t="n"/>
      <c r="F305" s="29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>
      <c r="A306" s="29" t="n"/>
      <c r="B306" s="29" t="n"/>
      <c r="C306" s="29" t="n"/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>
      <c r="A307" s="29" t="n"/>
      <c r="B307" s="29" t="n"/>
      <c r="C307" s="29" t="n"/>
      <c r="D307" s="29" t="n"/>
      <c r="E307" s="29" t="n"/>
      <c r="F307" s="29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>
      <c r="A308" s="29" t="n"/>
      <c r="B308" s="29" t="n"/>
      <c r="C308" s="29" t="n"/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>
      <c r="A309" s="29" t="n"/>
      <c r="B309" s="29" t="n"/>
      <c r="C309" s="29" t="n"/>
      <c r="D309" s="29" t="n"/>
      <c r="E309" s="29" t="n"/>
      <c r="F309" s="29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>
      <c r="A310" s="29" t="n"/>
      <c r="B310" s="29" t="n"/>
      <c r="C310" s="29" t="n"/>
      <c r="D310" s="29" t="n"/>
      <c r="E310" s="29" t="n"/>
      <c r="F310" s="29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>
      <c r="A311" s="29" t="n"/>
      <c r="B311" s="29" t="n"/>
      <c r="C311" s="29" t="n"/>
      <c r="D311" s="29" t="n"/>
      <c r="E311" s="29" t="n"/>
      <c r="F311" s="29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>
      <c r="A312" s="29" t="n"/>
      <c r="B312" s="29" t="n"/>
      <c r="C312" s="29" t="n"/>
      <c r="D312" s="29" t="n"/>
      <c r="E312" s="29" t="n"/>
      <c r="F312" s="29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>
      <c r="A313" s="29" t="n"/>
      <c r="B313" s="29" t="n"/>
      <c r="C313" s="29" t="n"/>
      <c r="D313" s="29" t="n"/>
      <c r="E313" s="29" t="n"/>
      <c r="F313" s="29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>
      <c r="A314" s="29" t="n"/>
      <c r="B314" s="29" t="n"/>
      <c r="C314" s="29" t="n"/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>
      <c r="A315" s="29" t="n"/>
      <c r="B315" s="29" t="n"/>
      <c r="C315" s="29" t="n"/>
      <c r="D315" s="29" t="n"/>
      <c r="E315" s="29" t="n"/>
      <c r="F315" s="29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>
      <c r="A316" s="29" t="n"/>
      <c r="B316" s="29" t="n"/>
      <c r="C316" s="29" t="n"/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>
      <c r="A317" s="29" t="n"/>
      <c r="B317" s="29" t="n"/>
      <c r="C317" s="29" t="n"/>
      <c r="D317" s="29" t="n"/>
      <c r="E317" s="29" t="n"/>
      <c r="F317" s="29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>
      <c r="A318" s="29" t="n"/>
      <c r="B318" s="29" t="n"/>
      <c r="C318" s="29" t="n"/>
      <c r="D318" s="29" t="n"/>
      <c r="E318" s="29" t="n"/>
      <c r="F318" s="29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>
      <c r="A319" s="29" t="n"/>
      <c r="B319" s="29" t="n"/>
      <c r="C319" s="29" t="n"/>
      <c r="D319" s="29" t="n"/>
      <c r="E319" s="29" t="n"/>
      <c r="F319" s="29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>
      <c r="A320" s="29" t="n"/>
      <c r="B320" s="29" t="n"/>
      <c r="C320" s="29" t="n"/>
      <c r="D320" s="29" t="n"/>
      <c r="E320" s="29" t="n"/>
      <c r="F320" s="29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>
      <c r="A321" s="29" t="n"/>
      <c r="B321" s="29" t="n"/>
      <c r="C321" s="29" t="n"/>
      <c r="D321" s="29" t="n"/>
      <c r="E321" s="29" t="n"/>
      <c r="F321" s="29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>
      <c r="A322" s="29" t="n"/>
      <c r="B322" s="29" t="n"/>
      <c r="C322" s="29" t="n"/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>
      <c r="A323" s="29" t="n"/>
      <c r="B323" s="29" t="n"/>
      <c r="C323" s="29" t="n"/>
      <c r="D323" s="29" t="n"/>
      <c r="E323" s="29" t="n"/>
      <c r="F323" s="29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>
      <c r="A324" s="29" t="n"/>
      <c r="B324" s="29" t="n"/>
      <c r="C324" s="29" t="n"/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>
      <c r="A325" s="29" t="n"/>
      <c r="B325" s="29" t="n"/>
      <c r="C325" s="29" t="n"/>
      <c r="D325" s="29" t="n"/>
      <c r="E325" s="29" t="n"/>
      <c r="F325" s="29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>
      <c r="A326" s="29" t="n"/>
      <c r="B326" s="29" t="n"/>
      <c r="C326" s="29" t="n"/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>
      <c r="A327" s="29" t="n"/>
      <c r="B327" s="29" t="n"/>
      <c r="C327" s="29" t="n"/>
      <c r="D327" s="29" t="n"/>
      <c r="E327" s="29" t="n"/>
      <c r="F327" s="29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>
      <c r="A328" s="29" t="n"/>
      <c r="B328" s="29" t="n"/>
      <c r="C328" s="29" t="n"/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>
      <c r="A329" s="29" t="n"/>
      <c r="B329" s="29" t="n"/>
      <c r="C329" s="29" t="n"/>
      <c r="D329" s="29" t="n"/>
      <c r="E329" s="29" t="n"/>
      <c r="F329" s="29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>
      <c r="A330" s="29" t="n"/>
      <c r="B330" s="29" t="n"/>
      <c r="C330" s="29" t="n"/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>
      <c r="A331" s="29" t="n"/>
      <c r="B331" s="29" t="n"/>
      <c r="C331" s="29" t="n"/>
      <c r="D331" s="29" t="n"/>
      <c r="E331" s="29" t="n"/>
      <c r="F331" s="29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>
      <c r="A332" s="29" t="n"/>
      <c r="B332" s="29" t="n"/>
      <c r="C332" s="29" t="n"/>
      <c r="D332" s="29" t="n"/>
      <c r="E332" s="29" t="n"/>
      <c r="F332" s="29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>
      <c r="A333" s="29" t="n"/>
      <c r="B333" s="29" t="n"/>
      <c r="C333" s="29" t="n"/>
      <c r="D333" s="29" t="n"/>
      <c r="E333" s="29" t="n"/>
      <c r="F333" s="29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>
      <c r="A334" s="29" t="n"/>
      <c r="B334" s="29" t="n"/>
      <c r="C334" s="29" t="n"/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>
      <c r="A335" s="29" t="n"/>
      <c r="B335" s="29" t="n"/>
      <c r="C335" s="29" t="n"/>
      <c r="D335" s="29" t="n"/>
      <c r="E335" s="29" t="n"/>
      <c r="F335" s="29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>
      <c r="A336" s="29" t="n"/>
      <c r="B336" s="29" t="n"/>
      <c r="C336" s="29" t="n"/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>
      <c r="A337" s="29" t="n"/>
      <c r="B337" s="29" t="n"/>
      <c r="C337" s="29" t="n"/>
      <c r="D337" s="29" t="n"/>
      <c r="E337" s="29" t="n"/>
      <c r="F337" s="29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>
      <c r="A338" s="29" t="n"/>
      <c r="B338" s="29" t="n"/>
      <c r="C338" s="29" t="n"/>
      <c r="D338" s="29" t="n"/>
      <c r="E338" s="29" t="n"/>
      <c r="F338" s="29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>
      <c r="A339" s="29" t="n"/>
      <c r="B339" s="29" t="n"/>
      <c r="C339" s="29" t="n"/>
      <c r="D339" s="29" t="n"/>
      <c r="E339" s="29" t="n"/>
      <c r="F339" s="29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>
      <c r="A340" s="29" t="n"/>
      <c r="B340" s="29" t="n"/>
      <c r="C340" s="29" t="n"/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>
      <c r="A341" s="29" t="n"/>
      <c r="B341" s="29" t="n"/>
      <c r="C341" s="29" t="n"/>
      <c r="D341" s="29" t="n"/>
      <c r="E341" s="29" t="n"/>
      <c r="F341" s="29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>
      <c r="A342" s="29" t="n"/>
      <c r="B342" s="29" t="n"/>
      <c r="C342" s="29" t="n"/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>
      <c r="A343" s="29" t="n"/>
      <c r="B343" s="29" t="n"/>
      <c r="C343" s="29" t="n"/>
      <c r="D343" s="29" t="n"/>
      <c r="E343" s="29" t="n"/>
      <c r="F343" s="29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>
      <c r="A344" s="29" t="n"/>
      <c r="B344" s="29" t="n"/>
      <c r="C344" s="29" t="n"/>
      <c r="D344" s="29" t="n"/>
      <c r="E344" s="29" t="n"/>
      <c r="F344" s="29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>
      <c r="A345" s="29" t="n"/>
      <c r="B345" s="29" t="n"/>
      <c r="C345" s="29" t="n"/>
      <c r="D345" s="29" t="n"/>
      <c r="E345" s="29" t="n"/>
      <c r="F345" s="29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>
      <c r="A346" s="29" t="n"/>
      <c r="B346" s="29" t="n"/>
      <c r="C346" s="29" t="n"/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>
      <c r="A347" s="29" t="n"/>
      <c r="B347" s="29" t="n"/>
      <c r="C347" s="29" t="n"/>
      <c r="D347" s="29" t="n"/>
      <c r="E347" s="29" t="n"/>
      <c r="F347" s="29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>
      <c r="A348" s="29" t="n"/>
      <c r="B348" s="29" t="n"/>
      <c r="C348" s="29" t="n"/>
      <c r="D348" s="29" t="n"/>
      <c r="E348" s="29" t="n"/>
      <c r="F348" s="29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>
      <c r="A349" s="29" t="n"/>
      <c r="B349" s="29" t="n"/>
      <c r="C349" s="29" t="n"/>
      <c r="D349" s="29" t="n"/>
      <c r="E349" s="29" t="n"/>
      <c r="F349" s="29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>
      <c r="A350" s="29" t="n"/>
      <c r="B350" s="29" t="n"/>
      <c r="C350" s="29" t="n"/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>
      <c r="A351" s="29" t="n"/>
      <c r="B351" s="29" t="n"/>
      <c r="C351" s="29" t="n"/>
      <c r="D351" s="29" t="n"/>
      <c r="E351" s="29" t="n"/>
      <c r="F351" s="29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>
      <c r="A352" s="29" t="n"/>
      <c r="B352" s="29" t="n"/>
      <c r="C352" s="29" t="n"/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>
      <c r="A353" s="29" t="n"/>
      <c r="B353" s="29" t="n"/>
      <c r="C353" s="29" t="n"/>
      <c r="D353" s="29" t="n"/>
      <c r="E353" s="29" t="n"/>
      <c r="F353" s="29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>
      <c r="A354" s="29" t="n"/>
      <c r="B354" s="29" t="n"/>
      <c r="C354" s="29" t="n"/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>
      <c r="A355" s="29" t="n"/>
      <c r="B355" s="29" t="n"/>
      <c r="C355" s="29" t="n"/>
      <c r="D355" s="29" t="n"/>
      <c r="E355" s="29" t="n"/>
      <c r="F355" s="29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>
      <c r="A356" s="29" t="n"/>
      <c r="B356" s="29" t="n"/>
      <c r="C356" s="29" t="n"/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>
      <c r="A357" s="29" t="n"/>
      <c r="B357" s="29" t="n"/>
      <c r="C357" s="29" t="n"/>
      <c r="D357" s="29" t="n"/>
      <c r="E357" s="29" t="n"/>
      <c r="F357" s="29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>
      <c r="A358" s="29" t="n"/>
      <c r="B358" s="29" t="n"/>
      <c r="C358" s="29" t="n"/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>
      <c r="A359" s="29" t="n"/>
      <c r="B359" s="29" t="n"/>
      <c r="C359" s="29" t="n"/>
      <c r="D359" s="29" t="n"/>
      <c r="E359" s="29" t="n"/>
      <c r="F359" s="29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>
      <c r="A360" s="29" t="n"/>
      <c r="B360" s="29" t="n"/>
      <c r="C360" s="29" t="n"/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>
      <c r="A361" s="29" t="n"/>
      <c r="B361" s="29" t="n"/>
      <c r="C361" s="29" t="n"/>
      <c r="D361" s="29" t="n"/>
      <c r="E361" s="29" t="n"/>
      <c r="F361" s="29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>
      <c r="A362" s="29" t="n"/>
      <c r="B362" s="29" t="n"/>
      <c r="C362" s="29" t="n"/>
      <c r="D362" s="29" t="n"/>
      <c r="E362" s="29" t="n"/>
      <c r="F362" s="29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>
      <c r="A363" s="29" t="n"/>
      <c r="B363" s="29" t="n"/>
      <c r="C363" s="29" t="n"/>
      <c r="D363" s="29" t="n"/>
      <c r="E363" s="29" t="n"/>
      <c r="F363" s="29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>
      <c r="A364" s="29" t="n"/>
      <c r="B364" s="29" t="n"/>
      <c r="C364" s="29" t="n"/>
      <c r="D364" s="29" t="n"/>
      <c r="E364" s="29" t="n"/>
      <c r="F364" s="29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>
      <c r="A365" s="29" t="n"/>
      <c r="B365" s="29" t="n"/>
      <c r="C365" s="29" t="n"/>
      <c r="D365" s="29" t="n"/>
      <c r="E365" s="29" t="n"/>
      <c r="F365" s="29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>
      <c r="A366" s="29" t="n"/>
      <c r="B366" s="29" t="n"/>
      <c r="C366" s="29" t="n"/>
      <c r="D366" s="29" t="n"/>
      <c r="E366" s="29" t="n"/>
      <c r="F366" s="29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>
      <c r="A367" s="29" t="n"/>
      <c r="B367" s="29" t="n"/>
      <c r="C367" s="29" t="n"/>
      <c r="D367" s="29" t="n"/>
      <c r="E367" s="29" t="n"/>
      <c r="F367" s="29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>
      <c r="A368" s="29" t="n"/>
      <c r="B368" s="29" t="n"/>
      <c r="C368" s="29" t="n"/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>
      <c r="A369" s="29" t="n"/>
      <c r="B369" s="29" t="n"/>
      <c r="C369" s="29" t="n"/>
      <c r="D369" s="29" t="n"/>
      <c r="E369" s="29" t="n"/>
      <c r="F369" s="29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>
      <c r="A370" s="29" t="n"/>
      <c r="B370" s="29" t="n"/>
      <c r="C370" s="29" t="n"/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>
      <c r="A371" s="29" t="n"/>
      <c r="B371" s="29" t="n"/>
      <c r="C371" s="29" t="n"/>
      <c r="D371" s="29" t="n"/>
      <c r="E371" s="29" t="n"/>
      <c r="F371" s="29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>
      <c r="A372" s="29" t="n"/>
      <c r="B372" s="29" t="n"/>
      <c r="C372" s="29" t="n"/>
      <c r="D372" s="29" t="n"/>
      <c r="E372" s="29" t="n"/>
      <c r="F372" s="29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>
      <c r="A373" s="29" t="n"/>
      <c r="B373" s="29" t="n"/>
      <c r="C373" s="29" t="n"/>
      <c r="D373" s="29" t="n"/>
      <c r="E373" s="29" t="n"/>
      <c r="F373" s="29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>
      <c r="A374" s="29" t="n"/>
      <c r="B374" s="29" t="n"/>
      <c r="C374" s="29" t="n"/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>
      <c r="A375" s="29" t="n"/>
      <c r="B375" s="29" t="n"/>
      <c r="C375" s="29" t="n"/>
      <c r="D375" s="29" t="n"/>
      <c r="E375" s="29" t="n"/>
      <c r="F375" s="29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>
      <c r="A376" s="29" t="n"/>
      <c r="B376" s="29" t="n"/>
      <c r="C376" s="29" t="n"/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>
      <c r="A377" s="29" t="n"/>
      <c r="B377" s="29" t="n"/>
      <c r="C377" s="29" t="n"/>
      <c r="D377" s="29" t="n"/>
      <c r="E377" s="29" t="n"/>
      <c r="F377" s="29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>
      <c r="A378" s="29" t="n"/>
      <c r="B378" s="29" t="n"/>
      <c r="C378" s="29" t="n"/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>
      <c r="A379" s="29" t="n"/>
      <c r="B379" s="29" t="n"/>
      <c r="C379" s="29" t="n"/>
      <c r="D379" s="29" t="n"/>
      <c r="E379" s="29" t="n"/>
      <c r="F379" s="29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>
      <c r="A380" s="29" t="n"/>
      <c r="B380" s="29" t="n"/>
      <c r="C380" s="29" t="n"/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>
      <c r="A381" s="29" t="n"/>
      <c r="B381" s="29" t="n"/>
      <c r="C381" s="29" t="n"/>
      <c r="D381" s="29" t="n"/>
      <c r="E381" s="29" t="n"/>
      <c r="F381" s="29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>
      <c r="A382" s="29" t="n"/>
      <c r="B382" s="29" t="n"/>
      <c r="C382" s="29" t="n"/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>
      <c r="A383" s="29" t="n"/>
      <c r="B383" s="29" t="n"/>
      <c r="C383" s="29" t="n"/>
      <c r="D383" s="29" t="n"/>
      <c r="E383" s="29" t="n"/>
      <c r="F383" s="29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>
      <c r="A384" s="29" t="n"/>
      <c r="B384" s="29" t="n"/>
      <c r="C384" s="29" t="n"/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>
      <c r="A385" s="29" t="n"/>
      <c r="B385" s="29" t="n"/>
      <c r="C385" s="29" t="n"/>
      <c r="D385" s="29" t="n"/>
      <c r="E385" s="29" t="n"/>
      <c r="F385" s="29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>
      <c r="A386" s="29" t="n"/>
      <c r="B386" s="29" t="n"/>
      <c r="C386" s="29" t="n"/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>
      <c r="A387" s="29" t="n"/>
      <c r="B387" s="29" t="n"/>
      <c r="C387" s="29" t="n"/>
      <c r="D387" s="29" t="n"/>
      <c r="E387" s="29" t="n"/>
      <c r="F387" s="29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>
      <c r="A388" s="29" t="n"/>
      <c r="B388" s="29" t="n"/>
      <c r="C388" s="29" t="n"/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>
      <c r="A389" s="29" t="n"/>
      <c r="B389" s="29" t="n"/>
      <c r="C389" s="29" t="n"/>
      <c r="D389" s="29" t="n"/>
      <c r="E389" s="29" t="n"/>
      <c r="F389" s="29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>
      <c r="A390" s="29" t="n"/>
      <c r="B390" s="29" t="n"/>
      <c r="C390" s="29" t="n"/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>
      <c r="A391" s="29" t="n"/>
      <c r="B391" s="29" t="n"/>
      <c r="C391" s="29" t="n"/>
      <c r="D391" s="29" t="n"/>
      <c r="E391" s="29" t="n"/>
      <c r="F391" s="29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>
      <c r="A392" s="29" t="n"/>
      <c r="B392" s="29" t="n"/>
      <c r="C392" s="29" t="n"/>
      <c r="D392" s="29" t="n"/>
      <c r="E392" s="29" t="n"/>
      <c r="F392" s="29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>
      <c r="A393" s="29" t="n"/>
      <c r="B393" s="29" t="n"/>
      <c r="C393" s="29" t="n"/>
      <c r="D393" s="29" t="n"/>
      <c r="E393" s="29" t="n"/>
      <c r="F393" s="29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>
      <c r="A394" s="29" t="n"/>
      <c r="B394" s="29" t="n"/>
      <c r="C394" s="29" t="n"/>
      <c r="D394" s="29" t="n"/>
      <c r="E394" s="29" t="n"/>
      <c r="F394" s="29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>
      <c r="A395" s="29" t="n"/>
      <c r="B395" s="29" t="n"/>
      <c r="C395" s="29" t="n"/>
      <c r="D395" s="29" t="n"/>
      <c r="E395" s="29" t="n"/>
      <c r="F395" s="29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>
      <c r="A396" s="29" t="n"/>
      <c r="B396" s="29" t="n"/>
      <c r="C396" s="29" t="n"/>
      <c r="D396" s="29" t="n"/>
      <c r="E396" s="29" t="n"/>
      <c r="F396" s="29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>
      <c r="A397" s="29" t="n"/>
      <c r="B397" s="29" t="n"/>
      <c r="C397" s="29" t="n"/>
      <c r="D397" s="29" t="n"/>
      <c r="E397" s="29" t="n"/>
      <c r="F397" s="29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>
      <c r="A398" s="29" t="n"/>
      <c r="B398" s="29" t="n"/>
      <c r="C398" s="29" t="n"/>
      <c r="D398" s="29" t="n"/>
      <c r="E398" s="29" t="n"/>
      <c r="F398" s="29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>
      <c r="A399" s="29" t="n"/>
      <c r="B399" s="29" t="n"/>
      <c r="C399" s="29" t="n"/>
      <c r="D399" s="29" t="n"/>
      <c r="E399" s="29" t="n"/>
      <c r="F399" s="29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>
      <c r="A400" s="29" t="n"/>
      <c r="B400" s="29" t="n"/>
      <c r="C400" s="29" t="n"/>
      <c r="D400" s="29" t="n"/>
      <c r="E400" s="29" t="n"/>
      <c r="F400" s="29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>
      <c r="A401" s="29" t="n"/>
      <c r="B401" s="29" t="n"/>
      <c r="C401" s="29" t="n"/>
      <c r="D401" s="29" t="n"/>
      <c r="E401" s="29" t="n"/>
      <c r="F401" s="29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>
      <c r="A402" s="29" t="n"/>
      <c r="B402" s="29" t="n"/>
      <c r="C402" s="29" t="n"/>
      <c r="D402" s="29" t="n"/>
      <c r="E402" s="29" t="n"/>
      <c r="F402" s="29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>
      <c r="A403" s="29" t="n"/>
      <c r="B403" s="29" t="n"/>
      <c r="C403" s="29" t="n"/>
      <c r="D403" s="29" t="n"/>
      <c r="E403" s="29" t="n"/>
      <c r="F403" s="29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>
      <c r="A404" s="29" t="n"/>
      <c r="B404" s="29" t="n"/>
      <c r="C404" s="29" t="n"/>
      <c r="D404" s="29" t="n"/>
      <c r="E404" s="29" t="n"/>
      <c r="F404" s="29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>
      <c r="A405" s="29" t="n"/>
      <c r="B405" s="29" t="n"/>
      <c r="C405" s="29" t="n"/>
      <c r="D405" s="29" t="n"/>
      <c r="E405" s="29" t="n"/>
      <c r="F405" s="29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>
      <c r="A406" s="29" t="n"/>
      <c r="B406" s="29" t="n"/>
      <c r="C406" s="29" t="n"/>
      <c r="D406" s="29" t="n"/>
      <c r="E406" s="29" t="n"/>
      <c r="F406" s="29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>
      <c r="A407" s="29" t="n"/>
      <c r="B407" s="29" t="n"/>
      <c r="C407" s="29" t="n"/>
      <c r="D407" s="29" t="n"/>
      <c r="E407" s="29" t="n"/>
      <c r="F407" s="29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>
      <c r="A408" s="29" t="n"/>
      <c r="B408" s="29" t="n"/>
      <c r="C408" s="29" t="n"/>
      <c r="D408" s="29" t="n"/>
      <c r="E408" s="29" t="n"/>
      <c r="F408" s="29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>
      <c r="A409" s="29" t="n"/>
      <c r="B409" s="29" t="n"/>
      <c r="C409" s="29" t="n"/>
      <c r="D409" s="29" t="n"/>
      <c r="E409" s="29" t="n"/>
      <c r="F409" s="29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>
      <c r="A410" s="29" t="n"/>
      <c r="B410" s="29" t="n"/>
      <c r="C410" s="29" t="n"/>
      <c r="D410" s="29" t="n"/>
      <c r="E410" s="29" t="n"/>
      <c r="F410" s="29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>
      <c r="A411" s="29" t="n"/>
      <c r="B411" s="29" t="n"/>
      <c r="C411" s="29" t="n"/>
      <c r="D411" s="29" t="n"/>
      <c r="E411" s="29" t="n"/>
      <c r="F411" s="29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>
      <c r="A412" s="29" t="n"/>
      <c r="B412" s="29" t="n"/>
      <c r="C412" s="29" t="n"/>
      <c r="D412" s="29" t="n"/>
      <c r="E412" s="29" t="n"/>
      <c r="F412" s="29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>
      <c r="A413" s="29" t="n"/>
      <c r="B413" s="29" t="n"/>
      <c r="C413" s="29" t="n"/>
      <c r="D413" s="29" t="n"/>
      <c r="E413" s="29" t="n"/>
      <c r="F413" s="29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>
      <c r="A414" s="29" t="n"/>
      <c r="B414" s="29" t="n"/>
      <c r="C414" s="29" t="n"/>
      <c r="D414" s="29" t="n"/>
      <c r="E414" s="29" t="n"/>
      <c r="F414" s="29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>
      <c r="A415" s="29" t="n"/>
      <c r="B415" s="29" t="n"/>
      <c r="C415" s="29" t="n"/>
      <c r="D415" s="29" t="n"/>
      <c r="E415" s="29" t="n"/>
      <c r="F415" s="29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>
      <c r="A416" s="29" t="n"/>
      <c r="B416" s="29" t="n"/>
      <c r="C416" s="29" t="n"/>
      <c r="D416" s="29" t="n"/>
      <c r="E416" s="29" t="n"/>
      <c r="F416" s="29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>
      <c r="A417" s="29" t="n"/>
      <c r="B417" s="29" t="n"/>
      <c r="C417" s="29" t="n"/>
      <c r="D417" s="29" t="n"/>
      <c r="E417" s="29" t="n"/>
      <c r="F417" s="29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>
      <c r="A418" s="29" t="n"/>
      <c r="B418" s="29" t="n"/>
      <c r="C418" s="29" t="n"/>
      <c r="D418" s="29" t="n"/>
      <c r="E418" s="29" t="n"/>
      <c r="F418" s="29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>
      <c r="A419" s="29" t="n"/>
      <c r="B419" s="29" t="n"/>
      <c r="C419" s="29" t="n"/>
      <c r="D419" s="29" t="n"/>
      <c r="E419" s="29" t="n"/>
      <c r="F419" s="29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>
      <c r="A420" s="29" t="n"/>
      <c r="B420" s="29" t="n"/>
      <c r="C420" s="29" t="n"/>
      <c r="D420" s="29" t="n"/>
      <c r="E420" s="29" t="n"/>
      <c r="F420" s="29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>
      <c r="A421" s="29" t="n"/>
      <c r="B421" s="29" t="n"/>
      <c r="C421" s="29" t="n"/>
      <c r="D421" s="29" t="n"/>
      <c r="E421" s="29" t="n"/>
      <c r="F421" s="29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>
      <c r="A422" s="29" t="n"/>
      <c r="B422" s="29" t="n"/>
      <c r="C422" s="29" t="n"/>
      <c r="D422" s="29" t="n"/>
      <c r="E422" s="29" t="n"/>
      <c r="F422" s="29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>
      <c r="A423" s="29" t="n"/>
      <c r="B423" s="29" t="n"/>
      <c r="C423" s="29" t="n"/>
      <c r="D423" s="29" t="n"/>
      <c r="E423" s="29" t="n"/>
      <c r="F423" s="29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>
      <c r="A424" s="29" t="n"/>
      <c r="B424" s="29" t="n"/>
      <c r="C424" s="29" t="n"/>
      <c r="D424" s="29" t="n"/>
      <c r="E424" s="29" t="n"/>
      <c r="F424" s="29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>
      <c r="A425" s="29" t="n"/>
      <c r="B425" s="29" t="n"/>
      <c r="C425" s="29" t="n"/>
      <c r="D425" s="29" t="n"/>
      <c r="E425" s="29" t="n"/>
      <c r="F425" s="29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>
      <c r="A426" s="29" t="n"/>
      <c r="B426" s="29" t="n"/>
      <c r="C426" s="29" t="n"/>
      <c r="D426" s="29" t="n"/>
      <c r="E426" s="29" t="n"/>
      <c r="F426" s="29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>
      <c r="A427" s="29" t="n"/>
      <c r="B427" s="29" t="n"/>
      <c r="C427" s="29" t="n"/>
      <c r="D427" s="29" t="n"/>
      <c r="E427" s="29" t="n"/>
      <c r="F427" s="29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>
      <c r="A428" s="29" t="n"/>
      <c r="B428" s="29" t="n"/>
      <c r="C428" s="29" t="n"/>
      <c r="D428" s="29" t="n"/>
      <c r="E428" s="29" t="n"/>
      <c r="F428" s="29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>
      <c r="A429" s="29" t="n"/>
      <c r="B429" s="29" t="n"/>
      <c r="C429" s="29" t="n"/>
      <c r="D429" s="29" t="n"/>
    </row>
  </sheetData>
  <dataValidations count="1">
    <dataValidation sqref="D3:D68" showDropDown="0" showInputMessage="1" showErrorMessage="1" allowBlank="1" type="list">
      <formula1>"Completed, Pending, Maculated"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7"/>
  <sheetViews>
    <sheetView workbookViewId="0">
      <selection activeCell="D6" sqref="D6"/>
    </sheetView>
  </sheetViews>
  <sheetFormatPr baseColWidth="10" defaultColWidth="11" defaultRowHeight="16"/>
  <cols>
    <col width="64.6640625" customWidth="1" min="1" max="1"/>
  </cols>
  <sheetData>
    <row r="1" ht="52" customHeight="1">
      <c r="A1" s="77" t="inlineStr">
        <is>
          <t>Formula (Only extend downwards when adding data)</t>
        </is>
      </c>
      <c r="B1" s="29" t="n"/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</row>
    <row r="2" ht="54" customHeight="1">
      <c r="A2" s="78" t="inlineStr">
        <is>
          <t>Optional Input</t>
        </is>
      </c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</row>
    <row r="3" ht="52" customHeight="1">
      <c r="A3" s="79" t="inlineStr">
        <is>
          <t>Data Validation (Choose from dropdown list to ensure data is linked)</t>
        </is>
      </c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</row>
    <row r="4" ht="47" customHeight="1">
      <c r="A4" s="80" t="inlineStr">
        <is>
          <t>Conditional Formatting</t>
        </is>
      </c>
      <c r="B4" s="29" t="n"/>
      <c r="C4" s="29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</row>
    <row r="5" ht="47" customHeight="1">
      <c r="A5" s="81" t="inlineStr">
        <is>
          <t>Conditional Formatting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</row>
    <row r="6" ht="48" customHeight="1">
      <c r="A6" s="82" t="inlineStr">
        <is>
          <t>Conditional Formatting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</row>
    <row r="7" ht="48" customHeight="1" thickBot="1">
      <c r="A7" s="83" t="inlineStr">
        <is>
          <t>Manual Input</t>
        </is>
      </c>
      <c r="B7" s="29" t="n"/>
      <c r="C7" s="29" t="n"/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</row>
    <row r="8">
      <c r="A8" s="29" t="n"/>
      <c r="B8" s="29" t="n"/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</row>
    <row r="9">
      <c r="A9" s="29" t="n"/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</row>
    <row r="10">
      <c r="A10" s="29" t="n"/>
      <c r="B10" s="29" t="n"/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</row>
    <row r="11">
      <c r="A11" s="29" t="n"/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</row>
    <row r="12">
      <c r="A12" s="29" t="n"/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</row>
    <row r="13">
      <c r="A13" s="29" t="n"/>
      <c r="B13" s="29" t="n"/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</row>
    <row r="14">
      <c r="A14" s="29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</row>
    <row r="15">
      <c r="A15" s="29" t="n"/>
      <c r="B15" s="29" t="n"/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</row>
    <row r="16">
      <c r="A16" s="29" t="n"/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</row>
    <row r="17">
      <c r="A17" s="29" t="n"/>
      <c r="B17" s="29" t="n"/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</row>
    <row r="18">
      <c r="A18" s="29" t="n"/>
      <c r="B18" s="29" t="n"/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</row>
    <row r="19">
      <c r="A19" s="29" t="n"/>
      <c r="B19" s="29" t="n"/>
      <c r="C19" s="29" t="n"/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</row>
    <row r="20">
      <c r="A20" s="29" t="n"/>
      <c r="B20" s="29" t="n"/>
      <c r="C20" s="29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</row>
    <row r="21">
      <c r="A21" s="29" t="n"/>
      <c r="B21" s="29" t="n"/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</row>
    <row r="22">
      <c r="A22" s="29" t="n"/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</row>
    <row r="23">
      <c r="A23" s="29" t="n"/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</row>
    <row r="24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</row>
    <row r="25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</row>
    <row r="2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</row>
    <row r="27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</row>
    <row r="28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</row>
    <row r="29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</row>
    <row r="30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</row>
    <row r="31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</row>
    <row r="32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</row>
    <row r="33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</row>
    <row r="34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</row>
    <row r="35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</row>
    <row r="3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</row>
    <row r="37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</row>
    <row r="38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</row>
    <row r="39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</row>
    <row r="40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</row>
    <row r="41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</row>
    <row r="42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</row>
    <row r="43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  <c r="AB43" s="29" t="n"/>
    </row>
    <row r="44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  <c r="AB44" s="29" t="n"/>
    </row>
    <row r="45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  <c r="AB45" s="29" t="n"/>
    </row>
    <row r="4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  <c r="AB46" s="29" t="n"/>
    </row>
    <row r="47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  <c r="AB47" s="29" t="n"/>
    </row>
    <row r="48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  <c r="AB48" s="29" t="n"/>
    </row>
    <row r="49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  <c r="AB49" s="29" t="n"/>
    </row>
    <row r="50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  <c r="AB50" s="29" t="n"/>
    </row>
    <row r="51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  <c r="AB51" s="29" t="n"/>
    </row>
    <row r="52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  <c r="AB52" s="29" t="n"/>
    </row>
    <row r="53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  <c r="AB53" s="29" t="n"/>
    </row>
    <row r="54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  <c r="AB54" s="29" t="n"/>
    </row>
    <row r="55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  <c r="AB55" s="29" t="n"/>
    </row>
    <row r="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  <c r="AB56" s="29" t="n"/>
    </row>
    <row r="57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  <c r="AB57" s="2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F132"/>
  <sheetViews>
    <sheetView topLeftCell="A2" zoomScale="121" workbookViewId="0">
      <selection activeCell="E11" sqref="E11"/>
    </sheetView>
  </sheetViews>
  <sheetFormatPr baseColWidth="10" defaultColWidth="10.83203125" defaultRowHeight="16"/>
  <cols>
    <col width="31" bestFit="1" customWidth="1" style="5" min="1" max="1"/>
    <col width="14.5" bestFit="1" customWidth="1" style="5" min="2" max="2"/>
    <col width="17.83203125" bestFit="1" customWidth="1" style="5" min="3" max="3"/>
    <col width="30.83203125" bestFit="1" customWidth="1" style="5" min="4" max="4"/>
    <col width="34.1640625" bestFit="1" customWidth="1" style="5" min="5" max="5"/>
    <col width="31.5" bestFit="1" customWidth="1" style="5" min="6" max="7"/>
    <col width="25.6640625" customWidth="1" style="5" min="8" max="8"/>
    <col width="10.83203125" customWidth="1" style="5" min="9" max="16384"/>
  </cols>
  <sheetData>
    <row r="1">
      <c r="A1" s="53" t="inlineStr">
        <is>
          <t>Material Name</t>
        </is>
      </c>
      <c r="B1" s="50" t="inlineStr">
        <is>
          <t>Ignore?</t>
        </is>
      </c>
      <c r="C1" s="50" t="inlineStr">
        <is>
          <t>Boverket ID</t>
        </is>
      </c>
      <c r="D1" s="50" t="inlineStr">
        <is>
          <t>Boverket Match Confidence</t>
        </is>
      </c>
      <c r="E1" s="50" t="inlineStr">
        <is>
          <t>Honeybee Identifier</t>
        </is>
      </c>
      <c r="F1" s="50" t="inlineStr">
        <is>
          <t>Honeybee Match Confidence</t>
        </is>
      </c>
      <c r="G1" s="51" t="inlineStr">
        <is>
          <t>Combined Match Confidence</t>
        </is>
      </c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8" t="n"/>
      <c r="AE1" s="28" t="n"/>
      <c r="AF1" s="28" t="n"/>
    </row>
    <row r="2" ht="118.5" customHeight="1">
      <c r="A2" s="54" t="inlineStr">
        <is>
          <t>Human-readable material name for the matched materials.</t>
        </is>
      </c>
      <c r="B2" s="55" t="inlineStr">
        <is>
          <t>An X if the material should be ignored/not used</t>
        </is>
      </c>
      <c r="C2" s="55" t="inlineStr">
        <is>
          <t>Boverket ID to inherit environmental impact values</t>
        </is>
      </c>
      <c r="D2" s="55" t="inlineStr">
        <is>
          <t>A confidence score (1-10) for how good the match between BUD_MI and Boverket is.</t>
        </is>
      </c>
      <c r="E2" s="55" t="inlineStr">
        <is>
          <t>Honeybee Materal name (identifier) to inherit thermal material properties</t>
        </is>
      </c>
      <c r="F2" s="55" t="inlineStr">
        <is>
          <t>A confidence score (1-10) for how good the match between BUD_MI and Honeybee is.</t>
        </is>
      </c>
      <c r="G2" s="56" t="inlineStr">
        <is>
          <t>Average confidence score between BUD_MI and Boverket and BUD_MI and Honeybee.</t>
        </is>
      </c>
      <c r="H2" s="28" t="n"/>
      <c r="I2" s="28" t="n"/>
      <c r="J2" s="28" t="n"/>
      <c r="K2" s="28" t="n"/>
      <c r="L2" s="28" t="n"/>
      <c r="M2" s="28" t="n"/>
      <c r="N2" s="28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8" t="n"/>
      <c r="AE2" s="28" t="n"/>
      <c r="AF2" s="28" t="n"/>
    </row>
    <row r="3">
      <c r="A3" s="45" t="inlineStr">
        <is>
          <t>wooden_stud</t>
        </is>
      </c>
      <c r="B3" s="46" t="n"/>
      <c r="C3" s="45" t="n">
        <v>6000000007</v>
      </c>
      <c r="D3" s="45" t="n">
        <v>9</v>
      </c>
      <c r="E3" s="45" t="inlineStr">
        <is>
          <t>Std Wood 6 in.</t>
        </is>
      </c>
      <c r="F3" s="45" t="n">
        <v>9</v>
      </c>
      <c r="G3" s="39">
        <f>(D3+F3)/2</f>
        <v/>
      </c>
      <c r="H3" s="28" t="n"/>
      <c r="I3" s="28" t="n"/>
      <c r="J3" s="28" t="n"/>
      <c r="K3" s="28" t="n"/>
      <c r="L3" s="28" t="n"/>
      <c r="M3" s="28" t="n"/>
      <c r="N3" s="28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8" t="n"/>
      <c r="AE3" s="28" t="n"/>
      <c r="AF3" s="28" t="n"/>
    </row>
    <row r="4">
      <c r="A4" s="45" t="inlineStr">
        <is>
          <t>wooden_beam</t>
        </is>
      </c>
      <c r="B4" s="46" t="n"/>
      <c r="C4" s="45" t="n">
        <v>6000000007</v>
      </c>
      <c r="D4" s="45" t="n">
        <v>9</v>
      </c>
      <c r="E4" s="45" t="inlineStr">
        <is>
          <t>Std Wood 6 in.</t>
        </is>
      </c>
      <c r="F4" s="45" t="n">
        <v>9</v>
      </c>
      <c r="G4" s="39">
        <f>(D4+F4)/2</f>
        <v/>
      </c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8" t="n"/>
      <c r="AE4" s="28" t="n"/>
      <c r="AF4" s="28" t="n"/>
    </row>
    <row r="5">
      <c r="A5" s="45" t="inlineStr">
        <is>
          <t>wooden_rafter</t>
        </is>
      </c>
      <c r="B5" s="46" t="n"/>
      <c r="C5" s="45" t="n">
        <v>6000000007</v>
      </c>
      <c r="D5" s="45" t="n">
        <v>9</v>
      </c>
      <c r="E5" s="45" t="inlineStr">
        <is>
          <t>Std Wood 6 in.</t>
        </is>
      </c>
      <c r="F5" s="45" t="n">
        <v>9</v>
      </c>
      <c r="G5" s="39">
        <f>(D5+F5)/2</f>
        <v/>
      </c>
      <c r="H5" s="28" t="n"/>
      <c r="I5" s="28" t="n"/>
      <c r="J5" s="28" t="n"/>
      <c r="K5" s="28" t="n"/>
      <c r="L5" s="28" t="n"/>
      <c r="M5" s="28" t="n"/>
      <c r="N5" s="28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8" t="n"/>
      <c r="AE5" s="28" t="n"/>
      <c r="AF5" s="28" t="n"/>
    </row>
    <row r="6">
      <c r="A6" s="45" t="inlineStr">
        <is>
          <t>wooden_panel</t>
        </is>
      </c>
      <c r="B6" s="46" t="n"/>
      <c r="C6" s="45" t="n">
        <v>6000000007</v>
      </c>
      <c r="D6" s="45" t="n">
        <v>9</v>
      </c>
      <c r="E6" s="45" t="inlineStr">
        <is>
          <t>Std Wood 6 in.</t>
        </is>
      </c>
      <c r="F6" s="45" t="n">
        <v>9</v>
      </c>
      <c r="G6" s="39">
        <f>(D6+F6)/2</f>
        <v/>
      </c>
      <c r="H6" s="28" t="n"/>
      <c r="I6" s="28" t="n"/>
      <c r="J6" s="28" t="n"/>
      <c r="K6" s="28" t="n"/>
      <c r="L6" s="28" t="n"/>
      <c r="M6" s="28" t="n"/>
      <c r="N6" s="28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8" t="n"/>
      <c r="AE6" s="28" t="n"/>
      <c r="AF6" s="28" t="n"/>
    </row>
    <row r="7">
      <c r="A7" s="45" t="inlineStr">
        <is>
          <t>galvanized_sheet_metal</t>
        </is>
      </c>
      <c r="B7" s="46" t="n"/>
      <c r="C7" s="45" t="n">
        <v>6000000221</v>
      </c>
      <c r="D7" s="45" t="n">
        <v>8</v>
      </c>
      <c r="E7" s="45" t="inlineStr">
        <is>
          <t>F08 Metal surface</t>
        </is>
      </c>
      <c r="F7" s="45" t="n">
        <v>6</v>
      </c>
      <c r="G7" s="39">
        <f>(D7+F7)/2</f>
        <v/>
      </c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  <c r="AA7" s="28" t="n"/>
      <c r="AB7" s="28" t="n"/>
      <c r="AC7" s="28" t="n"/>
      <c r="AD7" s="28" t="n"/>
      <c r="AE7" s="28" t="n"/>
      <c r="AF7" s="28" t="n"/>
    </row>
    <row r="8" customFormat="1" s="6">
      <c r="A8" s="45" t="inlineStr">
        <is>
          <t>granulated_blast_furnace_slag</t>
        </is>
      </c>
      <c r="B8" s="46" t="n"/>
      <c r="C8" s="45" t="n">
        <v>6000000085</v>
      </c>
      <c r="D8" s="45" t="n">
        <v>3</v>
      </c>
      <c r="E8" s="45" t="inlineStr">
        <is>
          <t>M11 100mm lightweight concrete</t>
        </is>
      </c>
      <c r="F8" s="45" t="n">
        <v>6</v>
      </c>
      <c r="G8" s="39">
        <f>(D8+F8)/2</f>
        <v/>
      </c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  <c r="AA8" s="28" t="n"/>
      <c r="AB8" s="28" t="n"/>
      <c r="AC8" s="28" t="n"/>
      <c r="AD8" s="28" t="n"/>
      <c r="AE8" s="28" t="n"/>
      <c r="AF8" s="28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  <c r="BE8" s="5" t="n"/>
      <c r="BF8" s="5" t="n"/>
      <c r="BG8" s="5" t="n"/>
      <c r="BH8" s="5" t="n"/>
      <c r="BI8" s="5" t="n"/>
      <c r="BJ8" s="5" t="n"/>
      <c r="BK8" s="5" t="n"/>
      <c r="BL8" s="5" t="n"/>
      <c r="BM8" s="5" t="n"/>
      <c r="BN8" s="5" t="n"/>
      <c r="BO8" s="5" t="n"/>
      <c r="BP8" s="5" t="n"/>
      <c r="BQ8" s="5" t="n"/>
      <c r="BR8" s="5" t="n"/>
      <c r="BS8" s="5" t="n"/>
      <c r="BT8" s="5" t="n"/>
      <c r="BU8" s="5" t="n"/>
      <c r="BV8" s="5" t="n"/>
      <c r="BW8" s="5" t="n"/>
      <c r="BX8" s="5" t="n"/>
      <c r="BY8" s="5" t="n"/>
      <c r="BZ8" s="5" t="n"/>
      <c r="CA8" s="5" t="n"/>
      <c r="CB8" s="5" t="n"/>
      <c r="CC8" s="5" t="n"/>
      <c r="CD8" s="5" t="n"/>
      <c r="CE8" s="5" t="n"/>
      <c r="CF8" s="5" t="n"/>
    </row>
    <row r="9">
      <c r="A9" s="45" t="inlineStr">
        <is>
          <t>concrete</t>
        </is>
      </c>
      <c r="B9" s="46" t="n"/>
      <c r="C9" s="45" t="n">
        <v>6000000029</v>
      </c>
      <c r="D9" s="45" t="n">
        <v>9</v>
      </c>
      <c r="E9" s="45" t="inlineStr">
        <is>
          <t>100mm Normalweight concrete floor</t>
        </is>
      </c>
      <c r="F9" s="45" t="n">
        <v>9</v>
      </c>
      <c r="G9" s="39">
        <f>(D9+F9)/2</f>
        <v/>
      </c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  <c r="AA9" s="28" t="n"/>
      <c r="AB9" s="28" t="n"/>
      <c r="AC9" s="28" t="n"/>
      <c r="AD9" s="28" t="n"/>
      <c r="AE9" s="28" t="n"/>
      <c r="AF9" s="28" t="n"/>
    </row>
    <row r="10">
      <c r="A10" s="45" t="inlineStr">
        <is>
          <t>lime_plaster</t>
        </is>
      </c>
      <c r="B10" s="46" t="n"/>
      <c r="C10" s="45" t="n">
        <v>6000000094</v>
      </c>
      <c r="D10" s="45" t="n">
        <v>10</v>
      </c>
      <c r="E10" s="45" t="inlineStr">
        <is>
          <t>25mm Stucco</t>
        </is>
      </c>
      <c r="F10" s="45" t="n">
        <v>10</v>
      </c>
      <c r="G10" s="39">
        <f>(D10+F10)/2</f>
        <v/>
      </c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  <c r="AA10" s="28" t="n"/>
      <c r="AB10" s="28" t="n"/>
      <c r="AC10" s="28" t="n"/>
      <c r="AD10" s="28" t="n"/>
      <c r="AE10" s="28" t="n"/>
      <c r="AF10" s="28" t="n"/>
    </row>
    <row r="11">
      <c r="A11" s="45" t="inlineStr">
        <is>
          <t>lightweight_concrete</t>
        </is>
      </c>
      <c r="B11" s="46" t="n"/>
      <c r="C11" s="45" t="n">
        <v>6000000096</v>
      </c>
      <c r="D11" s="45" t="n">
        <v>8</v>
      </c>
      <c r="E11" s="45" t="inlineStr">
        <is>
          <t>M11 100mm lightweight concrete</t>
        </is>
      </c>
      <c r="F11" s="45" t="n">
        <v>10</v>
      </c>
      <c r="G11" s="39">
        <f>(D11+F11)/2</f>
        <v/>
      </c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  <c r="AA11" s="28" t="n"/>
      <c r="AB11" s="28" t="n"/>
      <c r="AC11" s="28" t="n"/>
      <c r="AD11" s="28" t="n"/>
      <c r="AE11" s="28" t="n"/>
      <c r="AF11" s="28" t="n"/>
    </row>
    <row r="12">
      <c r="A12" s="45" t="inlineStr">
        <is>
          <t>terrasit_plaster</t>
        </is>
      </c>
      <c r="B12" s="46" t="n"/>
      <c r="C12" s="45" t="n">
        <v>6000000092</v>
      </c>
      <c r="D12" s="45" t="n">
        <v>9</v>
      </c>
      <c r="E12" s="45" t="inlineStr">
        <is>
          <t>25mm Stucco</t>
        </is>
      </c>
      <c r="F12" s="45" t="n">
        <v>8</v>
      </c>
      <c r="G12" s="39">
        <f>(D12+F12)/2</f>
        <v/>
      </c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  <c r="AA12" s="28" t="n"/>
      <c r="AB12" s="28" t="n"/>
      <c r="AC12" s="28" t="n"/>
      <c r="AD12" s="28" t="n"/>
      <c r="AE12" s="28" t="n"/>
      <c r="AF12" s="28" t="n"/>
    </row>
    <row r="13">
      <c r="A13" s="45" t="inlineStr">
        <is>
          <t>mortar</t>
        </is>
      </c>
      <c r="B13" s="46" t="n"/>
      <c r="C13" s="45" t="n">
        <v>6000000092</v>
      </c>
      <c r="D13" s="45" t="n">
        <v>9</v>
      </c>
      <c r="E13" s="45" t="inlineStr">
        <is>
          <t>1IN Stucco</t>
        </is>
      </c>
      <c r="F13" s="45" t="n">
        <v>7</v>
      </c>
      <c r="G13" s="39">
        <f>(D13+F13)/2</f>
        <v/>
      </c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  <c r="AA13" s="28" t="n"/>
      <c r="AB13" s="28" t="n"/>
      <c r="AC13" s="28" t="n"/>
      <c r="AD13" s="28" t="n"/>
      <c r="AE13" s="28" t="n"/>
      <c r="AF13" s="28" t="n"/>
    </row>
    <row r="14" customFormat="1" s="6">
      <c r="A14" s="45" t="inlineStr">
        <is>
          <t>plastic_mat</t>
        </is>
      </c>
      <c r="B14" s="46" t="n"/>
      <c r="C14" s="45" t="n">
        <v>6000000210</v>
      </c>
      <c r="D14" s="45" t="n">
        <v>5</v>
      </c>
      <c r="E14" s="45" t="inlineStr">
        <is>
          <t>Roof Membrane</t>
        </is>
      </c>
      <c r="F14" s="45" t="n">
        <v>1</v>
      </c>
      <c r="G14" s="39">
        <f>(D14+F14)/2</f>
        <v/>
      </c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  <c r="AA14" s="28" t="n"/>
      <c r="AB14" s="28" t="n"/>
      <c r="AC14" s="28" t="n"/>
      <c r="AD14" s="28" t="n"/>
      <c r="AE14" s="28" t="n"/>
      <c r="AF14" s="28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5" t="n"/>
      <c r="CE14" s="5" t="n"/>
      <c r="CF14" s="5" t="n"/>
    </row>
    <row r="15">
      <c r="A15" s="45" t="inlineStr">
        <is>
          <t>plaster</t>
        </is>
      </c>
      <c r="B15" s="46" t="n"/>
      <c r="C15" s="45" t="n">
        <v>6000000091</v>
      </c>
      <c r="D15" s="45" t="n">
        <v>9</v>
      </c>
      <c r="E15" s="45" t="inlineStr">
        <is>
          <t>M11 100mm lightweight concrete</t>
        </is>
      </c>
      <c r="F15" s="45" t="n">
        <v>10</v>
      </c>
      <c r="G15" s="39">
        <f>(D15+F15)/2</f>
        <v/>
      </c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  <c r="AA15" s="28" t="n"/>
      <c r="AB15" s="28" t="n"/>
      <c r="AC15" s="28" t="n"/>
      <c r="AD15" s="28" t="n"/>
      <c r="AE15" s="28" t="n"/>
      <c r="AF15" s="28" t="n"/>
    </row>
    <row r="16">
      <c r="A16" s="45" t="inlineStr">
        <is>
          <t>concrete_mixed_with_sawdust</t>
        </is>
      </c>
      <c r="B16" s="46" t="n"/>
      <c r="C16" s="45" t="n">
        <v>6000000222</v>
      </c>
      <c r="D16" s="45" t="n">
        <v>7</v>
      </c>
      <c r="E16" s="45" t="inlineStr">
        <is>
          <t>Cement Bonded Particleboard (created)</t>
        </is>
      </c>
      <c r="F16" s="45" t="n">
        <v>3</v>
      </c>
      <c r="G16" s="39">
        <f>(D16+F16)/2</f>
        <v/>
      </c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  <c r="AA16" s="28" t="n"/>
      <c r="AB16" s="28" t="n"/>
      <c r="AC16" s="28" t="n"/>
      <c r="AD16" s="28" t="n"/>
      <c r="AE16" s="28" t="n"/>
      <c r="AF16" s="28" t="n"/>
    </row>
    <row r="17" customFormat="1" s="6">
      <c r="A17" s="45" t="inlineStr">
        <is>
          <t>coke_ash</t>
        </is>
      </c>
      <c r="B17" s="46" t="n"/>
      <c r="C17" s="45" t="n">
        <v>6000000085</v>
      </c>
      <c r="D17" s="45" t="n">
        <v>3</v>
      </c>
      <c r="E17" s="45" t="inlineStr">
        <is>
          <t>1/2IN Gypsum</t>
        </is>
      </c>
      <c r="F17" s="45" t="n">
        <v>5</v>
      </c>
      <c r="G17" s="39">
        <f>(D17+F17)/2</f>
        <v/>
      </c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  <c r="AA17" s="28" t="n"/>
      <c r="AB17" s="28" t="n"/>
      <c r="AC17" s="28" t="n"/>
      <c r="AD17" s="28" t="n"/>
      <c r="AE17" s="28" t="n"/>
      <c r="AF17" s="28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  <c r="BW17" s="5" t="n"/>
      <c r="BX17" s="5" t="n"/>
      <c r="BY17" s="5" t="n"/>
      <c r="BZ17" s="5" t="n"/>
      <c r="CA17" s="5" t="n"/>
      <c r="CB17" s="5" t="n"/>
      <c r="CC17" s="5" t="n"/>
      <c r="CD17" s="5" t="n"/>
      <c r="CE17" s="5" t="n"/>
      <c r="CF17" s="5" t="n"/>
    </row>
    <row r="18">
      <c r="A18" s="45" t="inlineStr">
        <is>
          <t>metal_sheet</t>
        </is>
      </c>
      <c r="B18" s="46" t="n"/>
      <c r="C18" s="45" t="n">
        <v>6000000153</v>
      </c>
      <c r="D18" s="45" t="n">
        <v>8</v>
      </c>
      <c r="E18" s="45" t="inlineStr">
        <is>
          <t>Metal Surface</t>
        </is>
      </c>
      <c r="F18" s="45" t="n">
        <v>6</v>
      </c>
      <c r="G18" s="39">
        <f>(D18+F18)/2</f>
        <v/>
      </c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</row>
    <row r="19">
      <c r="A19" s="45" t="inlineStr">
        <is>
          <t>battens_1</t>
        </is>
      </c>
      <c r="B19" s="46" t="n"/>
      <c r="C19" s="45" t="n">
        <v>6000000007</v>
      </c>
      <c r="D19" s="45" t="n">
        <v>8</v>
      </c>
      <c r="E19" s="45" t="inlineStr">
        <is>
          <t>Std Wood 6 in.</t>
        </is>
      </c>
      <c r="F19" s="45" t="n">
        <v>8</v>
      </c>
      <c r="G19" s="39">
        <f>(D19+F19)/2</f>
        <v/>
      </c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</row>
    <row r="20">
      <c r="A20" s="45" t="inlineStr">
        <is>
          <t>battens_2</t>
        </is>
      </c>
      <c r="B20" s="46" t="n"/>
      <c r="C20" s="45" t="n">
        <v>6000000007</v>
      </c>
      <c r="D20" s="45" t="n">
        <v>8</v>
      </c>
      <c r="E20" s="45" t="inlineStr">
        <is>
          <t>Std Wood 6 in.</t>
        </is>
      </c>
      <c r="F20" s="45" t="n">
        <v>8</v>
      </c>
      <c r="G20" s="39">
        <f>(D20+F20)/2</f>
        <v/>
      </c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  <c r="AA20" s="28" t="n"/>
      <c r="AB20" s="28" t="n"/>
      <c r="AC20" s="28" t="n"/>
      <c r="AD20" s="28" t="n"/>
      <c r="AE20" s="28" t="n"/>
      <c r="AF20" s="28" t="n"/>
    </row>
    <row r="21">
      <c r="A21" s="45" t="inlineStr">
        <is>
          <t>roofing_felt</t>
        </is>
      </c>
      <c r="B21" s="46" t="n"/>
      <c r="C21" s="45" t="n">
        <v>6000000140</v>
      </c>
      <c r="D21" s="45" t="n">
        <v>5</v>
      </c>
      <c r="E21" s="45" t="inlineStr">
        <is>
          <t>Roof Membrane</t>
        </is>
      </c>
      <c r="F21" s="45" t="n">
        <v>7</v>
      </c>
      <c r="G21" s="39">
        <f>(D21+F21)/2</f>
        <v/>
      </c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  <c r="AA21" s="28" t="n"/>
      <c r="AB21" s="28" t="n"/>
      <c r="AC21" s="28" t="n"/>
      <c r="AD21" s="28" t="n"/>
      <c r="AE21" s="28" t="n"/>
      <c r="AF21" s="28" t="n"/>
    </row>
    <row r="22">
      <c r="A22" s="45" t="inlineStr">
        <is>
          <t>wooden_panel</t>
        </is>
      </c>
      <c r="B22" s="46" t="n"/>
      <c r="C22" s="45" t="n">
        <v>6000000007</v>
      </c>
      <c r="D22" s="45" t="n">
        <v>7</v>
      </c>
      <c r="E22" s="45" t="inlineStr">
        <is>
          <t>Std Wood 6 in.</t>
        </is>
      </c>
      <c r="F22" s="45" t="n">
        <v>8</v>
      </c>
      <c r="G22" s="39">
        <f>(D22+F22)/2</f>
        <v/>
      </c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  <c r="AA22" s="28" t="n"/>
      <c r="AB22" s="28" t="n"/>
      <c r="AC22" s="28" t="n"/>
      <c r="AD22" s="28" t="n"/>
      <c r="AE22" s="28" t="n"/>
      <c r="AF22" s="28" t="n"/>
    </row>
    <row r="23">
      <c r="A23" s="45" t="inlineStr">
        <is>
          <t>brick</t>
        </is>
      </c>
      <c r="B23" s="46" t="n"/>
      <c r="C23" s="45" t="n">
        <v>6000000082</v>
      </c>
      <c r="D23" s="45" t="n">
        <v>10</v>
      </c>
      <c r="E23" s="45" t="inlineStr">
        <is>
          <t>M01 100mm brick</t>
        </is>
      </c>
      <c r="F23" s="45" t="n">
        <v>10</v>
      </c>
      <c r="G23" s="39">
        <f>(D23+F23)/2</f>
        <v/>
      </c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  <c r="AA23" s="28" t="n"/>
      <c r="AB23" s="28" t="n"/>
      <c r="AC23" s="28" t="n"/>
      <c r="AD23" s="28" t="n"/>
      <c r="AE23" s="28" t="n"/>
      <c r="AF23" s="28" t="n"/>
    </row>
    <row r="24">
      <c r="A24" s="45" t="inlineStr">
        <is>
          <t>mineral_wool</t>
        </is>
      </c>
      <c r="B24" s="46" t="n"/>
      <c r="C24" s="45" t="n">
        <v>6000000002</v>
      </c>
      <c r="D24" s="45" t="n">
        <v>8</v>
      </c>
      <c r="E24" s="45" t="inlineStr">
        <is>
          <t>Wall Insulation [31]</t>
        </is>
      </c>
      <c r="F24" s="45" t="n">
        <v>6</v>
      </c>
      <c r="G24" s="39">
        <f>(D24+F24)/2</f>
        <v/>
      </c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  <c r="AA24" s="28" t="n"/>
      <c r="AB24" s="28" t="n"/>
      <c r="AC24" s="28" t="n"/>
      <c r="AD24" s="28" t="n"/>
      <c r="AE24" s="28" t="n"/>
      <c r="AF24" s="28" t="n"/>
    </row>
    <row r="25">
      <c r="A25" s="45" t="inlineStr">
        <is>
          <t>stud</t>
        </is>
      </c>
      <c r="B25" s="46" t="n"/>
      <c r="C25" s="45" t="n">
        <v>6000000007</v>
      </c>
      <c r="D25" s="45" t="n">
        <v>7</v>
      </c>
      <c r="E25" s="45" t="inlineStr">
        <is>
          <t>Std Wood 6 in.</t>
        </is>
      </c>
      <c r="F25" s="45" t="n">
        <v>8</v>
      </c>
      <c r="G25" s="39">
        <f>(D25+F25)/2</f>
        <v/>
      </c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  <c r="AA25" s="28" t="n"/>
      <c r="AB25" s="28" t="n"/>
      <c r="AC25" s="28" t="n"/>
      <c r="AD25" s="28" t="n"/>
      <c r="AE25" s="28" t="n"/>
      <c r="AF25" s="28" t="n"/>
    </row>
    <row r="26">
      <c r="A26" s="45" t="inlineStr">
        <is>
          <t>plaster_board</t>
        </is>
      </c>
      <c r="B26" s="46" t="n"/>
      <c r="C26" s="45" t="n">
        <v>6000000015</v>
      </c>
      <c r="D26" s="45" t="n">
        <v>10</v>
      </c>
      <c r="E26" s="45" t="inlineStr">
        <is>
          <t>1/2 in. Gypsum Board</t>
        </is>
      </c>
      <c r="F26" s="45" t="n">
        <v>8</v>
      </c>
      <c r="G26" s="39">
        <f>(D26+F26)/2</f>
        <v/>
      </c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  <c r="AA26" s="28" t="n"/>
      <c r="AB26" s="28" t="n"/>
      <c r="AC26" s="28" t="n"/>
      <c r="AD26" s="28" t="n"/>
      <c r="AE26" s="28" t="n"/>
      <c r="AF26" s="28" t="n"/>
    </row>
    <row r="27">
      <c r="A27" s="45" t="inlineStr">
        <is>
          <t>eternit_board</t>
        </is>
      </c>
      <c r="B27" s="46" t="n"/>
      <c r="C27" s="45" t="n">
        <v>6000000180</v>
      </c>
      <c r="D27" s="45" t="n">
        <v>6</v>
      </c>
      <c r="E27" s="45" t="inlineStr">
        <is>
          <t>Eternit Asbestos Cement Board (created)</t>
        </is>
      </c>
      <c r="F27" s="45" t="n">
        <v>5</v>
      </c>
      <c r="G27" s="39">
        <f>(D27+F27)/2</f>
        <v/>
      </c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</row>
    <row r="28" customFormat="1" s="6">
      <c r="A28" s="45" t="inlineStr">
        <is>
          <t>asphalt_board</t>
        </is>
      </c>
      <c r="B28" s="46" t="n"/>
      <c r="C28" s="45" t="n">
        <v>6000000141</v>
      </c>
      <c r="D28" s="45" t="n">
        <v>4</v>
      </c>
      <c r="E28" s="45" t="inlineStr">
        <is>
          <t>Asphalt Board (created)</t>
        </is>
      </c>
      <c r="F28" s="45" t="n">
        <v>8</v>
      </c>
      <c r="G28" s="39">
        <f>(D28+F28)/2</f>
        <v/>
      </c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  <c r="AA28" s="28" t="n"/>
      <c r="AB28" s="28" t="n"/>
      <c r="AC28" s="28" t="n"/>
      <c r="AD28" s="28" t="n"/>
      <c r="AE28" s="28" t="n"/>
      <c r="AF28" s="28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  <c r="BW28" s="5" t="n"/>
      <c r="BX28" s="5" t="n"/>
      <c r="BY28" s="5" t="n"/>
      <c r="BZ28" s="5" t="n"/>
      <c r="CA28" s="5" t="n"/>
      <c r="CB28" s="5" t="n"/>
      <c r="CC28" s="5" t="n"/>
      <c r="CD28" s="5" t="n"/>
      <c r="CE28" s="5" t="n"/>
      <c r="CF28" s="5" t="n"/>
    </row>
    <row r="29" customFormat="1" s="6">
      <c r="A29" s="45" t="inlineStr">
        <is>
          <t>linoleum</t>
        </is>
      </c>
      <c r="B29" s="46" t="n"/>
      <c r="C29" s="45" t="n">
        <v>6000000210</v>
      </c>
      <c r="D29" s="45" t="n">
        <v>4</v>
      </c>
      <c r="E29" s="45" t="inlineStr">
        <is>
          <t>Roof Membrane</t>
        </is>
      </c>
      <c r="F29" s="45" t="n">
        <v>1</v>
      </c>
      <c r="G29" s="39">
        <f>(D29+F29)/2</f>
        <v/>
      </c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  <c r="AA29" s="28" t="n"/>
      <c r="AB29" s="28" t="n"/>
      <c r="AC29" s="28" t="n"/>
      <c r="AD29" s="28" t="n"/>
      <c r="AE29" s="28" t="n"/>
      <c r="AF29" s="28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  <c r="BW29" s="5" t="n"/>
      <c r="BX29" s="5" t="n"/>
      <c r="BY29" s="5" t="n"/>
      <c r="BZ29" s="5" t="n"/>
      <c r="CA29" s="5" t="n"/>
      <c r="CB29" s="5" t="n"/>
      <c r="CC29" s="5" t="n"/>
      <c r="CD29" s="5" t="n"/>
      <c r="CE29" s="5" t="n"/>
      <c r="CF29" s="5" t="n"/>
    </row>
    <row r="30">
      <c r="A30" s="45" t="inlineStr">
        <is>
          <t>woodfiber_board</t>
        </is>
      </c>
      <c r="B30" s="46" t="n"/>
      <c r="C30" s="45" t="n">
        <v>6000000215</v>
      </c>
      <c r="D30" s="45" t="n">
        <v>9</v>
      </c>
      <c r="E30" s="45" t="inlineStr">
        <is>
          <t>Woodfiber Board (created)</t>
        </is>
      </c>
      <c r="F30" s="45" t="n">
        <v>4</v>
      </c>
      <c r="G30" s="39">
        <f>(D30+F30)/2</f>
        <v/>
      </c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</row>
    <row r="31">
      <c r="A31" s="45" t="inlineStr">
        <is>
          <t>leca</t>
        </is>
      </c>
      <c r="B31" s="46" t="n"/>
      <c r="C31" s="45" t="n">
        <v>6000000089</v>
      </c>
      <c r="D31" s="45" t="n">
        <v>8</v>
      </c>
      <c r="E31" s="45" t="inlineStr">
        <is>
          <t>Leca (created)</t>
        </is>
      </c>
      <c r="F31" s="45" t="n">
        <v>8</v>
      </c>
      <c r="G31" s="39">
        <f>(D31+F31)/2</f>
        <v/>
      </c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  <c r="AA31" s="28" t="n"/>
      <c r="AB31" s="28" t="n"/>
      <c r="AC31" s="28" t="n"/>
      <c r="AD31" s="28" t="n"/>
      <c r="AE31" s="28" t="n"/>
      <c r="AF31" s="28" t="n"/>
    </row>
    <row r="32">
      <c r="A32" s="45" t="inlineStr">
        <is>
          <t>mineral_wool_blanket</t>
        </is>
      </c>
      <c r="B32" s="46" t="n"/>
      <c r="C32" s="45" t="n">
        <v>6000000128</v>
      </c>
      <c r="D32" s="45" t="n">
        <v>7</v>
      </c>
      <c r="E32" s="45" t="inlineStr">
        <is>
          <t>AtticFloor Insulation</t>
        </is>
      </c>
      <c r="F32" s="45" t="n">
        <v>6</v>
      </c>
      <c r="G32" s="39">
        <f>(D32+F32)/2</f>
        <v/>
      </c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</row>
    <row r="33">
      <c r="A33" s="45" t="inlineStr">
        <is>
          <t>mineral_wool_carpet</t>
        </is>
      </c>
      <c r="B33" s="46" t="n"/>
      <c r="C33" s="45" t="n">
        <v>6000000005</v>
      </c>
      <c r="D33" s="45" t="n">
        <v>6</v>
      </c>
      <c r="E33" s="45" t="inlineStr">
        <is>
          <t>AtticFloor Insulation</t>
        </is>
      </c>
      <c r="F33" s="45" t="n">
        <v>6</v>
      </c>
      <c r="G33" s="39">
        <f>(D33+F33)/2</f>
        <v/>
      </c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  <c r="AA33" s="28" t="n"/>
      <c r="AB33" s="28" t="n"/>
      <c r="AC33" s="28" t="n"/>
      <c r="AD33" s="28" t="n"/>
      <c r="AE33" s="28" t="n"/>
      <c r="AF33" s="28" t="n"/>
    </row>
    <row r="34">
      <c r="A34" s="45" t="inlineStr">
        <is>
          <t>wooden_truss</t>
        </is>
      </c>
      <c r="B34" s="46" t="n"/>
      <c r="C34" s="45" t="n">
        <v>6000000007</v>
      </c>
      <c r="D34" s="45" t="n">
        <v>8</v>
      </c>
      <c r="E34" s="45" t="inlineStr">
        <is>
          <t>Std Wood 6 in.</t>
        </is>
      </c>
      <c r="F34" s="45" t="n">
        <v>8</v>
      </c>
      <c r="G34" s="39">
        <f>(D34+F34)/2</f>
        <v/>
      </c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  <c r="AD34" s="28" t="n"/>
      <c r="AE34" s="28" t="n"/>
      <c r="AF34" s="28" t="n"/>
    </row>
    <row r="35">
      <c r="A35" s="45" t="inlineStr">
        <is>
          <t>reinforced concrete: steel</t>
        </is>
      </c>
      <c r="B35" s="46" t="inlineStr">
        <is>
          <t>X</t>
        </is>
      </c>
      <c r="C35" s="45" t="n">
        <v>6000000155</v>
      </c>
      <c r="D35" s="45" t="n">
        <v>10</v>
      </c>
      <c r="E35" s="45" t="inlineStr">
        <is>
          <t>F08 Metal surface</t>
        </is>
      </c>
      <c r="F35" s="45" t="n">
        <v>7</v>
      </c>
      <c r="G35" s="39">
        <f>(D35+F35)/2</f>
        <v/>
      </c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</row>
    <row r="36" customFormat="1" s="6">
      <c r="A36" s="45" t="inlineStr">
        <is>
          <t>asbestos_cement_board</t>
        </is>
      </c>
      <c r="B36" s="46" t="n"/>
      <c r="C36" s="45" t="n">
        <v>6000000193</v>
      </c>
      <c r="D36" s="45" t="n">
        <v>3</v>
      </c>
      <c r="E36" s="45" t="inlineStr">
        <is>
          <t>Dry Dust</t>
        </is>
      </c>
      <c r="F36" s="45" t="n">
        <v>5</v>
      </c>
      <c r="G36" s="39">
        <f>(D36+F36)/2</f>
        <v/>
      </c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  <c r="AA36" s="28" t="n"/>
      <c r="AB36" s="28" t="n"/>
      <c r="AC36" s="28" t="n"/>
      <c r="AD36" s="28" t="n"/>
      <c r="AE36" s="28" t="n"/>
      <c r="AF36" s="28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  <c r="BW36" s="5" t="n"/>
      <c r="BX36" s="5" t="n"/>
      <c r="BY36" s="5" t="n"/>
      <c r="BZ36" s="5" t="n"/>
      <c r="CA36" s="5" t="n"/>
      <c r="CB36" s="5" t="n"/>
      <c r="CC36" s="5" t="n"/>
      <c r="CD36" s="5" t="n"/>
      <c r="CE36" s="5" t="n"/>
      <c r="CF36" s="5" t="n"/>
    </row>
    <row r="37">
      <c r="A37" s="45" t="inlineStr">
        <is>
          <t>foil</t>
        </is>
      </c>
      <c r="B37" s="46" t="n"/>
      <c r="C37" s="45" t="n">
        <v>6000000198</v>
      </c>
      <c r="D37" s="45" t="n">
        <v>10</v>
      </c>
      <c r="E37" s="45" t="inlineStr">
        <is>
          <t>Roof Membrane</t>
        </is>
      </c>
      <c r="F37" s="45" t="n">
        <v>1</v>
      </c>
      <c r="G37" s="39">
        <f>(D37+F37)/2</f>
        <v/>
      </c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  <c r="AA37" s="28" t="n"/>
      <c r="AB37" s="28" t="n"/>
      <c r="AC37" s="28" t="n"/>
      <c r="AD37" s="28" t="n"/>
      <c r="AE37" s="28" t="n"/>
      <c r="AF37" s="28" t="n"/>
    </row>
    <row r="38">
      <c r="A38" s="45" t="inlineStr">
        <is>
          <t>gypsum_board</t>
        </is>
      </c>
      <c r="B38" s="46" t="n"/>
      <c r="C38" s="45" t="n">
        <v>6000000020</v>
      </c>
      <c r="D38" s="45" t="n">
        <v>10</v>
      </c>
      <c r="E38" s="45" t="inlineStr">
        <is>
          <t>5/8 in. Gypsum Board</t>
        </is>
      </c>
      <c r="F38" s="45" t="n">
        <v>10</v>
      </c>
      <c r="G38" s="39">
        <f>(D38+F38)/2</f>
        <v/>
      </c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  <c r="AA38" s="28" t="n"/>
      <c r="AB38" s="28" t="n"/>
      <c r="AC38" s="28" t="n"/>
      <c r="AD38" s="28" t="n"/>
      <c r="AE38" s="28" t="n"/>
      <c r="AF38" s="28" t="n"/>
    </row>
    <row r="39">
      <c r="A39" s="45" t="inlineStr">
        <is>
          <t>wooden_frame</t>
        </is>
      </c>
      <c r="B39" s="46" t="n"/>
      <c r="C39" s="45" t="n">
        <v>6000000007</v>
      </c>
      <c r="D39" s="45" t="n">
        <v>8</v>
      </c>
      <c r="E39" s="45" t="inlineStr">
        <is>
          <t>Std Wood 6 in.</t>
        </is>
      </c>
      <c r="F39" s="45" t="n">
        <v>8</v>
      </c>
      <c r="G39" s="39">
        <f>(D39+F39)/2</f>
        <v/>
      </c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  <c r="AA39" s="28" t="n"/>
      <c r="AB39" s="28" t="n"/>
      <c r="AC39" s="28" t="n"/>
      <c r="AD39" s="28" t="n"/>
      <c r="AE39" s="28" t="n"/>
      <c r="AF39" s="28" t="n"/>
    </row>
    <row r="40">
      <c r="A40" s="45" t="inlineStr">
        <is>
          <t>lightweight_concrete_beam</t>
        </is>
      </c>
      <c r="B40" s="46" t="inlineStr">
        <is>
          <t>X</t>
        </is>
      </c>
      <c r="C40" s="45" t="n">
        <v>6000000096</v>
      </c>
      <c r="D40" s="45" t="n">
        <v>8</v>
      </c>
      <c r="E40" s="45" t="inlineStr">
        <is>
          <t>M11 100mm lightweight concrete</t>
        </is>
      </c>
      <c r="F40" s="45" t="n">
        <v>10</v>
      </c>
      <c r="G40" s="39">
        <f>(D40+F40)/2</f>
        <v/>
      </c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  <c r="AA40" s="28" t="n"/>
      <c r="AB40" s="28" t="n"/>
      <c r="AC40" s="28" t="n"/>
      <c r="AD40" s="28" t="n"/>
      <c r="AE40" s="28" t="n"/>
      <c r="AF40" s="28" t="n"/>
    </row>
    <row r="41">
      <c r="A41" s="45" t="inlineStr">
        <is>
          <t>beam_plate</t>
        </is>
      </c>
      <c r="B41" s="46" t="inlineStr">
        <is>
          <t>X</t>
        </is>
      </c>
      <c r="C41" s="45" t="n">
        <v>6000000221</v>
      </c>
      <c r="D41" s="45" t="n">
        <v>8</v>
      </c>
      <c r="E41" s="45" t="inlineStr">
        <is>
          <t>F08 Metal surface</t>
        </is>
      </c>
      <c r="F41" s="45" t="n">
        <v>9</v>
      </c>
      <c r="G41" s="39">
        <f>(D41+F41)/2</f>
        <v/>
      </c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  <c r="AA41" s="28" t="n"/>
      <c r="AB41" s="28" t="n"/>
      <c r="AC41" s="28" t="n"/>
      <c r="AD41" s="28" t="n"/>
      <c r="AE41" s="28" t="n"/>
      <c r="AF41" s="28" t="n"/>
    </row>
    <row r="42">
      <c r="A42" s="45" t="inlineStr">
        <is>
          <t>battens</t>
        </is>
      </c>
      <c r="B42" s="46" t="n"/>
      <c r="C42" s="45" t="n">
        <v>6000000007</v>
      </c>
      <c r="D42" s="45" t="n">
        <v>8</v>
      </c>
      <c r="E42" s="45" t="inlineStr">
        <is>
          <t>Std Wood 6 in.</t>
        </is>
      </c>
      <c r="F42" s="45" t="n">
        <v>8</v>
      </c>
      <c r="G42" s="39">
        <f>(D42+F42)/2</f>
        <v/>
      </c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  <c r="AA42" s="28" t="n"/>
      <c r="AB42" s="28" t="n"/>
      <c r="AC42" s="28" t="n"/>
      <c r="AD42" s="28" t="n"/>
      <c r="AE42" s="28" t="n"/>
      <c r="AF42" s="28" t="n"/>
    </row>
    <row r="43">
      <c r="A43" s="45" t="inlineStr">
        <is>
          <t>ceramic_tile</t>
        </is>
      </c>
      <c r="B43" s="46" t="n"/>
      <c r="C43" s="45" t="n">
        <v>6000000081</v>
      </c>
      <c r="D43" s="45" t="n">
        <v>5</v>
      </c>
      <c r="E43" s="45" t="inlineStr">
        <is>
          <t>HW CONCRETE</t>
        </is>
      </c>
      <c r="F43" s="45" t="n">
        <v>2</v>
      </c>
      <c r="G43" s="39">
        <f>(D43+F43)/2</f>
        <v/>
      </c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  <c r="AA43" s="28" t="n"/>
      <c r="AB43" s="28" t="n"/>
      <c r="AC43" s="28" t="n"/>
      <c r="AD43" s="28" t="n"/>
      <c r="AE43" s="28" t="n"/>
      <c r="AF43" s="28" t="n"/>
    </row>
    <row r="44">
      <c r="A44" s="45" t="inlineStr">
        <is>
          <t>paper</t>
        </is>
      </c>
      <c r="B44" s="46" t="n"/>
      <c r="C44" s="45" t="n">
        <v>6000000141</v>
      </c>
      <c r="D44" s="45" t="n">
        <v>10</v>
      </c>
      <c r="E44" s="45" t="inlineStr">
        <is>
          <t>Roof Membrane</t>
        </is>
      </c>
      <c r="F44" s="45" t="n">
        <v>8</v>
      </c>
      <c r="G44" s="39">
        <f>(D44+F44)/2</f>
        <v/>
      </c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28" t="n"/>
      <c r="AB44" s="28" t="n"/>
      <c r="AC44" s="28" t="n"/>
      <c r="AD44" s="28" t="n"/>
      <c r="AE44" s="28" t="n"/>
      <c r="AF44" s="28" t="n"/>
    </row>
    <row r="45">
      <c r="A45" s="45" t="inlineStr">
        <is>
          <t>wood_shavings</t>
        </is>
      </c>
      <c r="B45" s="46" t="n"/>
      <c r="C45" s="45" t="n">
        <v>6000000000</v>
      </c>
      <c r="D45" s="45" t="n">
        <v>5</v>
      </c>
      <c r="E45" s="45" t="inlineStr">
        <is>
          <t>Wood Shavings (created)</t>
        </is>
      </c>
      <c r="F45" s="45" t="n">
        <v>5</v>
      </c>
      <c r="G45" s="39">
        <f>(D45+F45)/2</f>
        <v/>
      </c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  <c r="AA45" s="28" t="n"/>
      <c r="AB45" s="28" t="n"/>
      <c r="AC45" s="28" t="n"/>
      <c r="AD45" s="28" t="n"/>
      <c r="AE45" s="28" t="n"/>
      <c r="AF45" s="28" t="n"/>
    </row>
    <row r="46" customFormat="1" s="6">
      <c r="A46" s="45" t="inlineStr">
        <is>
          <t>floorboard</t>
        </is>
      </c>
      <c r="B46" s="46" t="n"/>
      <c r="C46" s="45" t="n">
        <v>6000000007</v>
      </c>
      <c r="D46" s="45" t="n">
        <v>10</v>
      </c>
      <c r="E46" s="45" t="inlineStr">
        <is>
          <t>Wood Siding</t>
        </is>
      </c>
      <c r="F46" s="45" t="n">
        <v>10</v>
      </c>
      <c r="G46" s="39">
        <f>(D46+F46)/2</f>
        <v/>
      </c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  <c r="AA46" s="28" t="n"/>
      <c r="AB46" s="28" t="n"/>
      <c r="AC46" s="28" t="n"/>
      <c r="AD46" s="28" t="n"/>
      <c r="AE46" s="28" t="n"/>
      <c r="AF46" s="28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  <c r="BW46" s="5" t="n"/>
      <c r="BX46" s="5" t="n"/>
      <c r="BY46" s="5" t="n"/>
      <c r="BZ46" s="5" t="n"/>
      <c r="CA46" s="5" t="n"/>
      <c r="CB46" s="5" t="n"/>
      <c r="CC46" s="5" t="n"/>
      <c r="CD46" s="5" t="n"/>
      <c r="CE46" s="5" t="n"/>
      <c r="CF46" s="5" t="n"/>
    </row>
    <row r="47">
      <c r="A47" s="45" t="inlineStr">
        <is>
          <t>vinyl_flooring</t>
        </is>
      </c>
      <c r="B47" s="46" t="n"/>
      <c r="C47" s="45" t="n">
        <v>6000000224</v>
      </c>
      <c r="D47" s="45" t="n">
        <v>5</v>
      </c>
      <c r="E47" s="45" t="inlineStr">
        <is>
          <t>Roof Membrane</t>
        </is>
      </c>
      <c r="F47" s="45" t="n">
        <v>5</v>
      </c>
      <c r="G47" s="39">
        <f>(D47+F47)/2</f>
        <v/>
      </c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  <c r="AA47" s="28" t="n"/>
      <c r="AB47" s="28" t="n"/>
      <c r="AC47" s="28" t="n"/>
      <c r="AD47" s="28" t="n"/>
      <c r="AE47" s="28" t="n"/>
      <c r="AF47" s="28" t="n"/>
    </row>
    <row r="48" customFormat="1" s="6">
      <c r="A48" s="45" t="inlineStr">
        <is>
          <t>membrane</t>
        </is>
      </c>
      <c r="B48" s="46" t="n"/>
      <c r="C48" s="45" t="n">
        <v>6000000198</v>
      </c>
      <c r="D48" s="45" t="n">
        <v>7</v>
      </c>
      <c r="E48" s="45" t="inlineStr">
        <is>
          <t>Roof Membrane</t>
        </is>
      </c>
      <c r="F48" s="45" t="n">
        <v>8</v>
      </c>
      <c r="G48" s="39">
        <f>(D48+F48)/2</f>
        <v/>
      </c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  <c r="AA48" s="28" t="n"/>
      <c r="AB48" s="28" t="n"/>
      <c r="AC48" s="28" t="n"/>
      <c r="AD48" s="28" t="n"/>
      <c r="AE48" s="28" t="n"/>
      <c r="AF48" s="28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  <c r="BW48" s="5" t="n"/>
      <c r="BX48" s="5" t="n"/>
      <c r="BY48" s="5" t="n"/>
      <c r="BZ48" s="5" t="n"/>
      <c r="CA48" s="5" t="n"/>
      <c r="CB48" s="5" t="n"/>
      <c r="CC48" s="5" t="n"/>
      <c r="CD48" s="5" t="n"/>
      <c r="CE48" s="5" t="n"/>
      <c r="CF48" s="5" t="n"/>
    </row>
    <row r="49">
      <c r="A49" s="45" t="inlineStr">
        <is>
          <t>plaster</t>
        </is>
      </c>
      <c r="B49" s="46" t="n"/>
      <c r="C49" s="45" t="n">
        <v>6000000091</v>
      </c>
      <c r="D49" s="45" t="n">
        <v>10</v>
      </c>
      <c r="E49" s="45" t="inlineStr">
        <is>
          <t>1IN Stucco</t>
        </is>
      </c>
      <c r="F49" s="45" t="n">
        <v>10</v>
      </c>
      <c r="G49" s="39">
        <f>(D49+F49)/2</f>
        <v/>
      </c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  <c r="AA49" s="28" t="n"/>
      <c r="AB49" s="28" t="n"/>
      <c r="AC49" s="28" t="n"/>
      <c r="AD49" s="28" t="n"/>
      <c r="AE49" s="28" t="n"/>
      <c r="AF49" s="28" t="n"/>
    </row>
    <row r="50">
      <c r="A50" s="45" t="inlineStr">
        <is>
          <t>wooden frame pane windows</t>
        </is>
      </c>
      <c r="B50" s="46" t="inlineStr">
        <is>
          <t>X</t>
        </is>
      </c>
      <c r="C50" s="45" t="n">
        <v>6000000007</v>
      </c>
      <c r="D50" s="45" t="n">
        <v>8</v>
      </c>
      <c r="E50" s="45" t="inlineStr">
        <is>
          <t>Std Wood 6 in.</t>
        </is>
      </c>
      <c r="F50" s="45" t="n">
        <v>8</v>
      </c>
      <c r="G50" s="39">
        <f>(D50+F50)/2</f>
        <v/>
      </c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  <c r="AD50" s="28" t="n"/>
      <c r="AE50" s="28" t="n"/>
      <c r="AF50" s="28" t="n"/>
    </row>
    <row r="51">
      <c r="A51" s="45" t="inlineStr">
        <is>
          <t>wooden_frame</t>
        </is>
      </c>
      <c r="B51" s="46" t="inlineStr">
        <is>
          <t>X</t>
        </is>
      </c>
      <c r="C51" s="45" t="n">
        <v>6000000007</v>
      </c>
      <c r="D51" s="45" t="n">
        <v>8</v>
      </c>
      <c r="E51" s="45" t="inlineStr">
        <is>
          <t>Std Wood 6 in.</t>
        </is>
      </c>
      <c r="F51" s="45" t="n">
        <v>8</v>
      </c>
      <c r="G51" s="39">
        <f>(D51+F51)/2</f>
        <v/>
      </c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</row>
    <row r="52">
      <c r="A52" s="45" t="inlineStr">
        <is>
          <t>cardboard</t>
        </is>
      </c>
      <c r="B52" s="46" t="n"/>
      <c r="C52" s="45" t="n">
        <v>6000000141</v>
      </c>
      <c r="D52" s="45" t="n"/>
      <c r="E52" s="45" t="inlineStr">
        <is>
          <t>Wood Siding</t>
        </is>
      </c>
      <c r="F52" s="45" t="n">
        <v>8</v>
      </c>
      <c r="G52" s="39">
        <f>(D52+F52)/2</f>
        <v/>
      </c>
      <c r="H52" s="29" t="n"/>
      <c r="I52" s="29" t="n"/>
      <c r="J52" s="29" t="n"/>
      <c r="K52" s="29" t="n"/>
      <c r="L52" s="29" t="n"/>
      <c r="M52" s="29" t="n"/>
      <c r="N52" s="30" t="n"/>
      <c r="O52" s="30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  <c r="AA52" s="28" t="n"/>
      <c r="AB52" s="28" t="n"/>
      <c r="AC52" s="28" t="n"/>
      <c r="AD52" s="28" t="n"/>
      <c r="AE52" s="28" t="n"/>
      <c r="AF52" s="28" t="n"/>
    </row>
    <row r="53">
      <c r="A53" s="45" t="inlineStr">
        <is>
          <t>concrete_tile</t>
        </is>
      </c>
      <c r="B53" s="46" t="n"/>
      <c r="C53" s="123" t="n">
        <v>6000000081</v>
      </c>
      <c r="D53" s="45" t="n">
        <v>5</v>
      </c>
      <c r="E53" s="45" t="inlineStr">
        <is>
          <t>HW CONCRETE</t>
        </is>
      </c>
      <c r="F53" s="45" t="n">
        <v>2</v>
      </c>
      <c r="G53" s="39">
        <f>(D53+F53)/2</f>
        <v/>
      </c>
      <c r="H53" s="29" t="n"/>
      <c r="I53" s="29" t="n"/>
      <c r="J53" s="29" t="n"/>
      <c r="K53" s="29" t="n"/>
      <c r="L53" s="29" t="n"/>
      <c r="M53" s="29" t="n"/>
      <c r="N53" s="30" t="n"/>
      <c r="O53" s="30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  <c r="AA53" s="28" t="n"/>
      <c r="AB53" s="28" t="n"/>
      <c r="AC53" s="28" t="n"/>
      <c r="AD53" s="28" t="n"/>
      <c r="AE53" s="28" t="n"/>
      <c r="AF53" s="28" t="n"/>
    </row>
    <row r="54">
      <c r="A54" s="45" t="inlineStr">
        <is>
          <t>waterproof_membrane</t>
        </is>
      </c>
      <c r="B54" s="127" t="n"/>
      <c r="C54" s="45" t="n">
        <v>6000000224</v>
      </c>
      <c r="D54" s="133" t="n">
        <v>4</v>
      </c>
      <c r="E54" s="123" t="inlineStr">
        <is>
          <t>Roof Membrane</t>
        </is>
      </c>
      <c r="F54" s="45" t="n">
        <v>5</v>
      </c>
      <c r="G54" s="39">
        <f>(D54+F54)/2</f>
        <v/>
      </c>
      <c r="H54" s="29" t="n"/>
      <c r="I54" s="29" t="n"/>
      <c r="J54" s="29" t="n"/>
      <c r="K54" s="29" t="n"/>
      <c r="L54" s="29" t="n"/>
      <c r="M54" s="29" t="n"/>
      <c r="N54" s="30" t="n"/>
      <c r="O54" s="30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  <c r="AA54" s="28" t="n"/>
      <c r="AB54" s="28" t="n"/>
      <c r="AC54" s="28" t="n"/>
      <c r="AD54" s="28" t="n"/>
      <c r="AE54" s="28" t="n"/>
      <c r="AF54" s="28" t="n"/>
    </row>
    <row r="55">
      <c r="A55" s="96" t="inlineStr">
        <is>
          <t>wood_wool_board</t>
        </is>
      </c>
      <c r="B55" s="128" t="n"/>
      <c r="C55" s="131" t="n">
        <v>6000000222</v>
      </c>
      <c r="D55" s="129" t="n">
        <v>5</v>
      </c>
      <c r="E55" s="45" t="inlineStr">
        <is>
          <t>Cement Bonded Particleboard (created)</t>
        </is>
      </c>
      <c r="F55" s="44" t="n">
        <v>5</v>
      </c>
      <c r="G55" s="97">
        <f>(D55+F55)/2</f>
        <v/>
      </c>
      <c r="H55" s="29" t="n"/>
      <c r="I55" s="29" t="n"/>
      <c r="J55" s="29" t="n"/>
      <c r="K55" s="29" t="n"/>
      <c r="L55" s="29" t="n"/>
      <c r="M55" s="29" t="n"/>
      <c r="N55" s="30" t="n"/>
      <c r="O55" s="30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  <c r="AA55" s="28" t="n"/>
      <c r="AB55" s="28" t="n"/>
      <c r="AC55" s="28" t="n"/>
      <c r="AD55" s="28" t="n"/>
      <c r="AE55" s="28" t="n"/>
      <c r="AF55" s="28" t="n"/>
    </row>
    <row r="56">
      <c r="A56" s="96" t="inlineStr">
        <is>
          <t>sand</t>
        </is>
      </c>
      <c r="B56" s="128" t="n"/>
      <c r="C56" s="132" t="n">
        <v>6000000084</v>
      </c>
      <c r="D56" s="129" t="n">
        <v>4</v>
      </c>
      <c r="E56" s="41" t="inlineStr">
        <is>
          <t>Dry Sand</t>
        </is>
      </c>
      <c r="F56" s="44" t="n">
        <v>9</v>
      </c>
      <c r="G56" s="117">
        <f>(D56+F56)/2</f>
        <v/>
      </c>
      <c r="H56" s="29" t="n"/>
      <c r="I56" s="29" t="n"/>
      <c r="J56" s="29" t="n"/>
      <c r="K56" s="29" t="n"/>
      <c r="L56" s="29" t="n"/>
      <c r="M56" s="29" t="n"/>
      <c r="N56" s="30" t="n"/>
      <c r="O56" s="30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</row>
    <row r="57">
      <c r="A57" s="137" t="inlineStr">
        <is>
          <t>cellular_plastic</t>
        </is>
      </c>
      <c r="B57" s="130" t="n"/>
      <c r="C57" s="131" t="n">
        <v>6000000210</v>
      </c>
      <c r="D57" s="136" t="n">
        <v>8</v>
      </c>
      <c r="E57" s="96" t="inlineStr">
        <is>
          <t>I02 50mm insulation board</t>
        </is>
      </c>
      <c r="F57" s="44" t="n">
        <v>7</v>
      </c>
      <c r="G57" s="117">
        <f>(D57+F57)/2</f>
        <v/>
      </c>
      <c r="H57" s="29" t="n"/>
      <c r="I57" s="29" t="n"/>
      <c r="J57" s="29" t="n"/>
      <c r="K57" s="29" t="n"/>
      <c r="L57" s="29" t="n"/>
      <c r="M57" s="29" t="n"/>
      <c r="N57" s="30" t="n"/>
      <c r="O57" s="30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</row>
    <row r="58">
      <c r="A58" s="137" t="inlineStr">
        <is>
          <t>gravel</t>
        </is>
      </c>
      <c r="B58" s="130" t="n"/>
      <c r="C58" s="132" t="n">
        <v>6000000084</v>
      </c>
      <c r="D58" s="134" t="n">
        <v>2</v>
      </c>
      <c r="E58" s="139" t="inlineStr">
        <is>
          <t>Solid Rock</t>
        </is>
      </c>
      <c r="F58" s="129" t="n">
        <v>6</v>
      </c>
      <c r="G58" s="117">
        <f>(D58+F58)/2</f>
        <v/>
      </c>
      <c r="H58" s="29" t="n"/>
      <c r="I58" s="29" t="n"/>
      <c r="J58" s="29" t="n"/>
      <c r="K58" s="29" t="n"/>
      <c r="L58" s="29" t="n"/>
      <c r="M58" s="29" t="n"/>
      <c r="N58" s="30" t="n"/>
      <c r="O58" s="30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</row>
    <row r="59">
      <c r="A59" s="138" t="inlineStr">
        <is>
          <t>plywood</t>
        </is>
      </c>
      <c r="B59" s="130" t="n"/>
      <c r="C59" s="131" t="n">
        <v>6000000023</v>
      </c>
      <c r="D59" s="135" t="n">
        <v>10</v>
      </c>
      <c r="E59" s="140" t="inlineStr">
        <is>
          <t>Plywood - 5/8 in. CBES</t>
        </is>
      </c>
      <c r="F59" s="96" t="n">
        <v>10</v>
      </c>
      <c r="G59" s="117">
        <f>(D59+F59)/2</f>
        <v/>
      </c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</row>
    <row r="60">
      <c r="A60" s="137" t="inlineStr">
        <is>
          <t>air_gap</t>
        </is>
      </c>
      <c r="B60" s="130" t="n"/>
      <c r="C60" s="131" t="n">
        <v>6000000174</v>
      </c>
      <c r="D60" s="135" t="n">
        <v>5</v>
      </c>
      <c r="E60" s="139" t="inlineStr">
        <is>
          <t>Air Wall (created)</t>
        </is>
      </c>
      <c r="F60" s="96" t="n">
        <v>10</v>
      </c>
      <c r="G60" s="117">
        <f>(D60+F60)/2</f>
        <v/>
      </c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  <c r="AA60" s="28" t="n"/>
      <c r="AB60" s="28" t="n"/>
      <c r="AC60" s="28" t="n"/>
      <c r="AD60" s="28" t="n"/>
      <c r="AE60" s="28" t="n"/>
      <c r="AF60" s="28" t="n"/>
    </row>
    <row r="61">
      <c r="A61" s="31" t="n"/>
      <c r="B61" s="31" t="n"/>
      <c r="C61" s="31" t="n"/>
      <c r="D61" s="31" t="n"/>
      <c r="E61" s="31" t="n"/>
      <c r="F61" s="31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  <c r="AA61" s="28" t="n"/>
      <c r="AB61" s="28" t="n"/>
      <c r="AC61" s="28" t="n"/>
      <c r="AD61" s="28" t="n"/>
      <c r="AE61" s="28" t="n"/>
      <c r="AF61" s="28" t="n"/>
    </row>
    <row r="62">
      <c r="A62" s="31" t="n"/>
      <c r="B62" s="31" t="n"/>
      <c r="C62" s="31" t="n"/>
      <c r="D62" s="31" t="n"/>
      <c r="E62" s="31" t="n"/>
      <c r="F62" s="31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  <c r="AA62" s="28" t="n"/>
      <c r="AB62" s="28" t="n"/>
      <c r="AC62" s="28" t="n"/>
      <c r="AD62" s="28" t="n"/>
      <c r="AE62" s="28" t="n"/>
      <c r="AF62" s="28" t="n"/>
    </row>
    <row r="63">
      <c r="A63" s="31" t="n"/>
      <c r="B63" s="31" t="n"/>
      <c r="C63" s="31" t="n"/>
      <c r="D63" s="31" t="n"/>
      <c r="E63" s="31" t="n"/>
      <c r="F63" s="31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  <c r="AA63" s="28" t="n"/>
      <c r="AB63" s="28" t="n"/>
      <c r="AC63" s="28" t="n"/>
      <c r="AD63" s="28" t="n"/>
      <c r="AE63" s="28" t="n"/>
      <c r="AF63" s="28" t="n"/>
    </row>
    <row r="64">
      <c r="A64" s="32" t="n"/>
      <c r="B64" s="32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</row>
    <row r="65">
      <c r="A65" s="28" t="n"/>
      <c r="B65" s="28" t="n"/>
      <c r="C65" s="31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</row>
    <row r="66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</row>
    <row r="67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  <c r="AA67" s="28" t="n"/>
      <c r="AB67" s="28" t="n"/>
      <c r="AC67" s="28" t="n"/>
      <c r="AD67" s="28" t="n"/>
      <c r="AE67" s="28" t="n"/>
      <c r="AF67" s="28" t="n"/>
    </row>
    <row r="68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</row>
    <row r="69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</row>
    <row r="70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</row>
    <row r="71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</row>
    <row r="72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</row>
    <row r="73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</row>
    <row r="74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  <c r="AA74" s="28" t="n"/>
      <c r="AB74" s="28" t="n"/>
      <c r="AC74" s="28" t="n"/>
      <c r="AD74" s="28" t="n"/>
      <c r="AE74" s="28" t="n"/>
      <c r="AF74" s="28" t="n"/>
    </row>
    <row r="75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  <c r="AA75" s="28" t="n"/>
      <c r="AB75" s="28" t="n"/>
      <c r="AC75" s="28" t="n"/>
      <c r="AD75" s="28" t="n"/>
      <c r="AE75" s="28" t="n"/>
      <c r="AF75" s="28" t="n"/>
    </row>
    <row r="76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8" t="n"/>
      <c r="AE76" s="28" t="n"/>
      <c r="AF76" s="28" t="n"/>
    </row>
    <row r="77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8" t="n"/>
      <c r="AE77" s="28" t="n"/>
      <c r="AF77" s="28" t="n"/>
    </row>
    <row r="78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8" t="n"/>
      <c r="AE78" s="28" t="n"/>
      <c r="AF78" s="28" t="n"/>
    </row>
    <row r="79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</row>
    <row r="80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</row>
    <row r="81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</row>
    <row r="82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</row>
    <row r="83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</row>
    <row r="84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8" t="n"/>
      <c r="AE84" s="28" t="n"/>
      <c r="AF84" s="28" t="n"/>
    </row>
    <row r="85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8" t="n"/>
      <c r="AE85" s="28" t="n"/>
      <c r="AF85" s="28" t="n"/>
    </row>
    <row r="86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8" t="n"/>
      <c r="AE86" s="28" t="n"/>
      <c r="AF86" s="28" t="n"/>
    </row>
    <row r="87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8" t="n"/>
      <c r="AE87" s="28" t="n"/>
      <c r="AF87" s="28" t="n"/>
    </row>
    <row r="88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8" t="n"/>
      <c r="AE88" s="28" t="n"/>
      <c r="AF88" s="28" t="n"/>
    </row>
    <row r="89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8" t="n"/>
      <c r="AE89" s="28" t="n"/>
      <c r="AF89" s="28" t="n"/>
    </row>
    <row r="90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8" t="n"/>
      <c r="AE90" s="28" t="n"/>
      <c r="AF90" s="28" t="n"/>
    </row>
    <row r="91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8" t="n"/>
      <c r="AE91" s="28" t="n"/>
      <c r="AF91" s="28" t="n"/>
    </row>
    <row r="92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8" t="n"/>
      <c r="AE92" s="28" t="n"/>
      <c r="AF92" s="28" t="n"/>
    </row>
    <row r="93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8" t="n"/>
      <c r="AE93" s="28" t="n"/>
      <c r="AF93" s="28" t="n"/>
    </row>
    <row r="94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8" t="n"/>
      <c r="AE94" s="28" t="n"/>
      <c r="AF94" s="28" t="n"/>
    </row>
    <row r="95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8" t="n"/>
      <c r="AE95" s="28" t="n"/>
      <c r="AF95" s="28" t="n"/>
    </row>
    <row r="96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</row>
    <row r="97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</row>
    <row r="98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</row>
    <row r="99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</row>
    <row r="100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8" t="n"/>
      <c r="AE100" s="28" t="n"/>
      <c r="AF100" s="28" t="n"/>
    </row>
    <row r="101">
      <c r="A101" s="28" t="n"/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8" t="n"/>
      <c r="AE101" s="28" t="n"/>
      <c r="AF101" s="28" t="n"/>
    </row>
    <row r="102">
      <c r="A102" s="28" t="n"/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</row>
    <row r="103">
      <c r="A103" s="28" t="n"/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8" t="n"/>
      <c r="AE103" s="28" t="n"/>
      <c r="AF103" s="28" t="n"/>
    </row>
    <row r="104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8" t="n"/>
      <c r="AE104" s="28" t="n"/>
      <c r="AF104" s="28" t="n"/>
    </row>
    <row r="105">
      <c r="A105" s="28" t="n"/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8" t="n"/>
      <c r="AE105" s="28" t="n"/>
      <c r="AF105" s="28" t="n"/>
    </row>
    <row r="106">
      <c r="A106" s="28" t="n"/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8" t="n"/>
      <c r="AE106" s="28" t="n"/>
      <c r="AF106" s="28" t="n"/>
    </row>
    <row r="107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8" t="n"/>
      <c r="AE107" s="28" t="n"/>
      <c r="AF107" s="28" t="n"/>
    </row>
    <row r="108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8" t="n"/>
      <c r="AE108" s="28" t="n"/>
      <c r="AF108" s="28" t="n"/>
    </row>
    <row r="109">
      <c r="A109" s="28" t="n"/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8" t="n"/>
      <c r="AE109" s="28" t="n"/>
      <c r="AF109" s="28" t="n"/>
    </row>
    <row r="110">
      <c r="A110" s="28" t="n"/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8" t="n"/>
      <c r="AE110" s="28" t="n"/>
      <c r="AF110" s="28" t="n"/>
    </row>
    <row r="111">
      <c r="A111" s="28" t="n"/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8" t="n"/>
      <c r="AE111" s="28" t="n"/>
      <c r="AF111" s="28" t="n"/>
    </row>
    <row r="112">
      <c r="A112" s="28" t="n"/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8" t="n"/>
      <c r="AE112" s="28" t="n"/>
      <c r="AF112" s="28" t="n"/>
    </row>
    <row r="113">
      <c r="A113" s="28" t="n"/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8" t="n"/>
      <c r="AE113" s="28" t="n"/>
      <c r="AF113" s="28" t="n"/>
    </row>
    <row r="114">
      <c r="A114" s="28" t="n"/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8" t="n"/>
      <c r="AE114" s="28" t="n"/>
      <c r="AF114" s="28" t="n"/>
    </row>
    <row r="115">
      <c r="A115" s="28" t="n"/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8" t="n"/>
      <c r="AE115" s="28" t="n"/>
      <c r="AF115" s="28" t="n"/>
    </row>
    <row r="116">
      <c r="A116" s="28" t="n"/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8" t="n"/>
      <c r="AE116" s="28" t="n"/>
      <c r="AF116" s="28" t="n"/>
    </row>
    <row r="117">
      <c r="A117" s="28" t="n"/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8" t="n"/>
      <c r="AE117" s="28" t="n"/>
      <c r="AF117" s="28" t="n"/>
    </row>
    <row r="118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8" t="n"/>
      <c r="AE118" s="28" t="n"/>
      <c r="AF118" s="28" t="n"/>
    </row>
    <row r="119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8" t="n"/>
      <c r="AE119" s="28" t="n"/>
      <c r="AF119" s="28" t="n"/>
    </row>
    <row r="120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8" t="n"/>
      <c r="AE120" s="28" t="n"/>
      <c r="AF120" s="28" t="n"/>
    </row>
    <row r="121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8" t="n"/>
      <c r="AE121" s="28" t="n"/>
      <c r="AF121" s="28" t="n"/>
    </row>
    <row r="122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8" t="n"/>
      <c r="AE122" s="28" t="n"/>
      <c r="AF122" s="28" t="n"/>
    </row>
    <row r="123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8" t="n"/>
      <c r="AE123" s="28" t="n"/>
      <c r="AF123" s="28" t="n"/>
    </row>
    <row r="124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8" t="n"/>
      <c r="AE124" s="28" t="n"/>
      <c r="AF124" s="28" t="n"/>
    </row>
    <row r="125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8" t="n"/>
      <c r="AE125" s="28" t="n"/>
      <c r="AF125" s="28" t="n"/>
    </row>
    <row r="126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  <c r="AA126" s="28" t="n"/>
      <c r="AB126" s="28" t="n"/>
      <c r="AC126" s="28" t="n"/>
      <c r="AD126" s="28" t="n"/>
      <c r="AE126" s="28" t="n"/>
      <c r="AF126" s="28" t="n"/>
    </row>
    <row r="127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  <c r="AA127" s="28" t="n"/>
      <c r="AB127" s="28" t="n"/>
      <c r="AC127" s="28" t="n"/>
      <c r="AD127" s="28" t="n"/>
      <c r="AE127" s="28" t="n"/>
      <c r="AF127" s="28" t="n"/>
    </row>
    <row r="128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  <c r="AA128" s="28" t="n"/>
      <c r="AB128" s="28" t="n"/>
      <c r="AC128" s="28" t="n"/>
      <c r="AD128" s="28" t="n"/>
      <c r="AE128" s="28" t="n"/>
      <c r="AF128" s="28" t="n"/>
    </row>
    <row r="129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  <c r="AA129" s="28" t="n"/>
      <c r="AB129" s="28" t="n"/>
      <c r="AC129" s="28" t="n"/>
      <c r="AD129" s="28" t="n"/>
      <c r="AE129" s="28" t="n"/>
      <c r="AF129" s="28" t="n"/>
    </row>
    <row r="130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  <c r="AA130" s="28" t="n"/>
      <c r="AB130" s="28" t="n"/>
      <c r="AC130" s="28" t="n"/>
      <c r="AD130" s="28" t="n"/>
      <c r="AE130" s="28" t="n"/>
      <c r="AF130" s="28" t="n"/>
    </row>
    <row r="131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  <c r="AA131" s="28" t="n"/>
      <c r="AB131" s="28" t="n"/>
      <c r="AC131" s="28" t="n"/>
      <c r="AD131" s="28" t="n"/>
      <c r="AE131" s="28" t="n"/>
      <c r="AF131" s="28" t="n"/>
    </row>
    <row r="132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  <c r="AA132" s="28" t="n"/>
      <c r="AB132" s="28" t="n"/>
      <c r="AC132" s="28" t="n"/>
      <c r="AD132" s="28" t="n"/>
      <c r="AE132" s="28" t="n"/>
      <c r="AF132" s="28" t="n"/>
    </row>
  </sheetData>
  <conditionalFormatting sqref="D3:D54 F3:F54">
    <cfRule type="cellIs" priority="5" operator="lessThan" dxfId="1">
      <formula>5</formula>
    </cfRule>
    <cfRule type="cellIs" priority="6" operator="between" dxfId="10">
      <formula>5</formula>
      <formula>7</formula>
    </cfRule>
    <cfRule type="cellIs" priority="7" operator="greaterThan" dxfId="5" stopIfTrue="1">
      <formula>7</formula>
    </cfRule>
  </conditionalFormatting>
  <conditionalFormatting sqref="G3:G54">
    <cfRule type="cellIs" priority="8" operator="greaterThan" dxfId="5" stopIfTrue="1">
      <formula>7</formula>
    </cfRule>
    <cfRule type="cellIs" priority="9" operator="between" dxfId="10">
      <formula>5</formula>
      <formula>7</formula>
    </cfRule>
    <cfRule type="cellIs" priority="10" operator="lessThan" dxfId="1" stopIfTrue="1">
      <formula>5</formula>
    </cfRule>
  </conditionalFormatting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zoomScale="135" workbookViewId="0">
      <selection activeCell="E54" sqref="E54"/>
    </sheetView>
  </sheetViews>
  <sheetFormatPr baseColWidth="10" defaultColWidth="10.83203125" defaultRowHeight="15"/>
  <cols>
    <col width="26" customWidth="1" style="4" min="1" max="1"/>
    <col width="21.33203125" bestFit="1" customWidth="1" style="4" min="2" max="2"/>
    <col width="28" bestFit="1" customWidth="1" style="4" min="3" max="3"/>
    <col width="21.33203125" bestFit="1" customWidth="1" style="4" min="4" max="4"/>
    <col width="25.1640625" bestFit="1" customWidth="1" style="4" min="5" max="5"/>
    <col width="25.6640625" bestFit="1" customWidth="1" style="4" min="6" max="6"/>
    <col width="10.83203125" customWidth="1" style="4" min="7" max="16384"/>
  </cols>
  <sheetData>
    <row r="1">
      <c r="A1" s="9" t="inlineStr">
        <is>
          <t>Material Name</t>
        </is>
      </c>
      <c r="B1" s="9" t="inlineStr">
        <is>
          <t>Boverket ID</t>
        </is>
      </c>
      <c r="C1" s="9" t="inlineStr">
        <is>
          <t>Boverket Match Confidence</t>
        </is>
      </c>
      <c r="D1" s="9" t="inlineStr">
        <is>
          <t>EnergyPlus Identifier</t>
        </is>
      </c>
      <c r="E1" s="9" t="inlineStr">
        <is>
          <t>Honeybee Match Confidence</t>
        </is>
      </c>
      <c r="F1" s="9" t="inlineStr">
        <is>
          <t>Combined Match Confidence</t>
        </is>
      </c>
    </row>
    <row r="2" ht="88" customHeight="1">
      <c r="A2" s="10" t="inlineStr">
        <is>
          <t>Human-readable material name for the matched materials.</t>
        </is>
      </c>
      <c r="B2" s="10" t="inlineStr">
        <is>
          <t>Boverket ID to inherit environmental impact values</t>
        </is>
      </c>
      <c r="C2" s="10" t="inlineStr">
        <is>
          <t>A confidence score (1-10) for how good the match between BUD_MI and Boverket is.</t>
        </is>
      </c>
      <c r="D2" s="10" t="inlineStr">
        <is>
          <t>Honeybee Materal name (identifier) to inherit thermal material properties</t>
        </is>
      </c>
      <c r="E2" s="10" t="inlineStr">
        <is>
          <t>A confidence score (1-10) for how good the match between BUD_MI and Honeybee is.</t>
        </is>
      </c>
      <c r="F2" s="10" t="inlineStr">
        <is>
          <t>Average confidence score between BUD_MI and Boverket and BUD_MI and Honeybee.</t>
        </is>
      </c>
    </row>
    <row r="3">
      <c r="A3" s="7" t="inlineStr">
        <is>
          <t>Wooden frame</t>
        </is>
      </c>
      <c r="B3" s="3" t="n">
        <v>6000000007</v>
      </c>
      <c r="C3" s="4" t="n">
        <v>8</v>
      </c>
      <c r="D3" s="3" t="inlineStr">
        <is>
          <t>Std Wood 6 in.</t>
        </is>
      </c>
      <c r="E3" s="4" t="n">
        <v>8</v>
      </c>
    </row>
    <row r="4">
      <c r="A4" s="8" t="inlineStr">
        <is>
          <t>Glass</t>
        </is>
      </c>
      <c r="B4" s="11" t="n">
        <v>6000000122</v>
      </c>
      <c r="C4" s="4" t="n">
        <v>9</v>
      </c>
      <c r="D4" s="12" t="inlineStr">
        <is>
          <t>CLEAR 3MM</t>
        </is>
      </c>
      <c r="E4" s="4" t="n">
        <v>9</v>
      </c>
    </row>
    <row r="5">
      <c r="A5" s="8" t="inlineStr">
        <is>
          <t>wooden frame double pane windows</t>
        </is>
      </c>
      <c r="B5" s="3" t="n">
        <v>6000000007</v>
      </c>
      <c r="C5" s="4" t="n">
        <v>8</v>
      </c>
      <c r="D5" s="3" t="inlineStr">
        <is>
          <t>Std Wood 6 in.</t>
        </is>
      </c>
      <c r="E5" s="4" t="n">
        <v>8</v>
      </c>
    </row>
    <row r="6">
      <c r="A6" s="8" t="inlineStr">
        <is>
          <t>2 pane glass</t>
        </is>
      </c>
      <c r="B6" s="11" t="n">
        <v>6000000122</v>
      </c>
      <c r="C6" s="4" t="n">
        <v>9</v>
      </c>
      <c r="D6" s="12" t="inlineStr">
        <is>
          <t>CLEAR 3MM</t>
        </is>
      </c>
      <c r="E6" s="4" t="n">
        <v>9</v>
      </c>
    </row>
    <row r="7">
      <c r="A7" s="8" t="inlineStr">
        <is>
          <t>3 pane glass</t>
        </is>
      </c>
      <c r="B7" s="11" t="n">
        <v>6000000122</v>
      </c>
      <c r="C7" s="4" t="n">
        <v>9</v>
      </c>
      <c r="D7" s="12" t="inlineStr">
        <is>
          <t>CLEAR 3MM</t>
        </is>
      </c>
      <c r="E7" s="4" t="n">
        <v>9</v>
      </c>
    </row>
    <row r="8">
      <c r="A8" s="8" t="inlineStr">
        <is>
          <t>Wooden frame</t>
        </is>
      </c>
      <c r="B8" s="3" t="n">
        <v>6000000007</v>
      </c>
      <c r="C8" s="4" t="n">
        <v>8</v>
      </c>
      <c r="D8" s="3" t="inlineStr">
        <is>
          <t>Std Wood 6 in.</t>
        </is>
      </c>
      <c r="E8" s="4" t="n">
        <v>8</v>
      </c>
    </row>
    <row r="12" ht="34" customHeight="1">
      <c r="A12" s="142" t="inlineStr">
        <is>
          <t>Window, wood, fixed, 3-glass</t>
        </is>
      </c>
      <c r="B12" s="141" t="n">
        <v>6000000109</v>
      </c>
      <c r="D12" s="3" t="inlineStr">
        <is>
          <t>Std Wood 6 in.</t>
        </is>
      </c>
    </row>
    <row r="13">
      <c r="A13" s="149" t="n"/>
      <c r="B13" s="149" t="n"/>
      <c r="D13" s="12" t="inlineStr">
        <is>
          <t>CLEAR 3MM</t>
        </is>
      </c>
    </row>
    <row r="14">
      <c r="B14" s="143" t="n"/>
      <c r="C14" s="144" t="n"/>
      <c r="D14" s="2" t="n"/>
    </row>
    <row r="15"/>
  </sheetData>
  <mergeCells count="4">
    <mergeCell ref="B12:B13"/>
    <mergeCell ref="C14:C15"/>
    <mergeCell ref="B14:B15"/>
    <mergeCell ref="A12:A13"/>
  </mergeCell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500"/>
  <sheetViews>
    <sheetView tabSelected="1" zoomScale="82" zoomScaleNormal="115" workbookViewId="0">
      <pane ySplit="1" topLeftCell="A4" activePane="bottomLeft" state="frozen"/>
      <selection activeCell="E54" sqref="E54"/>
      <selection pane="bottomLeft" activeCell="G34" sqref="G34"/>
    </sheetView>
  </sheetViews>
  <sheetFormatPr baseColWidth="10" defaultColWidth="11" defaultRowHeight="16"/>
  <cols>
    <col width="63" bestFit="1" customWidth="1" min="1" max="1"/>
    <col width="17.1640625" customWidth="1" min="2" max="2"/>
    <col width="19.33203125" customWidth="1" min="3" max="3"/>
    <col width="28.1640625" customWidth="1" min="4" max="4"/>
    <col width="23" customWidth="1" min="5" max="5"/>
    <col width="15.1640625" bestFit="1" customWidth="1" min="6" max="6"/>
    <col width="23" customWidth="1" min="7" max="7"/>
    <col width="15.1640625" bestFit="1" customWidth="1" min="8" max="8"/>
    <col width="23" customWidth="1" min="9" max="9"/>
    <col width="103.6640625" bestFit="1" customWidth="1" min="10" max="10"/>
    <col width="16.83203125" customWidth="1" min="12" max="12"/>
    <col width="21.5" customWidth="1" min="13" max="13"/>
  </cols>
  <sheetData>
    <row r="1">
      <c r="A1" s="49" t="inlineStr">
        <is>
          <t>Layer Code</t>
        </is>
      </c>
      <c r="B1" s="49" t="inlineStr">
        <is>
          <t>Layer Thickness</t>
        </is>
      </c>
      <c r="C1" s="49" t="inlineStr">
        <is>
          <t>Composite Layer?</t>
        </is>
      </c>
      <c r="D1" s="49" t="inlineStr">
        <is>
          <t>Material 1</t>
        </is>
      </c>
      <c r="E1" s="49" t="inlineStr">
        <is>
          <t>Material 1 Area Ratio</t>
        </is>
      </c>
      <c r="F1" s="49" t="inlineStr">
        <is>
          <t>Material 2</t>
        </is>
      </c>
      <c r="G1" s="49" t="inlineStr">
        <is>
          <t>Material 2 Area Ratio</t>
        </is>
      </c>
      <c r="H1" s="49" t="inlineStr">
        <is>
          <t>Material 3</t>
        </is>
      </c>
      <c r="I1" s="49" t="inlineStr">
        <is>
          <t>Material 3 Area Ratio</t>
        </is>
      </c>
      <c r="J1" s="49" t="inlineStr">
        <is>
          <t>Notes from Så byggdes husen 1880-2010</t>
        </is>
      </c>
      <c r="K1" s="93" t="inlineStr">
        <is>
          <t>Ignore?</t>
        </is>
      </c>
      <c r="L1" s="49" t="inlineStr">
        <is>
          <t>Layer Use Intesity</t>
        </is>
      </c>
      <c r="M1" s="49" t="inlineStr">
        <is>
          <t>Duplicate Check</t>
        </is>
      </c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I1" s="29" t="n"/>
    </row>
    <row r="2" ht="89" customHeight="1">
      <c r="A2" s="40" t="inlineStr">
        <is>
          <t>Layer code Material1_Material2_Thickness_SingleOrComposite</t>
        </is>
      </c>
      <c r="B2" s="40" t="inlineStr">
        <is>
          <t>Thickness of the layer in m.</t>
        </is>
      </c>
      <c r="C2" s="40" t="inlineStr">
        <is>
          <t>S for single material layer and C for composite layer</t>
        </is>
      </c>
      <c r="D2" s="40" t="inlineStr">
        <is>
          <t>If Composite Layer = No, Only this material column should be filled</t>
        </is>
      </c>
      <c r="E2" s="40" t="inlineStr">
        <is>
          <t>If Composite Layer = Yes: In-plane area ratio of material 1 in layer.</t>
        </is>
      </c>
      <c r="F2" s="40" t="inlineStr">
        <is>
          <t>If Composite Layer = Yes, this column should consist of the second material in the layer</t>
        </is>
      </c>
      <c r="G2" s="40" t="inlineStr">
        <is>
          <t>If Composite Layer = Yes: In-plane area ratio of material 2 in layer.</t>
        </is>
      </c>
      <c r="H2" s="40" t="inlineStr">
        <is>
          <t>If Composite Layer = Yes, this column should consist of the third material in the layer (if it exists)</t>
        </is>
      </c>
      <c r="I2" s="40" t="inlineStr">
        <is>
          <t>If Composite Layer = Yes: In-plane area ratio of material 3 in layer.</t>
        </is>
      </c>
      <c r="J2" s="40" t="inlineStr">
        <is>
          <t>Qualitative information about the layers.</t>
        </is>
      </c>
      <c r="K2" s="52" t="inlineStr">
        <is>
          <t>An X if the layer should be ignored/not used</t>
        </is>
      </c>
      <c r="L2" s="52" t="inlineStr">
        <is>
          <t>Represents how many times a layer is being used in the components sheet</t>
        </is>
      </c>
      <c r="M2" s="84" t="inlineStr">
        <is>
          <t>Returns how many times each layer occurs in this sheet. Should be 1 to avoid duplicate defenitons</t>
        </is>
      </c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  <c r="AH2" s="29" t="n"/>
      <c r="AI2" s="29" t="n"/>
    </row>
    <row r="3">
      <c r="A3" s="64">
        <f>UPPER(D3)
&amp;IF(F3&lt;&gt;"","_"&amp;UPPER(F3),"")
&amp;IF(H3&lt;&gt;"","_"&amp;UPPER(H3),"")
&amp;"_"&amp;TRIM(_xlfn.TEXTAFTER(B3,","))
&amp;"_"&amp;C3</f>
        <v/>
      </c>
      <c r="B3" s="41" t="n">
        <v>0.1524</v>
      </c>
      <c r="C3" s="65" t="inlineStr">
        <is>
          <t>S</t>
        </is>
      </c>
      <c r="D3" s="66" t="inlineStr">
        <is>
          <t>wooden_beam</t>
        </is>
      </c>
      <c r="E3" s="70" t="n"/>
      <c r="F3" s="70" t="n"/>
      <c r="G3" s="70" t="n"/>
      <c r="H3" s="70" t="n"/>
      <c r="I3" s="70" t="n"/>
      <c r="J3" s="13" t="inlineStr">
        <is>
          <t>Spanning longside - long side</t>
        </is>
      </c>
      <c r="K3" s="87" t="n"/>
      <c r="L3" s="33">
        <f>COUNTIF(Components!$B$3:$B$302,A3)</f>
        <v/>
      </c>
      <c r="M3" s="33">
        <f>COUNTIF($A$3:$A$308,A3)</f>
        <v/>
      </c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</row>
    <row r="4">
      <c r="A4" s="64">
        <f>UPPER(D4)
&amp;IF(F4&lt;&gt;"","_"&amp;UPPER(F4),"")
&amp;IF(H4&lt;&gt;"","_"&amp;UPPER(H4),"")
&amp;"_"&amp;TRIM(_xlfn.TEXTAFTER(B4,","))
&amp;"_"&amp;C4</f>
        <v/>
      </c>
      <c r="B4" s="41" t="n">
        <v>0.1016</v>
      </c>
      <c r="C4" s="65" t="inlineStr">
        <is>
          <t>S</t>
        </is>
      </c>
      <c r="D4" s="66" t="inlineStr">
        <is>
          <t>wooden_rafter</t>
        </is>
      </c>
      <c r="E4" s="70" t="n"/>
      <c r="F4" s="70" t="n"/>
      <c r="G4" s="70" t="n"/>
      <c r="H4" s="70" t="n"/>
      <c r="I4" s="70" t="n"/>
      <c r="J4" s="13" t="inlineStr">
        <is>
          <t>Resting on top wooden beams with c-c 1,2 m</t>
        </is>
      </c>
      <c r="K4" s="87" t="n"/>
      <c r="L4" s="33">
        <f>COUNTIF(Components!$B$3:$B$302,A4)</f>
        <v/>
      </c>
      <c r="M4" s="33">
        <f>COUNTIF($A$3:$A$308,A4)</f>
        <v/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</row>
    <row r="5">
      <c r="A5" s="64">
        <f>UPPER(D5)
&amp;IF(F5&lt;&gt;"","_"&amp;UPPER(F5),"")
&amp;IF(H5&lt;&gt;"","_"&amp;UPPER(H5),"")
&amp;"_"&amp;TRIM(_xlfn.TEXTAFTER(B5,","))
&amp;"_"&amp;C5</f>
        <v/>
      </c>
      <c r="B5" s="13" t="n">
        <v>0.038</v>
      </c>
      <c r="C5" s="65" t="inlineStr">
        <is>
          <t>S</t>
        </is>
      </c>
      <c r="D5" s="66" t="inlineStr">
        <is>
          <t>wooden_panel</t>
        </is>
      </c>
      <c r="E5" s="70" t="n"/>
      <c r="F5" s="70" t="n"/>
      <c r="G5" s="70" t="n"/>
      <c r="H5" s="70" t="n"/>
      <c r="I5" s="70" t="n"/>
      <c r="J5" s="13" t="inlineStr">
        <is>
          <t>Positioned directly under galvanized metal sheets</t>
        </is>
      </c>
      <c r="K5" s="87" t="n"/>
      <c r="L5" s="33">
        <f>COUNTIF(Components!$B$3:$B$302,A5)</f>
        <v/>
      </c>
      <c r="M5" s="33">
        <f>COUNTIF($A$3:$A$308,A5)</f>
        <v/>
      </c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</row>
    <row r="6">
      <c r="A6" s="64">
        <f>UPPER(D6)
&amp;IF(F6&lt;&gt;"","_"&amp;UPPER(F6),"")
&amp;IF(H6&lt;&gt;"","_"&amp;UPPER(H6),"")
&amp;"_"&amp;TRIM(_xlfn.TEXTAFTER(B6,","))
&amp;"_"&amp;C6</f>
        <v/>
      </c>
      <c r="B6" s="13" t="n">
        <v>0.003</v>
      </c>
      <c r="C6" s="65" t="inlineStr">
        <is>
          <t>S</t>
        </is>
      </c>
      <c r="D6" s="66" t="inlineStr">
        <is>
          <t>galvanized_sheet_metal</t>
        </is>
      </c>
      <c r="E6" s="70" t="n"/>
      <c r="F6" s="70" t="n"/>
      <c r="G6" s="70" t="n"/>
      <c r="H6" s="70" t="n"/>
      <c r="I6" s="70" t="n"/>
      <c r="J6" s="13" t="inlineStr">
        <is>
          <t> </t>
        </is>
      </c>
      <c r="K6" s="87" t="n"/>
      <c r="L6" s="33">
        <f>COUNTIF(Components!$B$3:$B$302,A6)</f>
        <v/>
      </c>
      <c r="M6" s="33">
        <f>COUNTIF($A$3:$A$308,A6)</f>
        <v/>
      </c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</row>
    <row r="7">
      <c r="A7" s="64">
        <f>UPPER(D7)
&amp;IF(F7&lt;&gt;"","_"&amp;UPPER(F7),"")
&amp;IF(H7&lt;&gt;"","_"&amp;UPPER(H7),"")
&amp;"_"&amp;TRIM(_xlfn.TEXTAFTER(B7,","))
&amp;"_"&amp;C7</f>
        <v/>
      </c>
      <c r="B7" s="13" t="n">
        <v>0.15</v>
      </c>
      <c r="C7" s="65" t="inlineStr">
        <is>
          <t>S</t>
        </is>
      </c>
      <c r="D7" s="66" t="inlineStr">
        <is>
          <t>granulated_blast_furnace_slag</t>
        </is>
      </c>
      <c r="E7" s="70" t="n"/>
      <c r="F7" s="70" t="n"/>
      <c r="G7" s="70" t="n"/>
      <c r="H7" s="70" t="n"/>
      <c r="I7" s="70" t="n"/>
      <c r="J7" s="13" t="inlineStr">
        <is>
          <t>Insulation layer</t>
        </is>
      </c>
      <c r="K7" s="87" t="n"/>
      <c r="L7" s="33">
        <f>COUNTIF(Components!$B$3:$B$302,A7)</f>
        <v/>
      </c>
      <c r="M7" s="33">
        <f>COUNTIF($A$3:$A$308,A7)</f>
        <v/>
      </c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</row>
    <row r="8">
      <c r="A8" s="64">
        <f>UPPER(D8)
&amp;IF(F8&lt;&gt;"","_"&amp;UPPER(F8),"")
&amp;IF(H8&lt;&gt;"","_"&amp;UPPER(H8),"")
&amp;"_"&amp;TRIM(_xlfn.TEXTAFTER(B8,","))
&amp;"_"&amp;C8</f>
        <v/>
      </c>
      <c r="B8" s="13" t="n">
        <v>0.14</v>
      </c>
      <c r="C8" s="65" t="inlineStr">
        <is>
          <t>S</t>
        </is>
      </c>
      <c r="D8" s="66" t="inlineStr">
        <is>
          <t>concrete</t>
        </is>
      </c>
      <c r="E8" s="70" t="n"/>
      <c r="F8" s="70" t="n"/>
      <c r="G8" s="70" t="n"/>
      <c r="H8" s="70" t="n"/>
      <c r="I8" s="70" t="n"/>
      <c r="J8" s="13" t="inlineStr">
        <is>
          <t> </t>
        </is>
      </c>
      <c r="K8" s="87" t="n"/>
      <c r="L8" s="33">
        <f>COUNTIF(Components!$B$3:$B$302,A8)</f>
        <v/>
      </c>
      <c r="M8" s="33">
        <f>COUNTIF($A$3:$A$308,A8)</f>
        <v/>
      </c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</row>
    <row r="9">
      <c r="A9" s="64">
        <f>UPPER(D9)
&amp;IF(F9&lt;&gt;"","_"&amp;UPPER(F9),"")
&amp;IF(H9&lt;&gt;"","_"&amp;UPPER(H9),"")
&amp;"_"&amp;TRIM(_xlfn.TEXTAFTER(B9,","))
&amp;"_"&amp;C9</f>
        <v/>
      </c>
      <c r="B9" s="13" t="n">
        <v>0.15</v>
      </c>
      <c r="C9" s="65" t="inlineStr">
        <is>
          <t>S</t>
        </is>
      </c>
      <c r="D9" s="66" t="inlineStr">
        <is>
          <t>concrete</t>
        </is>
      </c>
      <c r="E9" s="70" t="n"/>
      <c r="F9" s="70" t="n"/>
      <c r="G9" s="70" t="n"/>
      <c r="H9" s="70" t="n"/>
      <c r="I9" s="70" t="n"/>
      <c r="J9" s="13" t="inlineStr">
        <is>
          <t> </t>
        </is>
      </c>
      <c r="K9" s="87" t="n"/>
      <c r="L9" s="33">
        <f>COUNTIF(Components!$B$3:$B$302,A9)</f>
        <v/>
      </c>
      <c r="M9" s="33">
        <f>COUNTIF($A$3:$A$308,A9)</f>
        <v/>
      </c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</row>
    <row r="10">
      <c r="A10" s="64">
        <f>UPPER(D10)
&amp;IF(F10&lt;&gt;"","_"&amp;UPPER(F10),"")
&amp;IF(H10&lt;&gt;"","_"&amp;UPPER(H10),"")
&amp;"_"&amp;TRIM(_xlfn.TEXTAFTER(B10,","))
&amp;"_"&amp;C10</f>
        <v/>
      </c>
      <c r="B10" s="13" t="n">
        <v>0.125</v>
      </c>
      <c r="C10" s="65" t="inlineStr">
        <is>
          <t>C</t>
        </is>
      </c>
      <c r="D10" s="66" t="inlineStr">
        <is>
          <t>lightweight_concrete</t>
        </is>
      </c>
      <c r="E10" s="70" t="n">
        <v>0.95</v>
      </c>
      <c r="F10" s="70" t="inlineStr">
        <is>
          <t>mortar</t>
        </is>
      </c>
      <c r="G10" s="70" t="n">
        <v>0.05</v>
      </c>
      <c r="H10" s="70" t="n"/>
      <c r="I10" s="70" t="n"/>
      <c r="J10" s="13" t="inlineStr">
        <is>
          <t>Sharing the same space as mortar 12,5 cm vertically</t>
        </is>
      </c>
      <c r="K10" s="87" t="n"/>
      <c r="L10" s="33">
        <f>COUNTIF(Components!$B$3:$B$302,A10)</f>
        <v/>
      </c>
      <c r="M10" s="33">
        <f>COUNTIF($A$3:$A$308,A10)</f>
        <v/>
      </c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</row>
    <row r="11">
      <c r="A11" s="64">
        <f>UPPER(D11)
&amp;IF(F11&lt;&gt;"","_"&amp;UPPER(F11),"")
&amp;IF(H11&lt;&gt;"","_"&amp;UPPER(H11),"")
&amp;"_"&amp;TRIM(_xlfn.TEXTAFTER(B11,","))
&amp;"_"&amp;C11</f>
        <v/>
      </c>
      <c r="B11" s="13" t="n">
        <v>0.005</v>
      </c>
      <c r="C11" s="65" t="inlineStr">
        <is>
          <t>S</t>
        </is>
      </c>
      <c r="D11" s="66" t="inlineStr">
        <is>
          <t>terrasit_plaster</t>
        </is>
      </c>
      <c r="E11" s="70" t="n"/>
      <c r="F11" s="70" t="n"/>
      <c r="G11" s="70" t="n"/>
      <c r="H11" s="70" t="n"/>
      <c r="I11" s="70" t="n"/>
      <c r="J11" s="13" t="inlineStr">
        <is>
          <t> </t>
        </is>
      </c>
      <c r="K11" s="87" t="n"/>
      <c r="L11" s="33">
        <f>COUNTIF(Components!$B$3:$B$302,A11)</f>
        <v/>
      </c>
      <c r="M11" s="33">
        <f>COUNTIF($A$3:$A$308,A11)</f>
        <v/>
      </c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</row>
    <row r="12">
      <c r="A12" s="64">
        <f>UPPER(D12)
&amp;IF(F12&lt;&gt;"","_"&amp;UPPER(F12),"")
&amp;IF(H12&lt;&gt;"","_"&amp;UPPER(H12),"")
&amp;"_"&amp;TRIM(_xlfn.TEXTAFTER(B12,","))
&amp;"_"&amp;C12</f>
        <v/>
      </c>
      <c r="B12" s="13" t="n">
        <v>0.005</v>
      </c>
      <c r="C12" s="65" t="inlineStr">
        <is>
          <t>S</t>
        </is>
      </c>
      <c r="D12" s="66" t="inlineStr">
        <is>
          <t>mortar</t>
        </is>
      </c>
      <c r="E12" s="70" t="n"/>
      <c r="F12" s="70" t="n"/>
      <c r="G12" s="70" t="n"/>
      <c r="H12" s="70" t="n"/>
      <c r="I12" s="70" t="n"/>
      <c r="J12" s="13" t="inlineStr">
        <is>
          <t>Was not specified in BUD_MI but in the book (however measurement is assumed)</t>
        </is>
      </c>
      <c r="K12" s="87" t="n"/>
      <c r="L12" s="33">
        <f>COUNTIF(Components!$B$3:$B$302,A12)</f>
        <v/>
      </c>
      <c r="M12" s="33">
        <f>COUNTIF($A$3:$A$308,A12)</f>
        <v/>
      </c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</row>
    <row r="13">
      <c r="A13" s="64">
        <f>UPPER(D13)
&amp;IF(F13&lt;&gt;"","_"&amp;UPPER(F13),"")
&amp;IF(H13&lt;&gt;"","_"&amp;UPPER(H13),"")
&amp;"_"&amp;TRIM(_xlfn.TEXTAFTER(B13,","))
&amp;"_"&amp;C13</f>
        <v/>
      </c>
      <c r="B13" s="13" t="n">
        <v>0.005</v>
      </c>
      <c r="C13" s="65" t="inlineStr">
        <is>
          <t>S</t>
        </is>
      </c>
      <c r="D13" s="66" t="inlineStr">
        <is>
          <t>lime_plaster</t>
        </is>
      </c>
      <c r="E13" s="70" t="n"/>
      <c r="F13" s="70" t="n"/>
      <c r="G13" s="70" t="n"/>
      <c r="H13" s="70" t="n"/>
      <c r="I13" s="70" t="n"/>
      <c r="J13" s="13" t="inlineStr">
        <is>
          <t> </t>
        </is>
      </c>
      <c r="K13" s="87" t="n"/>
      <c r="L13" s="33">
        <f>COUNTIF(Components!$B$3:$B$302,A13)</f>
        <v/>
      </c>
      <c r="M13" s="33">
        <f>COUNTIF($A$3:$A$308,A13)</f>
        <v/>
      </c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</row>
    <row r="14">
      <c r="A14" s="64">
        <f>UPPER(D14)
&amp;IF(F14&lt;&gt;"","_"&amp;UPPER(F14),"")
&amp;IF(H14&lt;&gt;"","_"&amp;UPPER(H14),"")
&amp;"_"&amp;TRIM(_xlfn.TEXTAFTER(B14,","))
&amp;"_"&amp;C14</f>
        <v/>
      </c>
      <c r="B14" s="13" t="n">
        <v>0.2</v>
      </c>
      <c r="C14" s="65" t="inlineStr">
        <is>
          <t>C</t>
        </is>
      </c>
      <c r="D14" s="66" t="inlineStr">
        <is>
          <t>lightweight_concrete</t>
        </is>
      </c>
      <c r="E14" s="70" t="n">
        <v>0.95</v>
      </c>
      <c r="F14" s="70" t="inlineStr">
        <is>
          <t>mortar</t>
        </is>
      </c>
      <c r="G14" s="70" t="n">
        <v>0.05</v>
      </c>
      <c r="H14" s="70" t="n"/>
      <c r="I14" s="70" t="n"/>
      <c r="J14" s="13" t="inlineStr">
        <is>
          <t>Assumed in accordance with other lightweight concrete/mortar structures for this building.</t>
        </is>
      </c>
      <c r="K14" s="87" t="n"/>
      <c r="L14" s="33">
        <f>COUNTIF(Components!$B$3:$B$302,A14)</f>
        <v/>
      </c>
      <c r="M14" s="33">
        <f>COUNTIF($A$3:$A$308,A14)</f>
        <v/>
      </c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</row>
    <row r="15">
      <c r="A15" s="64">
        <f>UPPER(D15)
&amp;IF(F15&lt;&gt;"","_"&amp;UPPER(F15),"")
&amp;IF(H15&lt;&gt;"","_"&amp;UPPER(H15),"")
&amp;"_"&amp;TRIM(_xlfn.TEXTAFTER(B15,","))
&amp;"_"&amp;C15</f>
        <v/>
      </c>
      <c r="B15" s="13" t="n">
        <v>0.01</v>
      </c>
      <c r="C15" s="65" t="inlineStr">
        <is>
          <t>S</t>
        </is>
      </c>
      <c r="D15" s="66" t="inlineStr">
        <is>
          <t>plastic_mat</t>
        </is>
      </c>
      <c r="E15" s="70" t="n"/>
      <c r="F15" s="70" t="n"/>
      <c r="G15" s="70" t="n"/>
      <c r="H15" s="70" t="n"/>
      <c r="I15" s="70" t="n"/>
      <c r="J15" s="13" t="inlineStr">
        <is>
          <t> </t>
        </is>
      </c>
      <c r="K15" s="87" t="n"/>
      <c r="L15" s="33">
        <f>COUNTIF(Components!$B$3:$B$302,A15)</f>
        <v/>
      </c>
      <c r="M15" s="33">
        <f>COUNTIF($A$3:$A$308,A15)</f>
        <v/>
      </c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</row>
    <row r="16">
      <c r="A16" s="64">
        <f>UPPER(D16)
&amp;IF(F16&lt;&gt;"","_"&amp;UPPER(F16),"")
&amp;IF(H16&lt;&gt;"","_"&amp;UPPER(H16),"")
&amp;"_"&amp;TRIM(_xlfn.TEXTAFTER(B16,","))
&amp;"_"&amp;C16</f>
        <v/>
      </c>
      <c r="B16" s="13" t="n">
        <v>0.005</v>
      </c>
      <c r="C16" s="65" t="inlineStr">
        <is>
          <t>S</t>
        </is>
      </c>
      <c r="D16" s="66" t="inlineStr">
        <is>
          <t>plaster</t>
        </is>
      </c>
      <c r="E16" s="70" t="n"/>
      <c r="F16" s="70" t="n"/>
      <c r="G16" s="70" t="n"/>
      <c r="H16" s="70" t="n"/>
      <c r="I16" s="70" t="n"/>
      <c r="J16" s="13" t="inlineStr">
        <is>
          <t> </t>
        </is>
      </c>
      <c r="K16" s="87" t="n"/>
      <c r="L16" s="33">
        <f>COUNTIF(Components!$B$3:$B$302,A16)</f>
        <v/>
      </c>
      <c r="M16" s="33">
        <f>COUNTIF($A$3:$A$308,A16)</f>
        <v/>
      </c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</row>
    <row r="17">
      <c r="A17" s="64">
        <f>UPPER(D17)
&amp;IF(F17&lt;&gt;"","_"&amp;UPPER(F17),"")
&amp;IF(H17&lt;&gt;"","_"&amp;UPPER(H17),"")
&amp;"_"&amp;TRIM(_xlfn.TEXTAFTER(B17,","))
&amp;"_"&amp;C17</f>
        <v/>
      </c>
      <c r="B17" s="13" t="n">
        <v>0.16</v>
      </c>
      <c r="C17" s="65" t="inlineStr">
        <is>
          <t>S</t>
        </is>
      </c>
      <c r="D17" s="66" t="inlineStr">
        <is>
          <t>concrete</t>
        </is>
      </c>
      <c r="E17" s="70" t="n"/>
      <c r="F17" s="70" t="n"/>
      <c r="G17" s="70" t="n"/>
      <c r="H17" s="70" t="n"/>
      <c r="I17" s="70" t="n"/>
      <c r="J17" s="13" t="inlineStr">
        <is>
          <t> </t>
        </is>
      </c>
      <c r="K17" s="87" t="n"/>
      <c r="L17" s="33">
        <f>COUNTIF(Components!$B$3:$B$302,A17)</f>
        <v/>
      </c>
      <c r="M17" s="33">
        <f>COUNTIF($A$3:$A$308,A17)</f>
        <v/>
      </c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</row>
    <row r="18">
      <c r="A18" s="64">
        <f>UPPER(D18)
&amp;IF(F18&lt;&gt;"","_"&amp;UPPER(F18),"")
&amp;IF(H18&lt;&gt;"","_"&amp;UPPER(H18),"")
&amp;"_"&amp;TRIM(_xlfn.TEXTAFTER(B18,","))
&amp;"_"&amp;C18</f>
        <v/>
      </c>
      <c r="B18" s="13" t="n">
        <v>0.003</v>
      </c>
      <c r="C18" s="65" t="inlineStr">
        <is>
          <t>S</t>
        </is>
      </c>
      <c r="D18" s="66" t="inlineStr">
        <is>
          <t>metal_sheet</t>
        </is>
      </c>
      <c r="E18" s="70" t="n"/>
      <c r="F18" s="70" t="n"/>
      <c r="G18" s="70" t="n"/>
      <c r="H18" s="70" t="n"/>
      <c r="I18" s="70" t="n"/>
      <c r="J18" s="13" t="inlineStr">
        <is>
          <t> </t>
        </is>
      </c>
      <c r="K18" s="87" t="n"/>
      <c r="L18" s="33">
        <f>COUNTIF(Components!$B$3:$B$302,A18)</f>
        <v/>
      </c>
      <c r="M18" s="33">
        <f>COUNTIF($A$3:$A$308,A18)</f>
        <v/>
      </c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</row>
    <row r="19">
      <c r="A19" s="64">
        <f>UPPER(D19)
&amp;IF(F19&lt;&gt;"","_"&amp;UPPER(F19),"")
&amp;IF(H19&lt;&gt;"","_"&amp;UPPER(H19),"")
&amp;"_"&amp;TRIM(_xlfn.TEXTAFTER(B19,","))
&amp;"_"&amp;C19</f>
        <v/>
      </c>
      <c r="B19" s="13" t="n">
        <v>0.023</v>
      </c>
      <c r="C19" s="65" t="inlineStr">
        <is>
          <t>S</t>
        </is>
      </c>
      <c r="D19" s="66" t="inlineStr">
        <is>
          <t>battens_1</t>
        </is>
      </c>
      <c r="E19" s="70" t="n"/>
      <c r="F19" s="70" t="n"/>
      <c r="G19" s="70" t="n"/>
      <c r="H19" s="70" t="n"/>
      <c r="I19" s="70" t="n"/>
      <c r="J19" s="13" t="inlineStr">
        <is>
          <t> </t>
        </is>
      </c>
      <c r="K19" s="87" t="n"/>
      <c r="L19" s="33">
        <f>COUNTIF(Components!$B$3:$B$302,A19)</f>
        <v/>
      </c>
      <c r="M19" s="33">
        <f>COUNTIF($A$3:$A$308,A19)</f>
        <v/>
      </c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</row>
    <row r="20">
      <c r="A20" s="64">
        <f>UPPER(D20)
&amp;IF(F20&lt;&gt;"","_"&amp;UPPER(F20),"")
&amp;IF(H20&lt;&gt;"","_"&amp;UPPER(H20),"")
&amp;"_"&amp;TRIM(_xlfn.TEXTAFTER(B20,","))
&amp;"_"&amp;C20</f>
        <v/>
      </c>
      <c r="B20" s="13" t="n">
        <v>0.023</v>
      </c>
      <c r="C20" s="65" t="inlineStr">
        <is>
          <t>S</t>
        </is>
      </c>
      <c r="D20" s="66" t="inlineStr">
        <is>
          <t>battens_2</t>
        </is>
      </c>
      <c r="E20" s="70" t="n"/>
      <c r="F20" s="70" t="n"/>
      <c r="G20" s="70" t="n"/>
      <c r="H20" s="70" t="n"/>
      <c r="I20" s="70" t="n"/>
      <c r="J20" s="13" t="inlineStr">
        <is>
          <t> </t>
        </is>
      </c>
      <c r="K20" s="87" t="n"/>
      <c r="L20" s="33">
        <f>COUNTIF(Components!$B$3:$B$302,A20)</f>
        <v/>
      </c>
      <c r="M20" s="33">
        <f>COUNTIF($A$3:$A$308,A20)</f>
        <v/>
      </c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</row>
    <row r="21">
      <c r="A21" s="64">
        <f>UPPER(D21)
&amp;IF(F21&lt;&gt;"","_"&amp;UPPER(F21),"")
&amp;IF(H21&lt;&gt;"","_"&amp;UPPER(H21),"")
&amp;"_"&amp;TRIM(_xlfn.TEXTAFTER(B21,","))
&amp;"_"&amp;C21</f>
        <v/>
      </c>
      <c r="B21" s="13" t="n">
        <v>0.005</v>
      </c>
      <c r="C21" s="65" t="inlineStr">
        <is>
          <t>S</t>
        </is>
      </c>
      <c r="D21" s="66" t="inlineStr">
        <is>
          <t>roofing_felt</t>
        </is>
      </c>
      <c r="E21" s="70" t="n"/>
      <c r="F21" s="70" t="n"/>
      <c r="G21" s="70" t="n"/>
      <c r="H21" s="70" t="n"/>
      <c r="I21" s="70" t="n"/>
      <c r="J21" s="13" t="inlineStr">
        <is>
          <t> </t>
        </is>
      </c>
      <c r="K21" s="87" t="n"/>
      <c r="L21" s="33">
        <f>COUNTIF(Components!$B$3:$B$302,A21)</f>
        <v/>
      </c>
      <c r="M21" s="33">
        <f>COUNTIF($A$3:$A$308,A21)</f>
        <v/>
      </c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</row>
    <row r="22">
      <c r="A22" s="64">
        <f>UPPER(D22)
&amp;IF(F22&lt;&gt;"","_"&amp;UPPER(F22),"")
&amp;IF(H22&lt;&gt;"","_"&amp;UPPER(H22),"")
&amp;"_"&amp;TRIM(_xlfn.TEXTAFTER(B22,","))
&amp;"_"&amp;C22</f>
        <v/>
      </c>
      <c r="B22" s="13" t="n">
        <v>0.0254</v>
      </c>
      <c r="C22" s="65" t="inlineStr">
        <is>
          <t>S</t>
        </is>
      </c>
      <c r="D22" s="66" t="inlineStr">
        <is>
          <t>wooden_panel</t>
        </is>
      </c>
      <c r="E22" s="70" t="n"/>
      <c r="F22" s="70" t="n"/>
      <c r="G22" s="70" t="n"/>
      <c r="H22" s="70" t="n"/>
      <c r="I22" s="70" t="n"/>
      <c r="J22" s="13" t="inlineStr">
        <is>
          <t> </t>
        </is>
      </c>
      <c r="K22" s="87" t="n"/>
      <c r="L22" s="33">
        <f>COUNTIF(Components!$B$3:$B$302,A22)</f>
        <v/>
      </c>
      <c r="M22" s="33">
        <f>COUNTIF($A$3:$A$308,A22)</f>
        <v/>
      </c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</row>
    <row r="23">
      <c r="A23" s="64">
        <f>UPPER(D23)
&amp;IF(F23&lt;&gt;"","_"&amp;UPPER(F23),"")
&amp;IF(H23&lt;&gt;"","_"&amp;UPPER(H23),"")
&amp;"_"&amp;TRIM(_xlfn.TEXTAFTER(B23,","))
&amp;"_"&amp;C23</f>
        <v/>
      </c>
      <c r="B23" s="13" t="n">
        <v>0.125</v>
      </c>
      <c r="C23" s="65" t="inlineStr">
        <is>
          <t>C</t>
        </is>
      </c>
      <c r="D23" s="66" t="inlineStr">
        <is>
          <t>brick</t>
        </is>
      </c>
      <c r="E23" s="70" t="n">
        <v>0.85</v>
      </c>
      <c r="F23" s="70" t="inlineStr">
        <is>
          <t>mortar</t>
        </is>
      </c>
      <c r="G23" s="70" t="n">
        <v>0.15</v>
      </c>
      <c r="H23" s="70" t="n"/>
      <c r="I23" s="70" t="n"/>
      <c r="J23" s="13" t="inlineStr">
        <is>
          <t> </t>
        </is>
      </c>
      <c r="K23" s="87" t="n"/>
      <c r="L23" s="33">
        <f>COUNTIF(Components!$B$3:$B$302,A23)</f>
        <v/>
      </c>
      <c r="M23" s="33">
        <f>COUNTIF($A$3:$A$308,A23)</f>
        <v/>
      </c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</row>
    <row r="24">
      <c r="A24" s="64">
        <f>UPPER(D24)
&amp;IF(F24&lt;&gt;"","_"&amp;UPPER(F24),"")
&amp;IF(H24&lt;&gt;"","_"&amp;UPPER(H24),"")
&amp;"_"&amp;TRIM(_xlfn.TEXTAFTER(B24,","))
&amp;"_"&amp;C24</f>
        <v/>
      </c>
      <c r="B24" s="13" t="n">
        <v>0.095</v>
      </c>
      <c r="C24" s="65" t="inlineStr">
        <is>
          <t>C</t>
        </is>
      </c>
      <c r="D24" s="66" t="inlineStr">
        <is>
          <t>mineral_wool</t>
        </is>
      </c>
      <c r="E24" s="70" t="n">
        <v>0.9</v>
      </c>
      <c r="F24" s="70" t="inlineStr">
        <is>
          <t>wooden_stud</t>
        </is>
      </c>
      <c r="G24" s="70" t="n">
        <v>0.1</v>
      </c>
      <c r="H24" s="70" t="n"/>
      <c r="I24" s="70" t="n"/>
      <c r="J24" s="13" t="inlineStr">
        <is>
          <t>Assumed to be parallel vertically with studs and therefore has the same thickness, original thickness in BUD_MI was 5 cm</t>
        </is>
      </c>
      <c r="K24" s="87" t="n"/>
      <c r="L24" s="33">
        <f>COUNTIF(Components!$B$3:$B$302,A24)</f>
        <v/>
      </c>
      <c r="M24" s="33">
        <f>COUNTIF($A$3:$A$308,A24)</f>
        <v/>
      </c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</row>
    <row r="25">
      <c r="A25" s="64">
        <f>UPPER(D25)
&amp;IF(F25&lt;&gt;"","_"&amp;UPPER(F25),"")
&amp;IF(H25&lt;&gt;"","_"&amp;UPPER(H25),"")
&amp;"_"&amp;TRIM(_xlfn.TEXTAFTER(B25,","))
&amp;"_"&amp;C25</f>
        <v/>
      </c>
      <c r="B25" s="13" t="n">
        <v>0.008999999999999999</v>
      </c>
      <c r="C25" s="65" t="inlineStr">
        <is>
          <t>S</t>
        </is>
      </c>
      <c r="D25" s="66" t="inlineStr">
        <is>
          <t>eternit_board</t>
        </is>
      </c>
      <c r="E25" s="70" t="n"/>
      <c r="F25" s="70" t="n"/>
      <c r="G25" s="70" t="n"/>
      <c r="H25" s="70" t="n"/>
      <c r="I25" s="70" t="n"/>
      <c r="J25" s="13" t="inlineStr">
        <is>
          <t> </t>
        </is>
      </c>
      <c r="K25" s="87" t="n"/>
      <c r="L25" s="33">
        <f>COUNTIF(Components!$B$3:$B$302,A25)</f>
        <v/>
      </c>
      <c r="M25" s="33">
        <f>COUNTIF($A$3:$A$308,A25)</f>
        <v/>
      </c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</row>
    <row r="26">
      <c r="A26" s="64">
        <f>UPPER(D26)
&amp;IF(F26&lt;&gt;"","_"&amp;UPPER(F26),"")
&amp;IF(H26&lt;&gt;"","_"&amp;UPPER(H26),"")
&amp;"_"&amp;TRIM(_xlfn.TEXTAFTER(B26,","))
&amp;"_"&amp;C26</f>
        <v/>
      </c>
      <c r="B26" s="13" t="n">
        <v>0.012</v>
      </c>
      <c r="C26" s="65" t="inlineStr">
        <is>
          <t>S</t>
        </is>
      </c>
      <c r="D26" s="66" t="inlineStr">
        <is>
          <t>asphalt_board</t>
        </is>
      </c>
      <c r="E26" s="70" t="n"/>
      <c r="F26" s="70" t="n"/>
      <c r="G26" s="70" t="n"/>
      <c r="H26" s="70" t="n"/>
      <c r="I26" s="70" t="n"/>
      <c r="J26" s="13" t="inlineStr">
        <is>
          <t> </t>
        </is>
      </c>
      <c r="K26" s="87" t="n"/>
      <c r="L26" s="33">
        <f>COUNTIF(Components!$B$3:$B$302,A26)</f>
        <v/>
      </c>
      <c r="M26" s="33">
        <f>COUNTIF($A$3:$A$308,A26)</f>
        <v/>
      </c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</row>
    <row r="27">
      <c r="A27" s="64">
        <f>UPPER(D27)
&amp;IF(F27&lt;&gt;"","_"&amp;UPPER(F27),"")
&amp;IF(H27&lt;&gt;"","_"&amp;UPPER(H27),"")
&amp;"_"&amp;TRIM(_xlfn.TEXTAFTER(B27,","))
&amp;"_"&amp;C27</f>
        <v/>
      </c>
      <c r="B27" s="13" t="n">
        <v>0.013</v>
      </c>
      <c r="C27" s="65" t="inlineStr">
        <is>
          <t>S</t>
        </is>
      </c>
      <c r="D27" s="66" t="inlineStr">
        <is>
          <t>plaster_board</t>
        </is>
      </c>
      <c r="E27" s="70" t="n"/>
      <c r="F27" s="70" t="n"/>
      <c r="G27" s="70" t="n"/>
      <c r="H27" s="70" t="n"/>
      <c r="I27" s="70" t="n"/>
      <c r="J27" s="13" t="inlineStr">
        <is>
          <t> </t>
        </is>
      </c>
      <c r="K27" s="87" t="n"/>
      <c r="L27" s="33">
        <f>COUNTIF(Components!$B$3:$B$302,A27)</f>
        <v/>
      </c>
      <c r="M27" s="33">
        <f>COUNTIF($A$3:$A$308,A27)</f>
        <v/>
      </c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</row>
    <row r="28">
      <c r="A28" s="64">
        <f>UPPER(D28)
&amp;IF(F28&lt;&gt;"","_"&amp;UPPER(F28),"")
&amp;IF(H28&lt;&gt;"","_"&amp;UPPER(H28),"")
&amp;"_"&amp;TRIM(_xlfn.TEXTAFTER(B28,","))
&amp;"_"&amp;C28</f>
        <v/>
      </c>
      <c r="B28" s="13" t="n">
        <v>0.01</v>
      </c>
      <c r="C28" s="65" t="inlineStr">
        <is>
          <t>S</t>
        </is>
      </c>
      <c r="D28" s="66" t="inlineStr">
        <is>
          <t>linoleum</t>
        </is>
      </c>
      <c r="E28" s="70" t="n"/>
      <c r="F28" s="70" t="n"/>
      <c r="G28" s="70" t="n"/>
      <c r="H28" s="70" t="n"/>
      <c r="I28" s="70" t="n"/>
      <c r="J28" s="13" t="inlineStr">
        <is>
          <t> </t>
        </is>
      </c>
      <c r="K28" s="87" t="n"/>
      <c r="L28" s="33">
        <f>COUNTIF(Components!$B$3:$B$302,A28)</f>
        <v/>
      </c>
      <c r="M28" s="33">
        <f>COUNTIF($A$3:$A$308,A28)</f>
        <v/>
      </c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</row>
    <row r="29">
      <c r="A29" s="64">
        <f>UPPER(D29)
&amp;IF(F29&lt;&gt;"","_"&amp;UPPER(F29),"")
&amp;IF(H29&lt;&gt;"","_"&amp;UPPER(H29),"")
&amp;"_"&amp;TRIM(_xlfn.TEXTAFTER(B29,","))
&amp;"_"&amp;C29</f>
        <v/>
      </c>
      <c r="B29" s="13" t="n">
        <v>0.15</v>
      </c>
      <c r="C29" s="65" t="inlineStr">
        <is>
          <t>S</t>
        </is>
      </c>
      <c r="D29" s="66" t="inlineStr">
        <is>
          <t>leca</t>
        </is>
      </c>
      <c r="E29" s="70" t="n"/>
      <c r="F29" s="70" t="n"/>
      <c r="G29" s="70" t="n"/>
      <c r="H29" s="70" t="n"/>
      <c r="I29" s="70" t="n"/>
      <c r="J29" s="13" t="inlineStr">
        <is>
          <t> </t>
        </is>
      </c>
      <c r="K29" s="87" t="n"/>
      <c r="L29" s="33">
        <f>COUNTIF(Components!$B$3:$B$302,A29)</f>
        <v/>
      </c>
      <c r="M29" s="33">
        <f>COUNTIF($A$3:$A$308,A29)</f>
        <v/>
      </c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</row>
    <row r="30">
      <c r="A30" s="64">
        <f>UPPER(D30)
&amp;IF(F30&lt;&gt;"","_"&amp;UPPER(F30),"")
&amp;IF(H30&lt;&gt;"","_"&amp;UPPER(H30),"")
&amp;"_"&amp;TRIM(_xlfn.TEXTAFTER(B30,","))
&amp;"_"&amp;C30</f>
        <v/>
      </c>
      <c r="B30" s="13" t="n">
        <v>0.005</v>
      </c>
      <c r="C30" s="65" t="inlineStr">
        <is>
          <t>S</t>
        </is>
      </c>
      <c r="D30" s="66" t="inlineStr">
        <is>
          <t>cardboard</t>
        </is>
      </c>
      <c r="E30" s="70" t="n"/>
      <c r="F30" s="70" t="n"/>
      <c r="G30" s="70" t="n"/>
      <c r="H30" s="70" t="n"/>
      <c r="I30" s="70" t="n"/>
      <c r="J30" s="13" t="inlineStr">
        <is>
          <t> </t>
        </is>
      </c>
      <c r="K30" s="87" t="n"/>
      <c r="L30" s="33">
        <f>COUNTIF(Components!$B$3:$B$302,A30)</f>
        <v/>
      </c>
      <c r="M30" s="33">
        <f>COUNTIF($A$3:$A$308,A30)</f>
        <v/>
      </c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</row>
    <row r="31">
      <c r="A31" s="64">
        <f>UPPER(D31)
&amp;IF(F31&lt;&gt;"","_"&amp;UPPER(F31),"")
&amp;IF(H31&lt;&gt;"","_"&amp;UPPER(H31),"")
&amp;"_"&amp;TRIM(_xlfn.TEXTAFTER(B31,","))
&amp;"_"&amp;C31</f>
        <v/>
      </c>
      <c r="B31" s="13" t="n">
        <v>0.03</v>
      </c>
      <c r="C31" s="65" t="inlineStr">
        <is>
          <t>S</t>
        </is>
      </c>
      <c r="D31" s="66" t="inlineStr">
        <is>
          <t>mineral_wool_blanket</t>
        </is>
      </c>
      <c r="E31" s="70" t="n"/>
      <c r="F31" s="70" t="n"/>
      <c r="G31" s="70" t="n"/>
      <c r="H31" s="70" t="n"/>
      <c r="I31" s="70" t="n"/>
      <c r="J31" s="13" t="inlineStr">
        <is>
          <t> </t>
        </is>
      </c>
      <c r="K31" s="87" t="n"/>
      <c r="L31" s="33">
        <f>COUNTIF(Components!$B$3:$B$302,A31)</f>
        <v/>
      </c>
      <c r="M31" s="33">
        <f>COUNTIF($A$3:$A$308,A31)</f>
        <v/>
      </c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</row>
    <row r="32">
      <c r="A32" s="64">
        <f>UPPER(D32)
&amp;IF(F32&lt;&gt;"","_"&amp;UPPER(F32),"")
&amp;IF(H32&lt;&gt;"","_"&amp;UPPER(H32),"")
&amp;"_"&amp;TRIM(_xlfn.TEXTAFTER(B32,","))
&amp;"_"&amp;C32</f>
        <v/>
      </c>
      <c r="B32" s="13" t="n">
        <v>0.2</v>
      </c>
      <c r="C32" s="65" t="inlineStr">
        <is>
          <t>S</t>
        </is>
      </c>
      <c r="D32" s="66" t="inlineStr">
        <is>
          <t>mineral_wool_carpet</t>
        </is>
      </c>
      <c r="E32" s="70" t="n"/>
      <c r="F32" s="70" t="n"/>
      <c r="G32" s="70" t="n"/>
      <c r="H32" s="70" t="n"/>
      <c r="I32" s="70" t="n"/>
      <c r="J32" s="13" t="inlineStr">
        <is>
          <t> </t>
        </is>
      </c>
      <c r="K32" s="87" t="n"/>
      <c r="L32" s="33">
        <f>COUNTIF(Components!$B$3:$B$302,A32)</f>
        <v/>
      </c>
      <c r="M32" s="33">
        <f>COUNTIF($A$3:$A$308,A32)</f>
        <v/>
      </c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</row>
    <row r="33">
      <c r="A33" s="64">
        <f>UPPER(D33)
&amp;IF(F33&lt;&gt;"","_"&amp;UPPER(F33),"")
&amp;IF(H33&lt;&gt;"","_"&amp;UPPER(H33),"")
&amp;"_"&amp;TRIM(_xlfn.TEXTAFTER(B33,","))
&amp;"_"&amp;C33</f>
        <v/>
      </c>
      <c r="B33" s="13" t="n">
        <v>0.01</v>
      </c>
      <c r="C33" s="65" t="inlineStr">
        <is>
          <t>S</t>
        </is>
      </c>
      <c r="D33" s="66" t="inlineStr">
        <is>
          <t>roofing_felt</t>
        </is>
      </c>
      <c r="E33" s="70" t="n"/>
      <c r="F33" s="70" t="n"/>
      <c r="G33" s="70" t="n"/>
      <c r="H33" s="70" t="n"/>
      <c r="I33" s="70" t="n"/>
      <c r="J33" s="13" t="inlineStr">
        <is>
          <t> </t>
        </is>
      </c>
      <c r="K33" s="87" t="n"/>
      <c r="L33" s="33">
        <f>COUNTIF(Components!$B$3:$B$302,A33)</f>
        <v/>
      </c>
      <c r="M33" s="33">
        <f>COUNTIF($A$3:$A$308,A33)</f>
        <v/>
      </c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</row>
    <row r="34">
      <c r="A34" s="64">
        <f>UPPER(D34)
&amp;IF(F34&lt;&gt;"","_"&amp;UPPER(F34),"")
&amp;IF(H34&lt;&gt;"","_"&amp;UPPER(H34),"")
&amp;"_"&amp;TRIM(_xlfn.TEXTAFTER(B34,","))
&amp;"_"&amp;C34</f>
        <v/>
      </c>
      <c r="B34" s="41" t="n">
        <v>0.05</v>
      </c>
      <c r="C34" s="65" t="inlineStr">
        <is>
          <t>S</t>
        </is>
      </c>
      <c r="D34" s="66" t="inlineStr">
        <is>
          <t>wooden_truss</t>
        </is>
      </c>
      <c r="E34" s="70" t="n"/>
      <c r="F34" s="70" t="n"/>
      <c r="G34" s="70" t="n"/>
      <c r="H34" s="70" t="n"/>
      <c r="I34" s="70" t="n"/>
      <c r="J34" s="13" t="inlineStr">
        <is>
          <t> </t>
        </is>
      </c>
      <c r="K34" s="87" t="inlineStr">
        <is>
          <t>X</t>
        </is>
      </c>
      <c r="L34" s="33">
        <f>COUNTIF(Components!$B$3:$B$302,A34)</f>
        <v/>
      </c>
      <c r="M34" s="33">
        <f>COUNTIF($A$3:$A$308,A34)</f>
        <v/>
      </c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</row>
    <row r="35">
      <c r="A35" s="64">
        <f>UPPER(D35)
&amp;IF(F35&lt;&gt;"","_"&amp;UPPER(F35),"")
&amp;IF(H35&lt;&gt;"","_"&amp;UPPER(H35),"")
&amp;"_"&amp;TRIM(_xlfn.TEXTAFTER(B35,","))
&amp;"_"&amp;C35</f>
        <v/>
      </c>
      <c r="B35" s="13" t="n">
        <v>0.15</v>
      </c>
      <c r="C35" s="65" t="inlineStr">
        <is>
          <t>C</t>
        </is>
      </c>
      <c r="D35" s="66" t="inlineStr">
        <is>
          <t>lightweight_concrete</t>
        </is>
      </c>
      <c r="E35" s="70" t="n">
        <v>0.95</v>
      </c>
      <c r="F35" s="70" t="inlineStr">
        <is>
          <t>mortar</t>
        </is>
      </c>
      <c r="G35" s="70" t="n">
        <v>0.05</v>
      </c>
      <c r="H35" s="70" t="n"/>
      <c r="I35" s="70" t="n"/>
      <c r="J35" s="13" t="inlineStr">
        <is>
          <t> </t>
        </is>
      </c>
      <c r="K35" s="87" t="n"/>
      <c r="L35" s="33">
        <f>COUNTIF(Components!$B$3:$B$302,A35)</f>
        <v/>
      </c>
      <c r="M35" s="33">
        <f>COUNTIF($A$3:$A$308,A35)</f>
        <v/>
      </c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</row>
    <row r="36">
      <c r="A36" s="64">
        <f>UPPER(D36)
&amp;IF(F36&lt;&gt;"","_"&amp;UPPER(F36),"")
&amp;IF(H36&lt;&gt;"","_"&amp;UPPER(H36),"")
&amp;"_"&amp;TRIM(_xlfn.TEXTAFTER(B36,","))
&amp;"_"&amp;C36</f>
        <v/>
      </c>
      <c r="B36" s="13" t="n">
        <v>0.01</v>
      </c>
      <c r="C36" s="65" t="inlineStr">
        <is>
          <t>S</t>
        </is>
      </c>
      <c r="D36" s="66" t="inlineStr">
        <is>
          <t>asbestos_cement_board</t>
        </is>
      </c>
      <c r="E36" s="70" t="n"/>
      <c r="F36" s="70" t="n"/>
      <c r="G36" s="70" t="n"/>
      <c r="H36" s="70" t="n"/>
      <c r="I36" s="70" t="n"/>
      <c r="J36" s="13" t="inlineStr">
        <is>
          <t> </t>
        </is>
      </c>
      <c r="K36" s="87" t="n"/>
      <c r="L36" s="33">
        <f>COUNTIF(Components!$B$3:$B$302,A36)</f>
        <v/>
      </c>
      <c r="M36" s="33">
        <f>COUNTIF($A$3:$A$308,A36)</f>
        <v/>
      </c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</row>
    <row r="37">
      <c r="A37" s="64">
        <f>UPPER(D37)
&amp;IF(F37&lt;&gt;"","_"&amp;UPPER(F37),"")
&amp;IF(H37&lt;&gt;"","_"&amp;UPPER(H37),"")
&amp;"_"&amp;TRIM(_xlfn.TEXTAFTER(B37,","))
&amp;"_"&amp;C37</f>
        <v/>
      </c>
      <c r="B37" s="13" t="n">
        <v>0.01</v>
      </c>
      <c r="C37" s="65" t="inlineStr">
        <is>
          <t>S</t>
        </is>
      </c>
      <c r="D37" s="66" t="inlineStr">
        <is>
          <t>asphalt_board</t>
        </is>
      </c>
      <c r="E37" s="70" t="n"/>
      <c r="F37" s="70" t="n"/>
      <c r="G37" s="70" t="n"/>
      <c r="H37" s="70" t="n"/>
      <c r="I37" s="70" t="n"/>
      <c r="J37" s="13" t="inlineStr">
        <is>
          <t> </t>
        </is>
      </c>
      <c r="K37" s="87" t="n"/>
      <c r="L37" s="33">
        <f>COUNTIF(Components!$B$3:$B$302,A37)</f>
        <v/>
      </c>
      <c r="M37" s="33">
        <f>COUNTIF($A$3:$A$308,A37)</f>
        <v/>
      </c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</row>
    <row r="38">
      <c r="A38" s="64">
        <f>UPPER(D38)
&amp;IF(F38&lt;&gt;"","_"&amp;UPPER(F38),"")
&amp;IF(H38&lt;&gt;"","_"&amp;UPPER(H38),"")
&amp;"_"&amp;TRIM(_xlfn.TEXTAFTER(B38,","))
&amp;"_"&amp;C38</f>
        <v/>
      </c>
      <c r="B38" s="13" t="n">
        <v>0.05</v>
      </c>
      <c r="C38" s="65" t="inlineStr">
        <is>
          <t>C</t>
        </is>
      </c>
      <c r="D38" s="66" t="inlineStr">
        <is>
          <t>mineral_wool</t>
        </is>
      </c>
      <c r="E38" s="70" t="n">
        <v>0.9</v>
      </c>
      <c r="F38" s="70" t="inlineStr">
        <is>
          <t>wooden_stud</t>
        </is>
      </c>
      <c r="G38" s="70" t="n">
        <v>0.1</v>
      </c>
      <c r="H38" s="70" t="n"/>
      <c r="I38" s="70" t="n"/>
      <c r="J38" s="13" t="inlineStr">
        <is>
          <t>Not sure about this measurement</t>
        </is>
      </c>
      <c r="K38" s="87" t="n"/>
      <c r="L38" s="33">
        <f>COUNTIF(Components!$B$3:$B$302,A38)</f>
        <v/>
      </c>
      <c r="M38" s="33">
        <f>COUNTIF($A$3:$A$308,A38)</f>
        <v/>
      </c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</row>
    <row r="39">
      <c r="A39" s="64">
        <f>UPPER(D39)
&amp;IF(F39&lt;&gt;"","_"&amp;UPPER(F39),"")
&amp;IF(H39&lt;&gt;"","_"&amp;UPPER(H39),"")
&amp;"_"&amp;TRIM(_xlfn.TEXTAFTER(B39,","))
&amp;"_"&amp;C39</f>
        <v/>
      </c>
      <c r="B39" s="13" t="n">
        <v>0.001</v>
      </c>
      <c r="C39" s="65" t="inlineStr">
        <is>
          <t>S</t>
        </is>
      </c>
      <c r="D39" s="66" t="inlineStr">
        <is>
          <t>foil</t>
        </is>
      </c>
      <c r="E39" s="70" t="n"/>
      <c r="F39" s="70" t="n"/>
      <c r="G39" s="70" t="n"/>
      <c r="H39" s="70" t="n"/>
      <c r="I39" s="70" t="n"/>
      <c r="J39" s="13" t="inlineStr">
        <is>
          <t> </t>
        </is>
      </c>
      <c r="K39" s="87" t="n"/>
      <c r="L39" s="33">
        <f>COUNTIF(Components!$B$3:$B$302,A39)</f>
        <v/>
      </c>
      <c r="M39" s="33">
        <f>COUNTIF($A$3:$A$308,A39)</f>
        <v/>
      </c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</row>
    <row r="40">
      <c r="A40" s="64">
        <f>UPPER(D40)
&amp;IF(F40&lt;&gt;"","_"&amp;UPPER(F40),"")
&amp;IF(H40&lt;&gt;"","_"&amp;UPPER(H40),"")
&amp;"_"&amp;TRIM(_xlfn.TEXTAFTER(B40,","))
&amp;"_"&amp;C40</f>
        <v/>
      </c>
      <c r="B40" s="13" t="n">
        <v>0.04</v>
      </c>
      <c r="C40" s="65" t="inlineStr">
        <is>
          <t>S</t>
        </is>
      </c>
      <c r="D40" s="66" t="inlineStr">
        <is>
          <t>battens_1</t>
        </is>
      </c>
      <c r="E40" s="70" t="n"/>
      <c r="F40" s="70" t="n"/>
      <c r="G40" s="70" t="n"/>
      <c r="H40" s="70" t="n"/>
      <c r="I40" s="70" t="n"/>
      <c r="J40" s="13" t="inlineStr">
        <is>
          <t> </t>
        </is>
      </c>
      <c r="K40" s="87" t="n"/>
      <c r="L40" s="33">
        <f>COUNTIF(Components!$B$3:$B$302,A40)</f>
        <v/>
      </c>
      <c r="M40" s="33">
        <f>COUNTIF($A$3:$A$308,A40)</f>
        <v/>
      </c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</row>
    <row r="41">
      <c r="A41" s="64">
        <f>UPPER(D41)
&amp;IF(F41&lt;&gt;"","_"&amp;UPPER(F41),"")
&amp;IF(H41&lt;&gt;"","_"&amp;UPPER(H41),"")
&amp;"_"&amp;TRIM(_xlfn.TEXTAFTER(B41,","))
&amp;"_"&amp;C41</f>
        <v/>
      </c>
      <c r="B41" s="13" t="n">
        <v>0.04</v>
      </c>
      <c r="C41" s="65" t="inlineStr">
        <is>
          <t>S</t>
        </is>
      </c>
      <c r="D41" s="66" t="inlineStr">
        <is>
          <t>battens_2</t>
        </is>
      </c>
      <c r="E41" s="70" t="n"/>
      <c r="F41" s="70" t="n"/>
      <c r="G41" s="70" t="n"/>
      <c r="H41" s="70" t="n"/>
      <c r="I41" s="70" t="n"/>
      <c r="J41" s="13" t="inlineStr">
        <is>
          <t> </t>
        </is>
      </c>
      <c r="K41" s="87" t="n"/>
      <c r="L41" s="33">
        <f>COUNTIF(Components!$B$3:$B$302,A41)</f>
        <v/>
      </c>
      <c r="M41" s="33">
        <f>COUNTIF($A$3:$A$308,A41)</f>
        <v/>
      </c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</row>
    <row r="42">
      <c r="A42" s="64">
        <f>UPPER(D42)
&amp;IF(F42&lt;&gt;"","_"&amp;UPPER(F42),"")
&amp;IF(H42&lt;&gt;"","_"&amp;UPPER(H42),"")
&amp;"_"&amp;TRIM(_xlfn.TEXTAFTER(B42,","))
&amp;"_"&amp;C42</f>
        <v/>
      </c>
      <c r="B42" s="13" t="n">
        <v>0.03</v>
      </c>
      <c r="C42" s="65" t="inlineStr">
        <is>
          <t>S</t>
        </is>
      </c>
      <c r="D42" s="66" t="inlineStr">
        <is>
          <t>wooden_panel</t>
        </is>
      </c>
      <c r="E42" s="70" t="n"/>
      <c r="F42" s="70" t="n"/>
      <c r="G42" s="70" t="n"/>
      <c r="H42" s="70" t="n"/>
      <c r="I42" s="70" t="n"/>
      <c r="J42" s="13" t="inlineStr">
        <is>
          <t> </t>
        </is>
      </c>
      <c r="K42" s="87" t="n"/>
      <c r="L42" s="33">
        <f>COUNTIF(Components!$B$3:$B$302,A42)</f>
        <v/>
      </c>
      <c r="M42" s="33">
        <f>COUNTIF($A$3:$A$308,A42)</f>
        <v/>
      </c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</row>
    <row r="43">
      <c r="A43" s="64">
        <f>UPPER(D43)
&amp;IF(F43&lt;&gt;"","_"&amp;UPPER(F43),"")
&amp;IF(H43&lt;&gt;"","_"&amp;UPPER(H43),"")
&amp;"_"&amp;TRIM(_xlfn.TEXTAFTER(B43,","))
&amp;"_"&amp;C43</f>
        <v/>
      </c>
      <c r="B43" s="13" t="n">
        <v>0.03</v>
      </c>
      <c r="C43" s="65" t="inlineStr">
        <is>
          <t>S</t>
        </is>
      </c>
      <c r="D43" s="66" t="inlineStr">
        <is>
          <t>concrete_tile</t>
        </is>
      </c>
      <c r="E43" s="70" t="n"/>
      <c r="F43" s="70" t="n"/>
      <c r="G43" s="70" t="n"/>
      <c r="H43" s="70" t="n"/>
      <c r="I43" s="70" t="n"/>
      <c r="J43" s="13" t="inlineStr">
        <is>
          <t> </t>
        </is>
      </c>
      <c r="K43" s="87" t="n"/>
      <c r="L43" s="33">
        <f>COUNTIF(Components!$B$3:$B$302,A43)</f>
        <v/>
      </c>
      <c r="M43" s="33">
        <f>COUNTIF($A$3:$A$308,A43)</f>
        <v/>
      </c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  <c r="AB43" s="29" t="n"/>
      <c r="AC43" s="29" t="n"/>
      <c r="AD43" s="29" t="n"/>
      <c r="AE43" s="29" t="n"/>
      <c r="AF43" s="29" t="n"/>
      <c r="AG43" s="29" t="n"/>
      <c r="AH43" s="29" t="n"/>
      <c r="AI43" s="29" t="n"/>
    </row>
    <row r="44">
      <c r="A44" s="64">
        <f>UPPER(D44)
&amp;IF(F44&lt;&gt;"","_"&amp;UPPER(F44),"")
&amp;IF(H44&lt;&gt;"","_"&amp;UPPER(H44),"")
&amp;"_"&amp;TRIM(_xlfn.TEXTAFTER(B44,","))
&amp;"_"&amp;C44</f>
        <v/>
      </c>
      <c r="B44" s="13" t="n">
        <v>0.15</v>
      </c>
      <c r="C44" s="65" t="inlineStr">
        <is>
          <t>S</t>
        </is>
      </c>
      <c r="D44" s="66" t="inlineStr">
        <is>
          <t>wood_shavings</t>
        </is>
      </c>
      <c r="E44" s="70" t="n"/>
      <c r="F44" s="70" t="n"/>
      <c r="G44" s="70" t="n"/>
      <c r="H44" s="70" t="n"/>
      <c r="I44" s="70" t="n"/>
      <c r="J44" s="13" t="inlineStr">
        <is>
          <t> </t>
        </is>
      </c>
      <c r="K44" s="87" t="n"/>
      <c r="L44" s="33">
        <f>COUNTIF(Components!$B$3:$B$302,A44)</f>
        <v/>
      </c>
      <c r="M44" s="33">
        <f>COUNTIF($A$3:$A$308,A44)</f>
        <v/>
      </c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  <c r="AB44" s="29" t="n"/>
      <c r="AC44" s="29" t="n"/>
      <c r="AD44" s="29" t="n"/>
      <c r="AE44" s="29" t="n"/>
      <c r="AF44" s="29" t="n"/>
      <c r="AG44" s="29" t="n"/>
      <c r="AH44" s="29" t="n"/>
      <c r="AI44" s="29" t="n"/>
    </row>
    <row r="45">
      <c r="A45" s="64">
        <f>UPPER(D45)
&amp;IF(F45&lt;&gt;"","_"&amp;UPPER(F45),"")
&amp;IF(H45&lt;&gt;"","_"&amp;UPPER(H45),"")
&amp;"_"&amp;TRIM(_xlfn.TEXTAFTER(B45,","))
&amp;"_"&amp;C45</f>
        <v/>
      </c>
      <c r="B45" s="13" t="n">
        <v>0.04</v>
      </c>
      <c r="C45" s="65" t="inlineStr">
        <is>
          <t>S</t>
        </is>
      </c>
      <c r="D45" s="66" t="inlineStr">
        <is>
          <t>floorboard</t>
        </is>
      </c>
      <c r="E45" s="70" t="n"/>
      <c r="F45" s="70" t="n"/>
      <c r="G45" s="70" t="n"/>
      <c r="H45" s="70" t="n"/>
      <c r="I45" s="70" t="n"/>
      <c r="J45" s="13" t="inlineStr">
        <is>
          <t> </t>
        </is>
      </c>
      <c r="K45" s="87" t="n"/>
      <c r="L45" s="33">
        <f>COUNTIF(Components!$B$3:$B$302,A45)</f>
        <v/>
      </c>
      <c r="M45" s="33">
        <f>COUNTIF($A$3:$A$308,A45)</f>
        <v/>
      </c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  <c r="AB45" s="29" t="n"/>
      <c r="AC45" s="29" t="n"/>
      <c r="AD45" s="29" t="n"/>
      <c r="AE45" s="29" t="n"/>
      <c r="AF45" s="29" t="n"/>
      <c r="AG45" s="29" t="n"/>
      <c r="AH45" s="29" t="n"/>
      <c r="AI45" s="29" t="n"/>
    </row>
    <row r="46">
      <c r="A46" s="64">
        <f>UPPER(D46)
&amp;IF(F46&lt;&gt;"","_"&amp;UPPER(F46),"")
&amp;IF(H46&lt;&gt;"","_"&amp;UPPER(H46),"")
&amp;"_"&amp;TRIM(_xlfn.TEXTAFTER(B46,","))
&amp;"_"&amp;C46</f>
        <v/>
      </c>
      <c r="B46" s="13" t="n">
        <v>0.1</v>
      </c>
      <c r="C46" s="65" t="inlineStr">
        <is>
          <t>S</t>
        </is>
      </c>
      <c r="D46" s="66" t="inlineStr">
        <is>
          <t>coke_ash</t>
        </is>
      </c>
      <c r="E46" s="70" t="n"/>
      <c r="F46" s="70" t="n"/>
      <c r="G46" s="70" t="n"/>
      <c r="H46" s="70" t="n"/>
      <c r="I46" s="70" t="n"/>
      <c r="J46" s="13" t="inlineStr">
        <is>
          <t> </t>
        </is>
      </c>
      <c r="K46" s="87" t="n"/>
      <c r="L46" s="33">
        <f>COUNTIF(Components!$B$3:$B$302,A46)</f>
        <v/>
      </c>
      <c r="M46" s="33">
        <f>COUNTIF($A$3:$A$308,A46)</f>
        <v/>
      </c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  <c r="AB46" s="29" t="n"/>
      <c r="AC46" s="29" t="n"/>
      <c r="AD46" s="29" t="n"/>
      <c r="AE46" s="29" t="n"/>
      <c r="AF46" s="29" t="n"/>
      <c r="AG46" s="29" t="n"/>
      <c r="AH46" s="29" t="n"/>
      <c r="AI46" s="29" t="n"/>
    </row>
    <row r="47">
      <c r="A47" s="64">
        <f>UPPER(D47)
&amp;IF(F47&lt;&gt;"","_"&amp;UPPER(F47),"")
&amp;IF(H47&lt;&gt;"","_"&amp;UPPER(H47),"")
&amp;"_"&amp;TRIM(_xlfn.TEXTAFTER(B47,","))
&amp;"_"&amp;C47</f>
        <v/>
      </c>
      <c r="B47" s="41" t="n">
        <v>0.05</v>
      </c>
      <c r="C47" s="65" t="inlineStr">
        <is>
          <t>S</t>
        </is>
      </c>
      <c r="D47" s="66" t="inlineStr">
        <is>
          <t>stud</t>
        </is>
      </c>
      <c r="E47" s="70" t="n"/>
      <c r="F47" s="70" t="n"/>
      <c r="G47" s="70" t="n"/>
      <c r="H47" s="70" t="n"/>
      <c r="I47" s="70" t="n"/>
      <c r="J47" s="13" t="inlineStr">
        <is>
          <t> </t>
        </is>
      </c>
      <c r="K47" s="87" t="n"/>
      <c r="L47" s="33">
        <f>COUNTIF(Components!$B$3:$B$302,A47)</f>
        <v/>
      </c>
      <c r="M47" s="33">
        <f>COUNTIF($A$3:$A$308,A47)</f>
        <v/>
      </c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  <c r="AB47" s="29" t="n"/>
      <c r="AC47" s="29" t="n"/>
      <c r="AD47" s="29" t="n"/>
      <c r="AE47" s="29" t="n"/>
      <c r="AF47" s="29" t="n"/>
      <c r="AG47" s="29" t="n"/>
      <c r="AH47" s="29" t="n"/>
      <c r="AI47" s="29" t="n"/>
    </row>
    <row r="48">
      <c r="A48" s="64">
        <f>UPPER(D48)
&amp;IF(F48&lt;&gt;"","_"&amp;UPPER(F48),"")
&amp;IF(H48&lt;&gt;"","_"&amp;UPPER(H48),"")
&amp;"_"&amp;TRIM(_xlfn.TEXTAFTER(B48,","))
&amp;"_"&amp;C48</f>
        <v/>
      </c>
      <c r="B48" s="41" t="n">
        <v>0.04</v>
      </c>
      <c r="C48" s="65" t="inlineStr">
        <is>
          <t>S</t>
        </is>
      </c>
      <c r="D48" s="66" t="inlineStr">
        <is>
          <t>vinyl_flooring</t>
        </is>
      </c>
      <c r="E48" s="70" t="n"/>
      <c r="F48" s="70" t="n"/>
      <c r="G48" s="70" t="n"/>
      <c r="H48" s="70" t="n"/>
      <c r="I48" s="70" t="n"/>
      <c r="J48" s="13" t="inlineStr">
        <is>
          <t>couldn't verify source</t>
        </is>
      </c>
      <c r="K48" s="87" t="n"/>
      <c r="L48" s="33">
        <f>COUNTIF(Components!$B$3:$B$302,A48)</f>
        <v/>
      </c>
      <c r="M48" s="33">
        <f>COUNTIF($A$3:$A$308,A48)</f>
        <v/>
      </c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  <c r="AB48" s="29" t="n"/>
      <c r="AC48" s="29" t="n"/>
      <c r="AD48" s="29" t="n"/>
      <c r="AE48" s="29" t="n"/>
      <c r="AF48" s="29" t="n"/>
      <c r="AG48" s="29" t="n"/>
      <c r="AH48" s="29" t="n"/>
      <c r="AI48" s="29" t="n"/>
    </row>
    <row r="49">
      <c r="A49" s="64">
        <f>UPPER(D49)
&amp;IF(F49&lt;&gt;"","_"&amp;UPPER(F49),"")
&amp;IF(H49&lt;&gt;"","_"&amp;UPPER(H49),"")
&amp;"_"&amp;TRIM(_xlfn.TEXTAFTER(B49,","))
&amp;"_"&amp;C49</f>
        <v/>
      </c>
      <c r="B49" s="41" t="n">
        <v>0.006</v>
      </c>
      <c r="C49" s="65" t="inlineStr">
        <is>
          <t>S</t>
        </is>
      </c>
      <c r="D49" s="66" t="inlineStr">
        <is>
          <t>ceramic_tile</t>
        </is>
      </c>
      <c r="E49" s="70" t="n"/>
      <c r="F49" s="70" t="n"/>
      <c r="G49" s="70" t="n"/>
      <c r="H49" s="70" t="n"/>
      <c r="I49" s="70" t="n"/>
      <c r="J49" s="13" t="inlineStr">
        <is>
          <t> </t>
        </is>
      </c>
      <c r="K49" s="87" t="n"/>
      <c r="L49" s="33">
        <f>COUNTIF(Components!$B$3:$B$302,A49)</f>
        <v/>
      </c>
      <c r="M49" s="33">
        <f>COUNTIF($A$3:$A$308,A49)</f>
        <v/>
      </c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  <c r="AB49" s="29" t="n"/>
      <c r="AC49" s="29" t="n"/>
      <c r="AD49" s="29" t="n"/>
      <c r="AE49" s="29" t="n"/>
      <c r="AF49" s="29" t="n"/>
      <c r="AG49" s="29" t="n"/>
      <c r="AH49" s="29" t="n"/>
      <c r="AI49" s="29" t="n"/>
    </row>
    <row r="50">
      <c r="A50" s="64">
        <f>UPPER(D50)
&amp;IF(F50&lt;&gt;"","_"&amp;UPPER(F50),"")
&amp;IF(H50&lt;&gt;"","_"&amp;UPPER(H50),"")
&amp;"_"&amp;TRIM(_xlfn.TEXTAFTER(B50,","))
&amp;"_"&amp;C50</f>
        <v/>
      </c>
      <c r="B50" s="13" t="n">
        <v>0.03</v>
      </c>
      <c r="C50" s="65" t="inlineStr">
        <is>
          <t>S</t>
        </is>
      </c>
      <c r="D50" s="66" t="inlineStr">
        <is>
          <t>waterproof_membrane</t>
        </is>
      </c>
      <c r="E50" s="70" t="n"/>
      <c r="F50" s="70" t="n"/>
      <c r="G50" s="70" t="n"/>
      <c r="H50" s="70" t="n"/>
      <c r="I50" s="70" t="n"/>
      <c r="J50" s="13" t="inlineStr">
        <is>
          <t>couldn't verify source</t>
        </is>
      </c>
      <c r="K50" s="87" t="n"/>
      <c r="L50" s="33">
        <f>COUNTIF(Components!$B$3:$B$302,A50)</f>
        <v/>
      </c>
      <c r="M50" s="33">
        <f>COUNTIF($A$3:$A$308,A50)</f>
        <v/>
      </c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  <c r="AB50" s="29" t="n"/>
      <c r="AC50" s="29" t="n"/>
      <c r="AD50" s="29" t="n"/>
      <c r="AE50" s="29" t="n"/>
      <c r="AF50" s="29" t="n"/>
      <c r="AG50" s="29" t="n"/>
      <c r="AH50" s="29" t="n"/>
      <c r="AI50" s="29" t="n"/>
    </row>
    <row r="51">
      <c r="A51" s="64">
        <f>UPPER(D51)
&amp;IF(F51&lt;&gt;"","_"&amp;UPPER(F51),"")
&amp;IF(H51&lt;&gt;"","_"&amp;UPPER(H51),"")
&amp;"_"&amp;TRIM(_xlfn.TEXTAFTER(B51,","))
&amp;"_"&amp;C51</f>
        <v/>
      </c>
      <c r="B51" s="13" t="n">
        <v>0.04</v>
      </c>
      <c r="C51" s="65" t="inlineStr">
        <is>
          <t>S</t>
        </is>
      </c>
      <c r="D51" s="66" t="inlineStr">
        <is>
          <t>concrete</t>
        </is>
      </c>
      <c r="E51" s="70" t="n"/>
      <c r="F51" s="70" t="n"/>
      <c r="G51" s="70" t="n"/>
      <c r="H51" s="70" t="n"/>
      <c r="I51" s="70" t="n"/>
      <c r="J51" s="13" t="inlineStr">
        <is>
          <t> </t>
        </is>
      </c>
      <c r="K51" s="87" t="n"/>
      <c r="L51" s="33">
        <f>COUNTIF(Components!$B$3:$B$302,A51)</f>
        <v/>
      </c>
      <c r="M51" s="33">
        <f>COUNTIF($A$3:$A$308,A51)</f>
        <v/>
      </c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  <c r="AB51" s="29" t="n"/>
      <c r="AC51" s="29" t="n"/>
      <c r="AD51" s="29" t="n"/>
      <c r="AE51" s="29" t="n"/>
      <c r="AF51" s="29" t="n"/>
      <c r="AG51" s="29" t="n"/>
      <c r="AH51" s="29" t="n"/>
      <c r="AI51" s="29" t="n"/>
    </row>
    <row r="52">
      <c r="A52" s="64">
        <f>UPPER(D52)
&amp;IF(F52&lt;&gt;"","_"&amp;UPPER(F52),"")
&amp;IF(H52&lt;&gt;"","_"&amp;UPPER(H52),"")
&amp;"_"&amp;TRIM(_xlfn.TEXTAFTER(B52,","))
&amp;"_"&amp;C52</f>
        <v/>
      </c>
      <c r="B52" s="13" t="n">
        <v>0.25</v>
      </c>
      <c r="C52" s="65" t="inlineStr">
        <is>
          <t>C</t>
        </is>
      </c>
      <c r="D52" s="66" t="inlineStr">
        <is>
          <t>lightweight_concrete</t>
        </is>
      </c>
      <c r="E52" s="70" t="n">
        <v>0.95</v>
      </c>
      <c r="F52" s="70" t="inlineStr">
        <is>
          <t>mortar</t>
        </is>
      </c>
      <c r="G52" s="70" t="n">
        <v>0.05</v>
      </c>
      <c r="H52" s="70" t="n"/>
      <c r="I52" s="70" t="n"/>
      <c r="J52" s="13" t="inlineStr">
        <is>
          <t> </t>
        </is>
      </c>
      <c r="K52" s="87" t="n"/>
      <c r="L52" s="33">
        <f>COUNTIF(Components!$B$3:$B$302,A52)</f>
        <v/>
      </c>
      <c r="M52" s="33">
        <f>COUNTIF($A$3:$A$308,A52)</f>
        <v/>
      </c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  <c r="AB52" s="29" t="n"/>
      <c r="AC52" s="29" t="n"/>
      <c r="AD52" s="29" t="n"/>
      <c r="AE52" s="29" t="n"/>
      <c r="AF52" s="29" t="n"/>
      <c r="AG52" s="29" t="n"/>
      <c r="AH52" s="29" t="n"/>
      <c r="AI52" s="29" t="n"/>
    </row>
    <row r="53">
      <c r="A53" s="64">
        <f>UPPER(D53)
&amp;IF(F53&lt;&gt;"","_"&amp;UPPER(F53),"")
&amp;IF(H53&lt;&gt;"","_"&amp;UPPER(H53),"")
&amp;"_"&amp;TRIM(_xlfn.TEXTAFTER(B53,","))
&amp;"_"&amp;C53</f>
        <v/>
      </c>
      <c r="B53" s="41" t="n">
        <v>0.2</v>
      </c>
      <c r="C53" s="65" t="inlineStr">
        <is>
          <t>S</t>
        </is>
      </c>
      <c r="D53" s="66" t="inlineStr">
        <is>
          <t>concrete</t>
        </is>
      </c>
      <c r="E53" s="70" t="n"/>
      <c r="F53" s="70" t="n"/>
      <c r="G53" s="70" t="n"/>
      <c r="H53" s="70" t="n"/>
      <c r="I53" s="70" t="n"/>
      <c r="J53" s="13" t="inlineStr">
        <is>
          <t> </t>
        </is>
      </c>
      <c r="K53" s="87" t="n"/>
      <c r="L53" s="33">
        <f>COUNTIF(Components!$B$3:$B$302,A53)</f>
        <v/>
      </c>
      <c r="M53" s="33">
        <f>COUNTIF($A$3:$A$308,A53)</f>
        <v/>
      </c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  <c r="AB53" s="29" t="n"/>
      <c r="AC53" s="29" t="n"/>
      <c r="AD53" s="29" t="n"/>
      <c r="AE53" s="29" t="n"/>
      <c r="AF53" s="29" t="n"/>
      <c r="AG53" s="29" t="n"/>
      <c r="AH53" s="29" t="n"/>
      <c r="AI53" s="29" t="n"/>
    </row>
    <row r="54">
      <c r="A54" s="64">
        <f>UPPER(D54)
&amp;IF(F54&lt;&gt;"","_"&amp;UPPER(F54),"")
&amp;IF(H54&lt;&gt;"","_"&amp;UPPER(H54),"")
&amp;"_"&amp;TRIM(_xlfn.TEXTAFTER(B54,","))
&amp;"_"&amp;C54</f>
        <v/>
      </c>
      <c r="B54" s="41" t="n">
        <v>0.01</v>
      </c>
      <c r="C54" s="65" t="inlineStr">
        <is>
          <t>S</t>
        </is>
      </c>
      <c r="D54" s="66" t="inlineStr">
        <is>
          <t>plaster</t>
        </is>
      </c>
      <c r="E54" s="70" t="n"/>
      <c r="F54" s="70" t="n"/>
      <c r="G54" s="70" t="n"/>
      <c r="H54" s="70" t="n"/>
      <c r="I54" s="70" t="n"/>
      <c r="J54" s="13" t="inlineStr">
        <is>
          <t> </t>
        </is>
      </c>
      <c r="K54" s="87" t="n"/>
      <c r="L54" s="33">
        <f>COUNTIF(Components!$B$3:$B$302,A54)</f>
        <v/>
      </c>
      <c r="M54" s="33">
        <f>COUNTIF($A$3:$A$308,A54)</f>
        <v/>
      </c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  <c r="AB54" s="29" t="n"/>
      <c r="AC54" s="29" t="n"/>
      <c r="AD54" s="29" t="n"/>
      <c r="AE54" s="29" t="n"/>
      <c r="AF54" s="29" t="n"/>
      <c r="AG54" s="29" t="n"/>
      <c r="AH54" s="29" t="n"/>
      <c r="AI54" s="29" t="n"/>
    </row>
    <row r="55">
      <c r="A55" s="64">
        <f>UPPER(D55)
&amp;IF(F55&lt;&gt;"","_"&amp;UPPER(F55),"")
&amp;IF(H55&lt;&gt;"","_"&amp;UPPER(H55),"")
&amp;"_"&amp;TRIM(_xlfn.TEXTAFTER(B55,","))
&amp;"_"&amp;C55</f>
        <v/>
      </c>
      <c r="B55" s="41" t="n">
        <v>0.07000000000000001</v>
      </c>
      <c r="C55" s="65" t="inlineStr">
        <is>
          <t>S</t>
        </is>
      </c>
      <c r="D55" s="66" t="inlineStr">
        <is>
          <t>concrete</t>
        </is>
      </c>
      <c r="E55" s="70" t="n"/>
      <c r="F55" s="70" t="n"/>
      <c r="G55" s="70" t="n"/>
      <c r="H55" s="70" t="n"/>
      <c r="I55" s="70" t="n"/>
      <c r="J55" s="13" t="inlineStr">
        <is>
          <t> </t>
        </is>
      </c>
      <c r="K55" s="87" t="n"/>
      <c r="L55" s="33">
        <f>COUNTIF(Components!$B$3:$B$302,A55)</f>
        <v/>
      </c>
      <c r="M55" s="33">
        <f>COUNTIF($A$3:$A$308,A55)</f>
        <v/>
      </c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  <c r="AB55" s="29" t="n"/>
      <c r="AC55" s="29" t="n"/>
      <c r="AD55" s="29" t="n"/>
      <c r="AE55" s="29" t="n"/>
      <c r="AF55" s="29" t="n"/>
      <c r="AG55" s="29" t="n"/>
      <c r="AH55" s="29" t="n"/>
      <c r="AI55" s="29" t="n"/>
    </row>
    <row r="56" customFormat="1" s="29">
      <c r="A56" s="64">
        <f>UPPER(D56)
&amp;IF(F56&lt;&gt;"","_"&amp;UPPER(F56),"")
&amp;IF(H56&lt;&gt;"","_"&amp;UPPER(H56),"")
&amp;"_"&amp;TRIM(_xlfn.TEXTAFTER(B56,","))
&amp;"_"&amp;C56</f>
        <v/>
      </c>
      <c r="B56" s="41" t="n">
        <v>0.2</v>
      </c>
      <c r="C56" s="66" t="inlineStr">
        <is>
          <t>C</t>
        </is>
      </c>
      <c r="D56" s="66" t="inlineStr">
        <is>
          <t>brick</t>
        </is>
      </c>
      <c r="E56" s="71" t="n">
        <v>0.85</v>
      </c>
      <c r="F56" s="70" t="inlineStr">
        <is>
          <t>mortar</t>
        </is>
      </c>
      <c r="G56" s="70" t="n">
        <v>0.15</v>
      </c>
      <c r="H56" s="70" t="n"/>
      <c r="I56" s="70" t="n"/>
      <c r="J56" s="1" t="n"/>
      <c r="K56" s="88" t="n"/>
      <c r="L56" s="33">
        <f>COUNTIF(Components!$B$3:$B$302,A56)</f>
        <v/>
      </c>
      <c r="M56" s="33">
        <f>COUNTIF($A$3:$A$308,A56)</f>
        <v/>
      </c>
    </row>
    <row r="57" customFormat="1" s="29">
      <c r="A57" s="64">
        <f>UPPER(D57)
&amp;IF(F57&lt;&gt;"","_"&amp;UPPER(F57),"")
&amp;IF(H57&lt;&gt;"","_"&amp;UPPER(H57),"")
&amp;"_"&amp;TRIM(_xlfn.TEXTAFTER(B57,","))
&amp;"_"&amp;C57</f>
        <v/>
      </c>
      <c r="B57" s="33" t="n">
        <v>0.07000000000000001</v>
      </c>
      <c r="C57" s="65" t="inlineStr">
        <is>
          <t>C</t>
        </is>
      </c>
      <c r="D57" s="65" t="inlineStr">
        <is>
          <t>mineral_wool</t>
        </is>
      </c>
      <c r="E57" s="70" t="n">
        <v>0.9</v>
      </c>
      <c r="F57" s="70" t="inlineStr">
        <is>
          <t>wooden_stud</t>
        </is>
      </c>
      <c r="G57" s="70" t="n">
        <v>0.1</v>
      </c>
      <c r="H57" s="70" t="n"/>
      <c r="I57" s="70" t="n"/>
      <c r="J57" s="1" t="n"/>
      <c r="K57" s="88" t="n"/>
      <c r="L57" s="33">
        <f>COUNTIF(Components!$B$3:$B$302,A57)</f>
        <v/>
      </c>
      <c r="M57" s="33">
        <f>COUNTIF($A$3:$A$308,A57)</f>
        <v/>
      </c>
    </row>
    <row r="58" customFormat="1" s="29">
      <c r="A58" s="64">
        <f>UPPER(D58)
&amp;IF(F58&lt;&gt;"","_"&amp;UPPER(F58),"")
&amp;IF(H58&lt;&gt;"","_"&amp;UPPER(H58),"")
&amp;"_"&amp;TRIM(_xlfn.TEXTAFTER(B58,","))
&amp;"_"&amp;C58</f>
        <v/>
      </c>
      <c r="B58" s="85" t="n">
        <v>0.013</v>
      </c>
      <c r="C58" s="65" t="inlineStr">
        <is>
          <t>S</t>
        </is>
      </c>
      <c r="D58" s="65" t="inlineStr">
        <is>
          <t>gypsum_board</t>
        </is>
      </c>
      <c r="E58" s="70" t="n"/>
      <c r="F58" s="70" t="n"/>
      <c r="G58" s="70" t="n"/>
      <c r="H58" s="70" t="n"/>
      <c r="I58" s="70" t="n"/>
      <c r="J58" s="1" t="n"/>
      <c r="K58" s="88" t="n"/>
      <c r="L58" s="33">
        <f>COUNTIF(Components!$B$3:$B$302,A58)</f>
        <v/>
      </c>
      <c r="M58" s="33">
        <f>COUNTIF($A$3:$A$308,A58)</f>
        <v/>
      </c>
    </row>
    <row r="59" customFormat="1" s="29">
      <c r="A59" s="64">
        <f>UPPER(D59)
&amp;IF(F59&lt;&gt;"","_"&amp;UPPER(F59),"")
&amp;IF(H59&lt;&gt;"","_"&amp;UPPER(H59),"")
&amp;"_"&amp;TRIM(_xlfn.TEXTAFTER(B59,","))
&amp;"_"&amp;C59</f>
        <v/>
      </c>
      <c r="B59" s="42" t="n">
        <v>0.007</v>
      </c>
      <c r="C59" s="67" t="inlineStr">
        <is>
          <t>C</t>
        </is>
      </c>
      <c r="D59" s="67" t="inlineStr">
        <is>
          <t>mineral_wool</t>
        </is>
      </c>
      <c r="E59" s="72" t="n">
        <v>0.9</v>
      </c>
      <c r="F59" s="72" t="inlineStr">
        <is>
          <t>wooden_stud</t>
        </is>
      </c>
      <c r="G59" s="72" t="n">
        <v>0.1</v>
      </c>
      <c r="H59" s="72" t="n"/>
      <c r="I59" s="72" t="n"/>
      <c r="J59" s="89" t="n"/>
      <c r="K59" s="90" t="n"/>
      <c r="L59" s="33">
        <f>COUNTIF(Components!$B$3:$B$302,A59)</f>
        <v/>
      </c>
      <c r="M59" s="33">
        <f>COUNTIF($A$3:$A$308,A59)</f>
        <v/>
      </c>
    </row>
    <row r="60" customFormat="1" s="29">
      <c r="A60" s="64">
        <f>UPPER(D60)
&amp;IF(F60&lt;&gt;"","_"&amp;UPPER(F60),"")
&amp;IF(H60&lt;&gt;"","_"&amp;UPPER(H60),"")
&amp;"_"&amp;TRIM(_xlfn.TEXTAFTER(B60,","))
&amp;"_"&amp;C60</f>
        <v/>
      </c>
      <c r="B60" s="1" t="n">
        <v>0.002</v>
      </c>
      <c r="C60" s="65" t="inlineStr">
        <is>
          <t>S</t>
        </is>
      </c>
      <c r="D60" s="65" t="inlineStr">
        <is>
          <t>linoleum</t>
        </is>
      </c>
      <c r="E60" s="70" t="n"/>
      <c r="F60" s="70" t="n"/>
      <c r="G60" s="70" t="n"/>
      <c r="H60" s="70" t="n"/>
      <c r="I60" s="70" t="n"/>
      <c r="J60" s="1" t="n"/>
      <c r="K60" s="88" t="n"/>
      <c r="L60" s="33">
        <f>COUNTIF(Components!$B$3:$B$302,A60)</f>
        <v/>
      </c>
      <c r="M60" s="33">
        <f>COUNTIF($A$3:$A$308,A60)</f>
        <v/>
      </c>
    </row>
    <row r="61" customFormat="1" s="29">
      <c r="A61" s="64">
        <f>UPPER(D61)
&amp;IF(F61&lt;&gt;"","_"&amp;UPPER(F61),"")
&amp;IF(H61&lt;&gt;"","_"&amp;UPPER(H61),"")
&amp;"_"&amp;TRIM(_xlfn.TEXTAFTER(B61,","))
&amp;"_"&amp;C61</f>
        <v/>
      </c>
      <c r="B61" s="33" t="n">
        <v>0.013</v>
      </c>
      <c r="C61" s="65" t="inlineStr">
        <is>
          <t>S</t>
        </is>
      </c>
      <c r="D61" s="65" t="inlineStr">
        <is>
          <t>woodfiber_board</t>
        </is>
      </c>
      <c r="E61" s="70" t="n"/>
      <c r="F61" s="70" t="n"/>
      <c r="G61" s="70" t="n"/>
      <c r="H61" s="70" t="n"/>
      <c r="I61" s="70" t="n"/>
      <c r="J61" s="1" t="n"/>
      <c r="K61" s="88" t="n"/>
      <c r="L61" s="33">
        <f>COUNTIF(Components!$B$3:$B$302,A61)</f>
        <v/>
      </c>
      <c r="M61" s="33">
        <f>COUNTIF($A$3:$A$308,A61)</f>
        <v/>
      </c>
    </row>
    <row r="62" customFormat="1" s="29">
      <c r="A62" s="64">
        <f>UPPER(D62)
&amp;IF(F62&lt;&gt;"","_"&amp;UPPER(F62),"")
&amp;IF(H62&lt;&gt;"","_"&amp;UPPER(H62),"")
&amp;"_"&amp;TRIM(_xlfn.TEXTAFTER(B62,","))
&amp;"_"&amp;C62</f>
        <v/>
      </c>
      <c r="B62" s="33" t="n">
        <v>0.05</v>
      </c>
      <c r="C62" s="65" t="inlineStr">
        <is>
          <t>S</t>
        </is>
      </c>
      <c r="D62" s="65" t="inlineStr">
        <is>
          <t>concrete_mixed_with_sawdust</t>
        </is>
      </c>
      <c r="E62" s="70" t="n"/>
      <c r="F62" s="70" t="n"/>
      <c r="G62" s="70" t="n"/>
      <c r="H62" s="70" t="n"/>
      <c r="I62" s="70" t="n"/>
      <c r="J62" s="1" t="n"/>
      <c r="K62" s="88" t="n"/>
      <c r="L62" s="33">
        <f>COUNTIF(Components!$B$3:$B$302,A62)</f>
        <v/>
      </c>
      <c r="M62" s="33">
        <f>COUNTIF($A$3:$A$308,A62)</f>
        <v/>
      </c>
    </row>
    <row r="63" customFormat="1" s="29">
      <c r="A63" s="64">
        <f>UPPER(D63)
&amp;IF(F63&lt;&gt;"","_"&amp;UPPER(F63),"")
&amp;IF(H63&lt;&gt;"","_"&amp;UPPER(H63),"")
&amp;"_"&amp;TRIM(_xlfn.TEXTAFTER(B63,","))
&amp;"_"&amp;C63</f>
        <v/>
      </c>
      <c r="B63" s="33" t="n">
        <v>0.08</v>
      </c>
      <c r="C63" s="65" t="inlineStr">
        <is>
          <t>S</t>
        </is>
      </c>
      <c r="D63" s="65" t="inlineStr">
        <is>
          <t>coke_ash</t>
        </is>
      </c>
      <c r="E63" s="70" t="n"/>
      <c r="F63" s="70" t="n"/>
      <c r="G63" s="70" t="n"/>
      <c r="H63" s="70" t="n"/>
      <c r="I63" s="70" t="n"/>
      <c r="J63" s="1" t="n"/>
      <c r="K63" s="88" t="n"/>
      <c r="L63" s="33">
        <f>COUNTIF(Components!$B$3:$B$302,A63)</f>
        <v/>
      </c>
      <c r="M63" s="33">
        <f>COUNTIF($A$3:$A$308,A63)</f>
        <v/>
      </c>
    </row>
    <row r="64" customFormat="1" s="29">
      <c r="A64" s="64">
        <f>UPPER(D64)
&amp;IF(F64&lt;&gt;"","_"&amp;UPPER(F64),"")
&amp;IF(H64&lt;&gt;"","_"&amp;UPPER(H64),"")
&amp;"_"&amp;TRIM(_xlfn.TEXTAFTER(B64,","))
&amp;"_"&amp;C64</f>
        <v/>
      </c>
      <c r="B64" s="86" t="inlineStr">
        <is>
          <t>0,8</t>
        </is>
      </c>
      <c r="C64" s="65" t="inlineStr">
        <is>
          <t>S</t>
        </is>
      </c>
      <c r="D64" s="68" t="inlineStr">
        <is>
          <t>coke_ash</t>
        </is>
      </c>
      <c r="E64" s="70" t="n"/>
      <c r="F64" s="70" t="n"/>
      <c r="G64" s="70" t="n"/>
      <c r="H64" s="70" t="n"/>
      <c r="I64" s="70" t="n"/>
      <c r="J64" s="1" t="n"/>
      <c r="K64" s="88" t="n"/>
      <c r="L64" s="33">
        <f>COUNTIF(Components!$B$3:$B$302,A64)</f>
        <v/>
      </c>
      <c r="M64" s="33">
        <f>COUNTIF($A$3:$A$308,A64)</f>
        <v/>
      </c>
    </row>
    <row r="65" customFormat="1" s="29">
      <c r="A65" s="64">
        <f>UPPER(D65)
&amp;IF(F65&lt;&gt;"","_"&amp;UPPER(F65),"")
&amp;IF(H65&lt;&gt;"","_"&amp;UPPER(H65),"")
&amp;"_"&amp;TRIM(_xlfn.TEXTAFTER(B65,","))
&amp;"_"&amp;C65</f>
        <v/>
      </c>
      <c r="B65" s="43" t="inlineStr">
        <is>
          <t>0,05</t>
        </is>
      </c>
      <c r="C65" s="65" t="inlineStr">
        <is>
          <t>S</t>
        </is>
      </c>
      <c r="D65" s="69" t="inlineStr">
        <is>
          <t>concrete</t>
        </is>
      </c>
      <c r="E65" s="70" t="n"/>
      <c r="F65" s="70" t="n"/>
      <c r="G65" s="70" t="n"/>
      <c r="H65" s="70" t="n"/>
      <c r="I65" s="70" t="n"/>
      <c r="J65" s="1" t="n"/>
      <c r="K65" s="88" t="n"/>
      <c r="L65" s="33">
        <f>COUNTIF(Components!$B$3:$B$302,A65)</f>
        <v/>
      </c>
      <c r="M65" s="33">
        <f>COUNTIF($A$3:$A$308,A65)</f>
        <v/>
      </c>
    </row>
    <row r="66" customFormat="1" s="29">
      <c r="A66" s="64">
        <f>UPPER(D66)
&amp;IF(F66&lt;&gt;"","_"&amp;UPPER(F66),"")
&amp;IF(H66&lt;&gt;"","_"&amp;UPPER(H66),"")
&amp;"_"&amp;TRIM(_xlfn.TEXTAFTER(B66,","))
&amp;"_"&amp;C66</f>
        <v/>
      </c>
      <c r="B66" s="42" t="n">
        <v>0.05</v>
      </c>
      <c r="C66" s="67" t="inlineStr">
        <is>
          <t>S</t>
        </is>
      </c>
      <c r="D66" s="67" t="inlineStr">
        <is>
          <t>plaster</t>
        </is>
      </c>
      <c r="E66" s="72" t="n"/>
      <c r="F66" s="72" t="n"/>
      <c r="G66" s="72" t="n"/>
      <c r="H66" s="72" t="n"/>
      <c r="I66" s="72" t="n"/>
      <c r="J66" s="89" t="n"/>
      <c r="K66" s="90" t="n"/>
      <c r="L66" s="44">
        <f>COUNTIF(Components!$B$3:$B$302,A66)</f>
        <v/>
      </c>
      <c r="M66" s="33">
        <f>COUNTIF($A$3:$A$308,A66)</f>
        <v/>
      </c>
    </row>
    <row r="67" customFormat="1" s="29">
      <c r="A67" s="64">
        <f>UPPER(D67)
&amp;IF(F67&lt;&gt;"","_"&amp;UPPER(F67),"")
&amp;IF(H67&lt;&gt;"","_"&amp;UPPER(H67),"")
&amp;"_"&amp;TRIM(_xlfn.TEXTAFTER(B67,","))
&amp;"_"&amp;C67</f>
        <v/>
      </c>
      <c r="B67" s="42" t="n">
        <v>0.1</v>
      </c>
      <c r="C67" s="67" t="inlineStr">
        <is>
          <t>C</t>
        </is>
      </c>
      <c r="D67" s="67" t="inlineStr">
        <is>
          <t>lightweight_concrete</t>
        </is>
      </c>
      <c r="E67" s="72" t="n">
        <v>0.95</v>
      </c>
      <c r="F67" s="72" t="inlineStr">
        <is>
          <t>mortar</t>
        </is>
      </c>
      <c r="G67" s="72" t="n">
        <v>0.05</v>
      </c>
      <c r="H67" s="72" t="n"/>
      <c r="I67" s="72" t="n"/>
      <c r="J67" s="44" t="n"/>
      <c r="K67" s="91" t="n"/>
      <c r="L67" s="44">
        <f>COUNTIF(Components!$B$3:$B$302,A67)</f>
        <v/>
      </c>
      <c r="M67" s="33">
        <f>COUNTIF($A$3:$A$308,A67)</f>
        <v/>
      </c>
    </row>
    <row r="68" customFormat="1" s="29">
      <c r="A68" s="64">
        <f>UPPER(D68)
&amp;IF(F68&lt;&gt;"","_"&amp;UPPER(F68),"")
&amp;IF(H68&lt;&gt;"","_"&amp;UPPER(H68),"")
&amp;"_"&amp;TRIM(_xlfn.TEXTAFTER(B68,","))
&amp;"_"&amp;C68</f>
        <v/>
      </c>
      <c r="B68" s="42" t="n">
        <v>0.3</v>
      </c>
      <c r="C68" s="67" t="inlineStr">
        <is>
          <t>S</t>
        </is>
      </c>
      <c r="D68" s="67" t="inlineStr">
        <is>
          <t>concrete</t>
        </is>
      </c>
      <c r="E68" s="72" t="n"/>
      <c r="F68" s="72" t="n"/>
      <c r="G68" s="72" t="n"/>
      <c r="H68" s="72" t="n"/>
      <c r="I68" s="72" t="n"/>
      <c r="J68" s="44" t="n"/>
      <c r="K68" s="91" t="n"/>
      <c r="L68" s="44">
        <f>COUNTIF(Components!$B$3:$B$302,A68)</f>
        <v/>
      </c>
      <c r="M68" s="33">
        <f>COUNTIF($A$3:$A$308,A68)</f>
        <v/>
      </c>
    </row>
    <row r="69" customFormat="1" s="29">
      <c r="A69" s="64">
        <f>UPPER(D69)
&amp;IF(F69&lt;&gt;"","_"&amp;UPPER(F69),"")
&amp;IF(H69&lt;&gt;"","_"&amp;UPPER(H69),"")
&amp;"_"&amp;TRIM(_xlfn.TEXTAFTER(B69,","))
&amp;"_"&amp;C69</f>
        <v/>
      </c>
      <c r="B69" s="42" t="n">
        <v>0.08</v>
      </c>
      <c r="C69" s="67" t="inlineStr">
        <is>
          <t>S</t>
        </is>
      </c>
      <c r="D69" s="67" t="inlineStr">
        <is>
          <t>concrete</t>
        </is>
      </c>
      <c r="E69" s="72" t="n"/>
      <c r="F69" s="72" t="n"/>
      <c r="G69" s="72" t="n"/>
      <c r="H69" s="72" t="n"/>
      <c r="I69" s="72" t="n"/>
      <c r="J69" s="44" t="n"/>
      <c r="K69" s="91" t="n"/>
      <c r="L69" s="44">
        <f>COUNTIF(Components!$B$3:$B$302,A69)</f>
        <v/>
      </c>
      <c r="M69" s="33">
        <f>COUNTIF($A$3:$A$308,A69)</f>
        <v/>
      </c>
    </row>
    <row r="70" customFormat="1" s="29">
      <c r="A70" s="64">
        <f>UPPER(D70)
&amp;IF(F70&lt;&gt;"","_"&amp;UPPER(F70),"")
&amp;IF(H70&lt;&gt;"","_"&amp;UPPER(H70),"")
&amp;"_"&amp;TRIM(_xlfn.TEXTAFTER(B70,","))
&amp;"_"&amp;C70</f>
        <v/>
      </c>
      <c r="B70" s="42" t="n">
        <v>0.025</v>
      </c>
      <c r="C70" s="67" t="inlineStr">
        <is>
          <t>S</t>
        </is>
      </c>
      <c r="D70" s="67" t="inlineStr">
        <is>
          <t>wood_wool_board</t>
        </is>
      </c>
      <c r="E70" s="72" t="n"/>
      <c r="F70" s="72" t="n"/>
      <c r="G70" s="72" t="n"/>
      <c r="H70" s="72" t="n"/>
      <c r="I70" s="72" t="n"/>
      <c r="J70" s="44" t="n"/>
      <c r="K70" s="91" t="n"/>
      <c r="L70" s="44">
        <f>COUNTIF(Components!$B$3:$B$302,A70)</f>
        <v/>
      </c>
      <c r="M70" s="33">
        <f>COUNTIF($A$3:$A$308,A70)</f>
        <v/>
      </c>
    </row>
    <row r="71" customFormat="1" s="29">
      <c r="A71" s="64">
        <f>UPPER(D71)
&amp;IF(F71&lt;&gt;"","_"&amp;UPPER(F71),"")
&amp;IF(H71&lt;&gt;"","_"&amp;UPPER(H71),"")
&amp;"_"&amp;TRIM(_xlfn.TEXTAFTER(B71,","))
&amp;"_"&amp;C71</f>
        <v/>
      </c>
      <c r="B71" s="94" t="n">
        <v>0.23</v>
      </c>
      <c r="C71" s="65" t="inlineStr">
        <is>
          <t>S</t>
        </is>
      </c>
      <c r="D71" s="65" t="inlineStr">
        <is>
          <t>concrete</t>
        </is>
      </c>
      <c r="E71" s="70" t="n"/>
      <c r="F71" s="70" t="n"/>
      <c r="G71" s="70" t="n"/>
      <c r="H71" s="70" t="n"/>
      <c r="I71" s="70" t="n"/>
      <c r="J71" s="33" t="n"/>
      <c r="K71" s="95" t="n"/>
      <c r="L71" s="33">
        <f>COUNTIF(Components!$B$3:$B$302,A71)</f>
        <v/>
      </c>
      <c r="M71" s="33">
        <f>COUNTIF($A$3:$A$308,A71)</f>
        <v/>
      </c>
    </row>
    <row r="72" customFormat="1" s="29">
      <c r="A72" s="64">
        <f>UPPER(D72)
&amp;IF(F72&lt;&gt;"","_"&amp;UPPER(F72),"")
&amp;IF(H72&lt;&gt;"","_"&amp;UPPER(H72),"")
&amp;"_"&amp;TRIM(_xlfn.TEXTAFTER(B72,","))
&amp;"_"&amp;C72</f>
        <v/>
      </c>
      <c r="B72" s="94" t="n">
        <v>0.12</v>
      </c>
      <c r="C72" s="65" t="inlineStr">
        <is>
          <t>S</t>
        </is>
      </c>
      <c r="D72" s="65" t="inlineStr">
        <is>
          <t>mineral_wool_blanket</t>
        </is>
      </c>
      <c r="E72" s="70" t="n"/>
      <c r="F72" s="70" t="n"/>
      <c r="G72" s="70" t="n"/>
      <c r="H72" s="70" t="n"/>
      <c r="I72" s="70" t="n"/>
      <c r="J72" s="33" t="n"/>
      <c r="K72" s="95" t="n"/>
      <c r="L72" s="33">
        <f>COUNTIF(Components!$B$3:$B$302,A72)</f>
        <v/>
      </c>
      <c r="M72" s="33">
        <f>COUNTIF($A$3:$A$308,A72)</f>
        <v/>
      </c>
    </row>
    <row r="73" customFormat="1" s="29">
      <c r="A73" s="64">
        <f>UPPER(D73)
&amp;IF(F73&lt;&gt;"","_"&amp;UPPER(F73),"")
&amp;IF(H73&lt;&gt;"","_"&amp;UPPER(H73),"")
&amp;"_"&amp;TRIM(_xlfn.TEXTAFTER(B73,","))
&amp;"_"&amp;C73</f>
        <v/>
      </c>
      <c r="B73" s="94" t="n">
        <v>0.03</v>
      </c>
      <c r="C73" s="65" t="inlineStr">
        <is>
          <t>S</t>
        </is>
      </c>
      <c r="D73" s="65" t="inlineStr">
        <is>
          <t>mineral_wool_carpet</t>
        </is>
      </c>
      <c r="E73" s="70" t="n"/>
      <c r="F73" s="70" t="n"/>
      <c r="G73" s="70" t="n"/>
      <c r="H73" s="70" t="n"/>
      <c r="I73" s="70" t="n"/>
      <c r="J73" s="33" t="n"/>
      <c r="K73" s="95" t="n"/>
      <c r="L73" s="33">
        <f>COUNTIF(Components!$B$3:$B$302,A73)</f>
        <v/>
      </c>
      <c r="M73" s="33">
        <f>COUNTIF($A$3:$A$308,A73)</f>
        <v/>
      </c>
    </row>
    <row r="74" customFormat="1" s="29">
      <c r="A74" s="64">
        <f>UPPER(D74)
&amp;IF(F74&lt;&gt;"","_"&amp;UPPER(F74),"")
&amp;IF(H74&lt;&gt;"","_"&amp;UPPER(H74),"")
&amp;"_"&amp;TRIM(_xlfn.TEXTAFTER(B74,","))
&amp;"_"&amp;C74</f>
        <v/>
      </c>
      <c r="B74" s="94" t="n">
        <v>0.05</v>
      </c>
      <c r="C74" s="65" t="inlineStr">
        <is>
          <t>S</t>
        </is>
      </c>
      <c r="D74" s="65" t="inlineStr">
        <is>
          <t>sand</t>
        </is>
      </c>
      <c r="E74" s="70" t="n"/>
      <c r="F74" s="70" t="n"/>
      <c r="G74" s="70" t="n"/>
      <c r="H74" s="70" t="n"/>
      <c r="I74" s="70" t="n"/>
      <c r="J74" s="33" t="n"/>
      <c r="K74" s="95" t="n"/>
      <c r="L74" s="33">
        <f>COUNTIF(Components!$B$3:$B$302,A74)</f>
        <v/>
      </c>
      <c r="M74" s="33">
        <f>COUNTIF($A$3:$A$308,A74)</f>
        <v/>
      </c>
    </row>
    <row r="75" customFormat="1" s="29">
      <c r="A75" s="64">
        <f>UPPER(D75)
&amp;IF(F75&lt;&gt;"","_"&amp;UPPER(F75),"")
&amp;IF(H75&lt;&gt;"","_"&amp;UPPER(H75),"")
&amp;"_"&amp;TRIM(_xlfn.TEXTAFTER(B75,","))
&amp;"_"&amp;C75</f>
        <v/>
      </c>
      <c r="B75" s="94" t="n">
        <v>0.06</v>
      </c>
      <c r="C75" s="65" t="inlineStr">
        <is>
          <t>S</t>
        </is>
      </c>
      <c r="D75" s="65" t="inlineStr">
        <is>
          <t>cellular_plastic</t>
        </is>
      </c>
      <c r="E75" s="70" t="n"/>
      <c r="F75" s="70" t="n"/>
      <c r="G75" s="70" t="n"/>
      <c r="H75" s="70" t="n"/>
      <c r="I75" s="70" t="n"/>
      <c r="J75" s="33" t="n"/>
      <c r="K75" s="95" t="n"/>
      <c r="L75" s="33">
        <f>COUNTIF(Components!$B$3:$B$302,A75)</f>
        <v/>
      </c>
      <c r="M75" s="33">
        <f>COUNTIF($A$3:$A$308,A75)</f>
        <v/>
      </c>
    </row>
    <row r="76" customFormat="1" s="29">
      <c r="A76" s="64">
        <f>UPPER(D76)
&amp;IF(F76&lt;&gt;"","_"&amp;UPPER(F76),"")
&amp;IF(H76&lt;&gt;"","_"&amp;UPPER(H76),"")
&amp;"_"&amp;TRIM(_xlfn.TEXTAFTER(B76,","))
&amp;"_"&amp;C76</f>
        <v/>
      </c>
      <c r="B76" s="94" t="n">
        <v>0.15</v>
      </c>
      <c r="C76" s="65" t="inlineStr">
        <is>
          <t>S</t>
        </is>
      </c>
      <c r="D76" s="65" t="inlineStr">
        <is>
          <t>gravel</t>
        </is>
      </c>
      <c r="E76" s="70" t="n"/>
      <c r="F76" s="70" t="n"/>
      <c r="G76" s="70" t="n"/>
      <c r="H76" s="70" t="n"/>
      <c r="I76" s="70" t="n"/>
      <c r="J76" s="33" t="n"/>
      <c r="K76" s="95" t="n"/>
      <c r="L76" s="33">
        <f>COUNTIF(Components!$B$3:$B$302,A76)</f>
        <v/>
      </c>
      <c r="M76" s="33">
        <f>COUNTIF($A$3:$A$308,A76)</f>
        <v/>
      </c>
    </row>
    <row r="77" customFormat="1" s="29">
      <c r="A77" s="64">
        <f>UPPER(D77)
&amp;IF(F77&lt;&gt;"","_"&amp;UPPER(F77),"")
&amp;IF(H77&lt;&gt;"","_"&amp;UPPER(H77),"")
&amp;"_"&amp;TRIM(_xlfn.TEXTAFTER(B77,","))
&amp;"_"&amp;C77</f>
        <v/>
      </c>
      <c r="B77" s="94" t="n">
        <v>0.017</v>
      </c>
      <c r="C77" s="65" t="inlineStr">
        <is>
          <t>S</t>
        </is>
      </c>
      <c r="D77" s="65" t="inlineStr">
        <is>
          <t>plywood</t>
        </is>
      </c>
      <c r="E77" s="70" t="n"/>
      <c r="F77" s="70" t="n"/>
      <c r="G77" s="70" t="n"/>
      <c r="H77" s="70" t="n"/>
      <c r="I77" s="70" t="n"/>
      <c r="J77" s="33" t="n"/>
      <c r="K77" s="95" t="n"/>
      <c r="L77" s="33">
        <f>COUNTIF(Components!$B$3:$B$302,A77)</f>
        <v/>
      </c>
      <c r="M77" s="33">
        <f>COUNTIF($A$3:$A$308,A77)</f>
        <v/>
      </c>
    </row>
    <row r="78" customFormat="1" s="29">
      <c r="A78" s="64">
        <f>UPPER(D78)
&amp;IF(F78&lt;&gt;"","_"&amp;UPPER(F78),"")
&amp;IF(H78&lt;&gt;"","_"&amp;UPPER(H78),"")
&amp;"_"&amp;TRIM(_xlfn.TEXTAFTER(B78,","))
&amp;"_"&amp;C78</f>
        <v/>
      </c>
      <c r="B78" s="94" t="n">
        <v>0.3</v>
      </c>
      <c r="C78" s="65" t="inlineStr">
        <is>
          <t>S</t>
        </is>
      </c>
      <c r="D78" s="65" t="inlineStr">
        <is>
          <t>mineral_wool</t>
        </is>
      </c>
      <c r="E78" s="70" t="n"/>
      <c r="F78" s="70" t="n"/>
      <c r="G78" s="70" t="n"/>
      <c r="H78" s="70" t="n"/>
      <c r="I78" s="70" t="n"/>
      <c r="J78" s="33" t="n"/>
      <c r="K78" s="95" t="n"/>
      <c r="L78" s="33">
        <f>COUNTIF(Components!$B$3:$B$302,A78)</f>
        <v/>
      </c>
      <c r="M78" s="33">
        <f>COUNTIF($A$3:$A$308,A78)</f>
        <v/>
      </c>
    </row>
    <row r="79" customFormat="1" s="29">
      <c r="A79" s="64">
        <f>UPPER(D79)
&amp;IF(F79&lt;&gt;"","_"&amp;UPPER(F79),"")
&amp;IF(H79&lt;&gt;"","_"&amp;UPPER(H79),"")
&amp;"_"&amp;TRIM(_xlfn.TEXTAFTER(B79,","))
&amp;"_"&amp;C79</f>
        <v/>
      </c>
      <c r="B79" s="33" t="n">
        <v>0.19</v>
      </c>
      <c r="C79" s="65" t="inlineStr">
        <is>
          <t>S</t>
        </is>
      </c>
      <c r="D79" s="65" t="inlineStr">
        <is>
          <t>concrete</t>
        </is>
      </c>
      <c r="E79" s="70" t="n"/>
      <c r="F79" s="70" t="n"/>
      <c r="G79" s="70" t="n"/>
      <c r="H79" s="70" t="n"/>
      <c r="I79" s="70" t="n"/>
      <c r="J79" s="33" t="n"/>
      <c r="K79" s="33" t="n"/>
      <c r="L79" s="33" t="n"/>
      <c r="M79" s="33">
        <f>COUNTIF($A$3:$A$308,A79)</f>
        <v/>
      </c>
    </row>
    <row r="80" customFormat="1" s="29">
      <c r="A80" s="64">
        <f>UPPER(D80)
&amp;IF(F80&lt;&gt;"","_"&amp;UPPER(F80),"")
&amp;IF(H80&lt;&gt;"","_"&amp;UPPER(H80),"")
&amp;"_"&amp;TRIM(_xlfn.TEXTAFTER(B80,","))
&amp;"_"&amp;C80</f>
        <v/>
      </c>
      <c r="B80" s="33" t="n">
        <v>0.3</v>
      </c>
      <c r="C80" s="65" t="inlineStr">
        <is>
          <t>C</t>
        </is>
      </c>
      <c r="D80" s="65" t="inlineStr">
        <is>
          <t>lightweight_concrete</t>
        </is>
      </c>
      <c r="E80" s="70" t="n">
        <v>0.95</v>
      </c>
      <c r="F80" s="70" t="inlineStr">
        <is>
          <t>mortar</t>
        </is>
      </c>
      <c r="G80" s="70" t="n">
        <v>0.05</v>
      </c>
      <c r="H80" s="70" t="n"/>
      <c r="I80" s="70" t="n"/>
      <c r="J80" s="33" t="n"/>
      <c r="K80" s="33" t="n"/>
      <c r="L80" s="33" t="n"/>
      <c r="M80" s="33">
        <f>COUNTIF($A$3:$A$308,A80)</f>
        <v/>
      </c>
    </row>
    <row r="81" customFormat="1" s="29">
      <c r="A81" s="64">
        <f>UPPER(D81)
&amp;IF(F81&lt;&gt;"","_"&amp;UPPER(F81),"")
&amp;IF(H81&lt;&gt;"","_"&amp;UPPER(H81),"")
&amp;"_"&amp;TRIM(_xlfn.TEXTAFTER(B81,","))
&amp;"_"&amp;C81</f>
        <v/>
      </c>
      <c r="B81" s="33" t="n">
        <v>0.05</v>
      </c>
      <c r="C81" s="65" t="inlineStr">
        <is>
          <t>C</t>
        </is>
      </c>
      <c r="D81" s="65" t="inlineStr">
        <is>
          <t>air_gap</t>
        </is>
      </c>
      <c r="E81" s="70" t="n">
        <v>0.95</v>
      </c>
      <c r="F81" s="70" t="inlineStr">
        <is>
          <t>wooden_rafter</t>
        </is>
      </c>
      <c r="G81" s="70" t="n">
        <v>0.05</v>
      </c>
      <c r="H81" s="70" t="n"/>
      <c r="I81" s="70" t="n"/>
      <c r="J81" s="33" t="n"/>
      <c r="K81" s="33" t="n"/>
      <c r="L81" s="33" t="n"/>
      <c r="M81" s="33">
        <f>COUNTIF($A$3:$A$308,A81)</f>
        <v/>
      </c>
    </row>
    <row r="82" customFormat="1" s="29">
      <c r="A82" s="64">
        <f>UPPER(D82)
&amp;IF(F82&lt;&gt;"","_"&amp;UPPER(F82),"")
&amp;IF(H82&lt;&gt;"","_"&amp;UPPER(H82),"")
&amp;"_"&amp;TRIM(_xlfn.TEXTAFTER(B82,","))
&amp;"_"&amp;C82</f>
        <v/>
      </c>
      <c r="B82" s="33" t="n">
        <v>0.2</v>
      </c>
      <c r="C82" s="65" t="inlineStr">
        <is>
          <t>S</t>
        </is>
      </c>
      <c r="D82" s="65" t="inlineStr">
        <is>
          <t>sand</t>
        </is>
      </c>
      <c r="E82" s="70" t="n"/>
      <c r="F82" s="70" t="n"/>
      <c r="G82" s="70" t="n"/>
      <c r="H82" s="70" t="n"/>
      <c r="I82" s="70" t="n"/>
      <c r="J82" s="33" t="n"/>
      <c r="K82" s="33" t="n"/>
      <c r="L82" s="33" t="n"/>
      <c r="M82" s="33">
        <f>COUNTIF($A$3:$A$308,A82)</f>
        <v/>
      </c>
    </row>
    <row r="83" customFormat="1" s="29">
      <c r="A83" t="inlineStr">
        <is>
          <t>CELLULAR_PLASTIC_085_S</t>
        </is>
      </c>
      <c r="B83" t="n">
        <v>0.08500000000000001</v>
      </c>
      <c r="C83" t="inlineStr">
        <is>
          <t>S</t>
        </is>
      </c>
      <c r="D83" t="inlineStr">
        <is>
          <t>cellular_plastic</t>
        </is>
      </c>
      <c r="J83" t="inlineStr">
        <is>
          <t>85mm XPS/EPS under slab. BETSI/TABULA 1961-75 target U=0.26</t>
        </is>
      </c>
    </row>
    <row r="84" customFormat="1" s="29"/>
    <row r="85" customFormat="1" s="29"/>
    <row r="86" customFormat="1" s="29"/>
    <row r="87" customFormat="1" s="29"/>
    <row r="88" customFormat="1" s="29"/>
    <row r="89" customFormat="1" s="29"/>
    <row r="90" customFormat="1" s="29"/>
    <row r="91" customFormat="1" s="29"/>
    <row r="92" customFormat="1" s="29"/>
    <row r="93" customFormat="1" s="29"/>
    <row r="94" customFormat="1" s="29"/>
    <row r="95" customFormat="1" s="29"/>
    <row r="96" customFormat="1" s="29"/>
    <row r="97" customFormat="1" s="29"/>
    <row r="98" customFormat="1" s="29"/>
    <row r="99" customFormat="1" s="29"/>
    <row r="100" customFormat="1" s="29"/>
    <row r="101" customFormat="1" s="29"/>
    <row r="102" customFormat="1" s="29"/>
    <row r="103" customFormat="1" s="29"/>
    <row r="104" customFormat="1" s="29"/>
    <row r="105" customFormat="1" s="29"/>
    <row r="106" customFormat="1" s="29"/>
    <row r="107" customFormat="1" s="29"/>
    <row r="108" customFormat="1" s="29"/>
    <row r="109" customFormat="1" s="29"/>
    <row r="110" customFormat="1" s="29"/>
    <row r="111" customFormat="1" s="29"/>
    <row r="112" customFormat="1" s="29"/>
    <row r="113" customFormat="1" s="29"/>
    <row r="114" customFormat="1" s="29"/>
    <row r="115" customFormat="1" s="29"/>
    <row r="116" customFormat="1" s="29"/>
    <row r="117" customFormat="1" s="29"/>
    <row r="118" customFormat="1" s="29"/>
    <row r="119" customFormat="1" s="29"/>
    <row r="120" customFormat="1" s="29"/>
    <row r="121" customFormat="1" s="29"/>
    <row r="122" customFormat="1" s="29"/>
    <row r="123" customFormat="1" s="29"/>
    <row r="124" customFormat="1" s="29"/>
    <row r="125" customFormat="1" s="29"/>
    <row r="126" customFormat="1" s="29"/>
    <row r="127" customFormat="1" s="29"/>
    <row r="128" customFormat="1" s="29"/>
    <row r="129" customFormat="1" s="29"/>
    <row r="130" customFormat="1" s="29"/>
    <row r="131" customFormat="1" s="29"/>
    <row r="132" customFormat="1" s="29"/>
    <row r="133" customFormat="1" s="29"/>
    <row r="134" customFormat="1" s="29"/>
    <row r="135" customFormat="1" s="29"/>
    <row r="136" customFormat="1" s="29"/>
    <row r="137" customFormat="1" s="29"/>
    <row r="138" customFormat="1" s="29"/>
    <row r="139" customFormat="1" s="29"/>
    <row r="140" customFormat="1" s="29"/>
    <row r="141" customFormat="1" s="29"/>
    <row r="142" customFormat="1" s="29"/>
    <row r="143" customFormat="1" s="29"/>
    <row r="144" customFormat="1" s="29"/>
    <row r="145" customFormat="1" s="29"/>
    <row r="146" customFormat="1" s="29"/>
    <row r="147" customFormat="1" s="29"/>
    <row r="148" customFormat="1" s="29"/>
    <row r="149" customFormat="1" s="29"/>
    <row r="150" customFormat="1" s="29"/>
    <row r="151" customFormat="1" s="29"/>
    <row r="152" customFormat="1" s="29"/>
    <row r="153" customFormat="1" s="29"/>
    <row r="154" customFormat="1" s="29"/>
    <row r="155" customFormat="1" s="29"/>
    <row r="156" customFormat="1" s="29"/>
    <row r="157" customFormat="1" s="29"/>
    <row r="158" customFormat="1" s="29"/>
    <row r="159" customFormat="1" s="29"/>
    <row r="160" customFormat="1" s="29"/>
    <row r="161" customFormat="1" s="29"/>
    <row r="162" customFormat="1" s="29"/>
    <row r="163" customFormat="1" s="29"/>
    <row r="164" customFormat="1" s="29"/>
    <row r="165" customFormat="1" s="29"/>
    <row r="166" customFormat="1" s="29"/>
    <row r="167" customFormat="1" s="29"/>
    <row r="168" customFormat="1" s="29"/>
    <row r="169" customFormat="1" s="29"/>
    <row r="170" customFormat="1" s="29"/>
    <row r="171" customFormat="1" s="29"/>
    <row r="172" customFormat="1" s="29"/>
    <row r="173" customFormat="1" s="29"/>
    <row r="174" customFormat="1" s="29"/>
    <row r="175" customFormat="1" s="29"/>
    <row r="176" customFormat="1" s="29"/>
    <row r="177" customFormat="1" s="29"/>
    <row r="178" customFormat="1" s="29"/>
    <row r="179" customFormat="1" s="29"/>
    <row r="180" customFormat="1" s="29"/>
    <row r="181" customFormat="1" s="29"/>
    <row r="182" customFormat="1" s="29"/>
    <row r="183" customFormat="1" s="29"/>
    <row r="184" customFormat="1" s="29"/>
    <row r="185" customFormat="1" s="29"/>
    <row r="186" customFormat="1" s="29"/>
    <row r="187" customFormat="1" s="29"/>
    <row r="188" customFormat="1" s="29"/>
    <row r="189" customFormat="1" s="29"/>
    <row r="190" customFormat="1" s="29"/>
    <row r="191" customFormat="1" s="29"/>
    <row r="192" customFormat="1" s="29"/>
    <row r="193" customFormat="1" s="29"/>
    <row r="194" customFormat="1" s="29"/>
    <row r="195" customFormat="1" s="29"/>
    <row r="196" customFormat="1" s="29"/>
    <row r="197" customFormat="1" s="29"/>
    <row r="198" customFormat="1" s="29"/>
    <row r="199" customFormat="1" s="29"/>
    <row r="200" customFormat="1" s="29"/>
    <row r="201" customFormat="1" s="29"/>
    <row r="202">
      <c r="A202" s="29" t="n"/>
      <c r="B202" s="29" t="n"/>
      <c r="C202" s="29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  <c r="AA202" s="29" t="n"/>
      <c r="AB202" s="29" t="n"/>
      <c r="AC202" s="29" t="n"/>
      <c r="AD202" s="29" t="n"/>
      <c r="AE202" s="29" t="n"/>
      <c r="AF202" s="29" t="n"/>
      <c r="AG202" s="29" t="n"/>
      <c r="AH202" s="29" t="n"/>
      <c r="AI202" s="29" t="n"/>
    </row>
    <row r="203">
      <c r="A203" s="29" t="n"/>
      <c r="B203" s="29" t="n"/>
      <c r="C203" s="29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  <c r="AA203" s="29" t="n"/>
      <c r="AB203" s="29" t="n"/>
      <c r="AC203" s="29" t="n"/>
      <c r="AD203" s="29" t="n"/>
      <c r="AE203" s="29" t="n"/>
      <c r="AF203" s="29" t="n"/>
      <c r="AG203" s="29" t="n"/>
      <c r="AH203" s="29" t="n"/>
      <c r="AI203" s="29" t="n"/>
    </row>
    <row r="204">
      <c r="A204" s="29" t="n"/>
      <c r="B204" s="29" t="n"/>
      <c r="C204" s="29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  <c r="AA204" s="29" t="n"/>
      <c r="AB204" s="29" t="n"/>
      <c r="AC204" s="29" t="n"/>
      <c r="AD204" s="29" t="n"/>
      <c r="AE204" s="29" t="n"/>
      <c r="AF204" s="29" t="n"/>
      <c r="AG204" s="29" t="n"/>
      <c r="AH204" s="29" t="n"/>
      <c r="AI204" s="29" t="n"/>
    </row>
    <row r="205">
      <c r="A205" s="29" t="n"/>
      <c r="B205" s="29" t="n"/>
      <c r="C205" s="29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  <c r="AA205" s="29" t="n"/>
      <c r="AB205" s="29" t="n"/>
      <c r="AC205" s="29" t="n"/>
      <c r="AD205" s="29" t="n"/>
      <c r="AE205" s="29" t="n"/>
      <c r="AF205" s="29" t="n"/>
      <c r="AG205" s="29" t="n"/>
      <c r="AH205" s="29" t="n"/>
      <c r="AI205" s="29" t="n"/>
    </row>
    <row r="206">
      <c r="A206" s="29" t="n"/>
      <c r="B206" s="29" t="n"/>
      <c r="C206" s="29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  <c r="AA206" s="29" t="n"/>
      <c r="AB206" s="29" t="n"/>
      <c r="AC206" s="29" t="n"/>
      <c r="AD206" s="29" t="n"/>
      <c r="AE206" s="29" t="n"/>
      <c r="AF206" s="29" t="n"/>
      <c r="AG206" s="29" t="n"/>
      <c r="AH206" s="29" t="n"/>
      <c r="AI206" s="29" t="n"/>
    </row>
    <row r="207">
      <c r="A207" s="29" t="n"/>
      <c r="B207" s="29" t="n"/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  <c r="AA207" s="29" t="n"/>
      <c r="AB207" s="29" t="n"/>
      <c r="AC207" s="29" t="n"/>
      <c r="AD207" s="29" t="n"/>
      <c r="AE207" s="29" t="n"/>
      <c r="AF207" s="29" t="n"/>
      <c r="AG207" s="29" t="n"/>
      <c r="AH207" s="29" t="n"/>
      <c r="AI207" s="29" t="n"/>
    </row>
    <row r="208">
      <c r="A208" s="29" t="n"/>
      <c r="B208" s="29" t="n"/>
      <c r="C208" s="29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  <c r="AA208" s="29" t="n"/>
      <c r="AB208" s="29" t="n"/>
      <c r="AC208" s="29" t="n"/>
      <c r="AD208" s="29" t="n"/>
      <c r="AE208" s="29" t="n"/>
      <c r="AF208" s="29" t="n"/>
      <c r="AG208" s="29" t="n"/>
      <c r="AH208" s="29" t="n"/>
      <c r="AI208" s="29" t="n"/>
    </row>
    <row r="209">
      <c r="A209" s="29" t="n"/>
      <c r="B209" s="29" t="n"/>
      <c r="C209" s="29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  <c r="AA209" s="29" t="n"/>
      <c r="AB209" s="29" t="n"/>
      <c r="AC209" s="29" t="n"/>
      <c r="AD209" s="29" t="n"/>
      <c r="AE209" s="29" t="n"/>
      <c r="AF209" s="29" t="n"/>
      <c r="AG209" s="29" t="n"/>
      <c r="AH209" s="29" t="n"/>
      <c r="AI209" s="29" t="n"/>
    </row>
    <row r="210"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  <c r="AA210" s="29" t="n"/>
      <c r="AB210" s="29" t="n"/>
      <c r="AC210" s="29" t="n"/>
      <c r="AD210" s="29" t="n"/>
      <c r="AE210" s="29" t="n"/>
      <c r="AF210" s="29" t="n"/>
      <c r="AG210" s="29" t="n"/>
      <c r="AH210" s="29" t="n"/>
      <c r="AI210" s="29" t="n"/>
    </row>
    <row r="211"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  <c r="AA211" s="29" t="n"/>
      <c r="AB211" s="29" t="n"/>
      <c r="AC211" s="29" t="n"/>
      <c r="AD211" s="29" t="n"/>
      <c r="AE211" s="29" t="n"/>
      <c r="AF211" s="29" t="n"/>
      <c r="AG211" s="29" t="n"/>
      <c r="AH211" s="29" t="n"/>
      <c r="AI211" s="29" t="n"/>
    </row>
    <row r="212"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  <c r="AA212" s="29" t="n"/>
      <c r="AB212" s="29" t="n"/>
      <c r="AC212" s="29" t="n"/>
      <c r="AD212" s="29" t="n"/>
      <c r="AE212" s="29" t="n"/>
      <c r="AF212" s="29" t="n"/>
      <c r="AG212" s="29" t="n"/>
      <c r="AH212" s="29" t="n"/>
      <c r="AI212" s="29" t="n"/>
    </row>
    <row r="213"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  <c r="AA213" s="29" t="n"/>
      <c r="AB213" s="29" t="n"/>
      <c r="AC213" s="29" t="n"/>
      <c r="AD213" s="29" t="n"/>
      <c r="AE213" s="29" t="n"/>
      <c r="AF213" s="29" t="n"/>
      <c r="AG213" s="29" t="n"/>
      <c r="AH213" s="29" t="n"/>
      <c r="AI213" s="29" t="n"/>
    </row>
    <row r="214"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  <c r="AA214" s="29" t="n"/>
      <c r="AB214" s="29" t="n"/>
      <c r="AC214" s="29" t="n"/>
      <c r="AD214" s="29" t="n"/>
      <c r="AE214" s="29" t="n"/>
      <c r="AF214" s="29" t="n"/>
      <c r="AG214" s="29" t="n"/>
      <c r="AH214" s="29" t="n"/>
      <c r="AI214" s="29" t="n"/>
    </row>
    <row r="215"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  <c r="AA215" s="29" t="n"/>
      <c r="AB215" s="29" t="n"/>
      <c r="AC215" s="29" t="n"/>
      <c r="AD215" s="29" t="n"/>
      <c r="AE215" s="29" t="n"/>
      <c r="AF215" s="29" t="n"/>
      <c r="AG215" s="29" t="n"/>
      <c r="AH215" s="29" t="n"/>
      <c r="AI215" s="29" t="n"/>
    </row>
    <row r="216"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  <c r="AA216" s="29" t="n"/>
      <c r="AB216" s="29" t="n"/>
      <c r="AC216" s="29" t="n"/>
      <c r="AD216" s="29" t="n"/>
      <c r="AE216" s="29" t="n"/>
      <c r="AF216" s="29" t="n"/>
      <c r="AG216" s="29" t="n"/>
      <c r="AH216" s="29" t="n"/>
      <c r="AI216" s="29" t="n"/>
    </row>
    <row r="217"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  <c r="AA217" s="29" t="n"/>
      <c r="AB217" s="29" t="n"/>
      <c r="AC217" s="29" t="n"/>
      <c r="AD217" s="29" t="n"/>
      <c r="AE217" s="29" t="n"/>
      <c r="AF217" s="29" t="n"/>
      <c r="AG217" s="29" t="n"/>
      <c r="AH217" s="29" t="n"/>
      <c r="AI217" s="29" t="n"/>
    </row>
    <row r="218"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  <c r="AA218" s="29" t="n"/>
      <c r="AB218" s="29" t="n"/>
      <c r="AC218" s="29" t="n"/>
      <c r="AD218" s="29" t="n"/>
      <c r="AE218" s="29" t="n"/>
      <c r="AF218" s="29" t="n"/>
      <c r="AG218" s="29" t="n"/>
      <c r="AH218" s="29" t="n"/>
      <c r="AI218" s="29" t="n"/>
    </row>
    <row r="219"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  <c r="AA219" s="29" t="n"/>
      <c r="AB219" s="29" t="n"/>
      <c r="AC219" s="29" t="n"/>
      <c r="AD219" s="29" t="n"/>
      <c r="AE219" s="29" t="n"/>
      <c r="AF219" s="29" t="n"/>
      <c r="AG219" s="29" t="n"/>
      <c r="AH219" s="29" t="n"/>
      <c r="AI219" s="29" t="n"/>
    </row>
    <row r="220"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  <c r="AA220" s="29" t="n"/>
      <c r="AB220" s="29" t="n"/>
      <c r="AC220" s="29" t="n"/>
      <c r="AD220" s="29" t="n"/>
      <c r="AE220" s="29" t="n"/>
      <c r="AF220" s="29" t="n"/>
      <c r="AG220" s="29" t="n"/>
      <c r="AH220" s="29" t="n"/>
      <c r="AI220" s="29" t="n"/>
    </row>
    <row r="221"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  <c r="AA221" s="29" t="n"/>
      <c r="AB221" s="29" t="n"/>
      <c r="AC221" s="29" t="n"/>
      <c r="AD221" s="29" t="n"/>
      <c r="AE221" s="29" t="n"/>
      <c r="AF221" s="29" t="n"/>
      <c r="AG221" s="29" t="n"/>
      <c r="AH221" s="29" t="n"/>
      <c r="AI221" s="29" t="n"/>
    </row>
    <row r="222"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  <c r="AA222" s="29" t="n"/>
      <c r="AB222" s="29" t="n"/>
      <c r="AC222" s="29" t="n"/>
      <c r="AD222" s="29" t="n"/>
      <c r="AE222" s="29" t="n"/>
      <c r="AF222" s="29" t="n"/>
      <c r="AG222" s="29" t="n"/>
      <c r="AH222" s="29" t="n"/>
      <c r="AI222" s="29" t="n"/>
    </row>
    <row r="223"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  <c r="AA223" s="29" t="n"/>
      <c r="AB223" s="29" t="n"/>
      <c r="AC223" s="29" t="n"/>
      <c r="AD223" s="29" t="n"/>
      <c r="AE223" s="29" t="n"/>
      <c r="AF223" s="29" t="n"/>
      <c r="AG223" s="29" t="n"/>
      <c r="AH223" s="29" t="n"/>
      <c r="AI223" s="29" t="n"/>
    </row>
    <row r="224"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  <c r="AA224" s="29" t="n"/>
      <c r="AB224" s="29" t="n"/>
      <c r="AC224" s="29" t="n"/>
      <c r="AD224" s="29" t="n"/>
      <c r="AE224" s="29" t="n"/>
      <c r="AF224" s="29" t="n"/>
      <c r="AG224" s="29" t="n"/>
      <c r="AH224" s="29" t="n"/>
      <c r="AI224" s="29" t="n"/>
    </row>
    <row r="225"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  <c r="AA225" s="29" t="n"/>
      <c r="AB225" s="29" t="n"/>
      <c r="AC225" s="29" t="n"/>
      <c r="AD225" s="29" t="n"/>
      <c r="AE225" s="29" t="n"/>
      <c r="AF225" s="29" t="n"/>
      <c r="AG225" s="29" t="n"/>
      <c r="AH225" s="29" t="n"/>
      <c r="AI225" s="29" t="n"/>
    </row>
    <row r="226"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  <c r="AA226" s="29" t="n"/>
      <c r="AB226" s="29" t="n"/>
      <c r="AC226" s="29" t="n"/>
      <c r="AD226" s="29" t="n"/>
      <c r="AE226" s="29" t="n"/>
      <c r="AF226" s="29" t="n"/>
      <c r="AG226" s="29" t="n"/>
      <c r="AH226" s="29" t="n"/>
      <c r="AI226" s="29" t="n"/>
    </row>
    <row r="227"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  <c r="AA227" s="29" t="n"/>
      <c r="AB227" s="29" t="n"/>
      <c r="AC227" s="29" t="n"/>
      <c r="AD227" s="29" t="n"/>
      <c r="AE227" s="29" t="n"/>
      <c r="AF227" s="29" t="n"/>
      <c r="AG227" s="29" t="n"/>
      <c r="AH227" s="29" t="n"/>
      <c r="AI227" s="29" t="n"/>
    </row>
    <row r="228"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  <c r="AA228" s="29" t="n"/>
      <c r="AB228" s="29" t="n"/>
      <c r="AC228" s="29" t="n"/>
      <c r="AD228" s="29" t="n"/>
      <c r="AE228" s="29" t="n"/>
      <c r="AF228" s="29" t="n"/>
      <c r="AG228" s="29" t="n"/>
      <c r="AH228" s="29" t="n"/>
      <c r="AI228" s="29" t="n"/>
    </row>
    <row r="229"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  <c r="AA229" s="29" t="n"/>
      <c r="AB229" s="29" t="n"/>
      <c r="AC229" s="29" t="n"/>
      <c r="AD229" s="29" t="n"/>
      <c r="AE229" s="29" t="n"/>
      <c r="AF229" s="29" t="n"/>
      <c r="AG229" s="29" t="n"/>
      <c r="AH229" s="29" t="n"/>
      <c r="AI229" s="29" t="n"/>
    </row>
    <row r="230"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  <c r="AA230" s="29" t="n"/>
      <c r="AB230" s="29" t="n"/>
      <c r="AC230" s="29" t="n"/>
      <c r="AD230" s="29" t="n"/>
      <c r="AE230" s="29" t="n"/>
      <c r="AF230" s="29" t="n"/>
      <c r="AG230" s="29" t="n"/>
      <c r="AH230" s="29" t="n"/>
      <c r="AI230" s="29" t="n"/>
    </row>
    <row r="231"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  <c r="AA231" s="29" t="n"/>
      <c r="AB231" s="29" t="n"/>
      <c r="AC231" s="29" t="n"/>
      <c r="AD231" s="29" t="n"/>
      <c r="AE231" s="29" t="n"/>
      <c r="AF231" s="29" t="n"/>
      <c r="AG231" s="29" t="n"/>
      <c r="AH231" s="29" t="n"/>
      <c r="AI231" s="29" t="n"/>
    </row>
    <row r="232"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  <c r="AA232" s="29" t="n"/>
      <c r="AB232" s="29" t="n"/>
      <c r="AC232" s="29" t="n"/>
      <c r="AD232" s="29" t="n"/>
      <c r="AE232" s="29" t="n"/>
      <c r="AF232" s="29" t="n"/>
      <c r="AG232" s="29" t="n"/>
      <c r="AH232" s="29" t="n"/>
      <c r="AI232" s="29" t="n"/>
    </row>
    <row r="233"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  <c r="AA233" s="29" t="n"/>
      <c r="AB233" s="29" t="n"/>
      <c r="AC233" s="29" t="n"/>
      <c r="AD233" s="29" t="n"/>
      <c r="AE233" s="29" t="n"/>
      <c r="AF233" s="29" t="n"/>
      <c r="AG233" s="29" t="n"/>
      <c r="AH233" s="29" t="n"/>
      <c r="AI233" s="29" t="n"/>
    </row>
    <row r="234"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  <c r="AA234" s="29" t="n"/>
      <c r="AB234" s="29" t="n"/>
      <c r="AC234" s="29" t="n"/>
      <c r="AD234" s="29" t="n"/>
      <c r="AE234" s="29" t="n"/>
      <c r="AF234" s="29" t="n"/>
      <c r="AG234" s="29" t="n"/>
      <c r="AH234" s="29" t="n"/>
      <c r="AI234" s="29" t="n"/>
    </row>
    <row r="235"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  <c r="AA235" s="29" t="n"/>
      <c r="AB235" s="29" t="n"/>
      <c r="AC235" s="29" t="n"/>
      <c r="AD235" s="29" t="n"/>
      <c r="AE235" s="29" t="n"/>
      <c r="AF235" s="29" t="n"/>
      <c r="AG235" s="29" t="n"/>
      <c r="AH235" s="29" t="n"/>
      <c r="AI235" s="29" t="n"/>
    </row>
    <row r="236"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  <c r="AA236" s="29" t="n"/>
      <c r="AB236" s="29" t="n"/>
      <c r="AC236" s="29" t="n"/>
      <c r="AD236" s="29" t="n"/>
      <c r="AE236" s="29" t="n"/>
      <c r="AF236" s="29" t="n"/>
      <c r="AG236" s="29" t="n"/>
      <c r="AH236" s="29" t="n"/>
      <c r="AI236" s="29" t="n"/>
    </row>
    <row r="237"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  <c r="AA237" s="29" t="n"/>
      <c r="AB237" s="29" t="n"/>
      <c r="AC237" s="29" t="n"/>
      <c r="AD237" s="29" t="n"/>
      <c r="AE237" s="29" t="n"/>
      <c r="AF237" s="29" t="n"/>
      <c r="AG237" s="29" t="n"/>
      <c r="AH237" s="29" t="n"/>
      <c r="AI237" s="29" t="n"/>
    </row>
    <row r="238"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  <c r="AA238" s="29" t="n"/>
      <c r="AB238" s="29" t="n"/>
      <c r="AC238" s="29" t="n"/>
      <c r="AD238" s="29" t="n"/>
      <c r="AE238" s="29" t="n"/>
      <c r="AF238" s="29" t="n"/>
      <c r="AG238" s="29" t="n"/>
      <c r="AH238" s="29" t="n"/>
      <c r="AI238" s="29" t="n"/>
    </row>
    <row r="239"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  <c r="AA239" s="29" t="n"/>
      <c r="AB239" s="29" t="n"/>
      <c r="AC239" s="29" t="n"/>
      <c r="AD239" s="29" t="n"/>
      <c r="AE239" s="29" t="n"/>
      <c r="AF239" s="29" t="n"/>
      <c r="AG239" s="29" t="n"/>
      <c r="AH239" s="29" t="n"/>
      <c r="AI239" s="29" t="n"/>
    </row>
    <row r="240"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  <c r="AA240" s="29" t="n"/>
      <c r="AB240" s="29" t="n"/>
      <c r="AC240" s="29" t="n"/>
      <c r="AD240" s="29" t="n"/>
      <c r="AE240" s="29" t="n"/>
      <c r="AF240" s="29" t="n"/>
      <c r="AG240" s="29" t="n"/>
      <c r="AH240" s="29" t="n"/>
      <c r="AI240" s="29" t="n"/>
    </row>
    <row r="241"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  <c r="AA241" s="29" t="n"/>
      <c r="AB241" s="29" t="n"/>
      <c r="AC241" s="29" t="n"/>
      <c r="AD241" s="29" t="n"/>
      <c r="AE241" s="29" t="n"/>
      <c r="AF241" s="29" t="n"/>
      <c r="AG241" s="29" t="n"/>
      <c r="AH241" s="29" t="n"/>
      <c r="AI241" s="29" t="n"/>
    </row>
    <row r="242"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  <c r="AA242" s="29" t="n"/>
      <c r="AB242" s="29" t="n"/>
      <c r="AC242" s="29" t="n"/>
      <c r="AD242" s="29" t="n"/>
      <c r="AE242" s="29" t="n"/>
      <c r="AF242" s="29" t="n"/>
      <c r="AG242" s="29" t="n"/>
      <c r="AH242" s="29" t="n"/>
      <c r="AI242" s="29" t="n"/>
    </row>
    <row r="243"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  <c r="AA243" s="29" t="n"/>
      <c r="AB243" s="29" t="n"/>
      <c r="AC243" s="29" t="n"/>
      <c r="AD243" s="29" t="n"/>
      <c r="AE243" s="29" t="n"/>
      <c r="AF243" s="29" t="n"/>
      <c r="AG243" s="29" t="n"/>
      <c r="AH243" s="29" t="n"/>
      <c r="AI243" s="29" t="n"/>
    </row>
    <row r="244"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  <c r="AA244" s="29" t="n"/>
      <c r="AB244" s="29" t="n"/>
      <c r="AC244" s="29" t="n"/>
      <c r="AD244" s="29" t="n"/>
      <c r="AE244" s="29" t="n"/>
      <c r="AF244" s="29" t="n"/>
      <c r="AG244" s="29" t="n"/>
      <c r="AH244" s="29" t="n"/>
      <c r="AI244" s="29" t="n"/>
    </row>
    <row r="245"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  <c r="AA245" s="29" t="n"/>
      <c r="AB245" s="29" t="n"/>
      <c r="AC245" s="29" t="n"/>
      <c r="AD245" s="29" t="n"/>
      <c r="AE245" s="29" t="n"/>
      <c r="AF245" s="29" t="n"/>
      <c r="AG245" s="29" t="n"/>
      <c r="AH245" s="29" t="n"/>
      <c r="AI245" s="29" t="n"/>
    </row>
    <row r="246"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  <c r="AA246" s="29" t="n"/>
      <c r="AB246" s="29" t="n"/>
      <c r="AC246" s="29" t="n"/>
      <c r="AD246" s="29" t="n"/>
      <c r="AE246" s="29" t="n"/>
      <c r="AF246" s="29" t="n"/>
      <c r="AG246" s="29" t="n"/>
      <c r="AH246" s="29" t="n"/>
      <c r="AI246" s="29" t="n"/>
    </row>
    <row r="247"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  <c r="AA247" s="29" t="n"/>
      <c r="AB247" s="29" t="n"/>
      <c r="AC247" s="29" t="n"/>
      <c r="AD247" s="29" t="n"/>
      <c r="AE247" s="29" t="n"/>
      <c r="AF247" s="29" t="n"/>
      <c r="AG247" s="29" t="n"/>
      <c r="AH247" s="29" t="n"/>
      <c r="AI247" s="29" t="n"/>
    </row>
    <row r="248"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  <c r="AA248" s="29" t="n"/>
      <c r="AB248" s="29" t="n"/>
      <c r="AC248" s="29" t="n"/>
      <c r="AD248" s="29" t="n"/>
      <c r="AE248" s="29" t="n"/>
      <c r="AF248" s="29" t="n"/>
      <c r="AG248" s="29" t="n"/>
      <c r="AH248" s="29" t="n"/>
      <c r="AI248" s="29" t="n"/>
    </row>
    <row r="249"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  <c r="AA249" s="29" t="n"/>
      <c r="AB249" s="29" t="n"/>
      <c r="AC249" s="29" t="n"/>
      <c r="AD249" s="29" t="n"/>
      <c r="AE249" s="29" t="n"/>
      <c r="AF249" s="29" t="n"/>
      <c r="AG249" s="29" t="n"/>
      <c r="AH249" s="29" t="n"/>
      <c r="AI249" s="29" t="n"/>
    </row>
    <row r="250"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9" t="n"/>
      <c r="AC250" s="29" t="n"/>
      <c r="AD250" s="29" t="n"/>
      <c r="AE250" s="29" t="n"/>
      <c r="AF250" s="29" t="n"/>
      <c r="AG250" s="29" t="n"/>
      <c r="AH250" s="29" t="n"/>
      <c r="AI250" s="29" t="n"/>
    </row>
    <row r="251"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9" t="n"/>
      <c r="AC251" s="29" t="n"/>
      <c r="AD251" s="29" t="n"/>
      <c r="AE251" s="29" t="n"/>
      <c r="AF251" s="29" t="n"/>
      <c r="AG251" s="29" t="n"/>
      <c r="AH251" s="29" t="n"/>
      <c r="AI251" s="29" t="n"/>
    </row>
    <row r="252"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  <c r="AA252" s="29" t="n"/>
      <c r="AB252" s="29" t="n"/>
      <c r="AC252" s="29" t="n"/>
      <c r="AD252" s="29" t="n"/>
      <c r="AE252" s="29" t="n"/>
      <c r="AF252" s="29" t="n"/>
      <c r="AG252" s="29" t="n"/>
      <c r="AH252" s="29" t="n"/>
      <c r="AI252" s="29" t="n"/>
    </row>
    <row r="253"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  <c r="AA253" s="29" t="n"/>
      <c r="AB253" s="29" t="n"/>
      <c r="AC253" s="29" t="n"/>
      <c r="AD253" s="29" t="n"/>
      <c r="AE253" s="29" t="n"/>
      <c r="AF253" s="29" t="n"/>
      <c r="AG253" s="29" t="n"/>
      <c r="AH253" s="29" t="n"/>
      <c r="AI253" s="29" t="n"/>
    </row>
    <row r="254"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  <c r="AA254" s="29" t="n"/>
      <c r="AB254" s="29" t="n"/>
      <c r="AC254" s="29" t="n"/>
      <c r="AD254" s="29" t="n"/>
      <c r="AE254" s="29" t="n"/>
      <c r="AF254" s="29" t="n"/>
      <c r="AG254" s="29" t="n"/>
      <c r="AH254" s="29" t="n"/>
      <c r="AI254" s="29" t="n"/>
    </row>
    <row r="255"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  <c r="AA255" s="29" t="n"/>
      <c r="AB255" s="29" t="n"/>
      <c r="AC255" s="29" t="n"/>
      <c r="AD255" s="29" t="n"/>
      <c r="AE255" s="29" t="n"/>
      <c r="AF255" s="29" t="n"/>
      <c r="AG255" s="29" t="n"/>
      <c r="AH255" s="29" t="n"/>
      <c r="AI255" s="29" t="n"/>
    </row>
    <row r="256"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  <c r="AA256" s="29" t="n"/>
      <c r="AB256" s="29" t="n"/>
      <c r="AC256" s="29" t="n"/>
      <c r="AD256" s="29" t="n"/>
      <c r="AE256" s="29" t="n"/>
      <c r="AF256" s="29" t="n"/>
      <c r="AG256" s="29" t="n"/>
      <c r="AH256" s="29" t="n"/>
      <c r="AI256" s="29" t="n"/>
    </row>
    <row r="257"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  <c r="AA257" s="29" t="n"/>
      <c r="AB257" s="29" t="n"/>
      <c r="AC257" s="29" t="n"/>
      <c r="AD257" s="29" t="n"/>
      <c r="AE257" s="29" t="n"/>
      <c r="AF257" s="29" t="n"/>
      <c r="AG257" s="29" t="n"/>
      <c r="AH257" s="29" t="n"/>
      <c r="AI257" s="29" t="n"/>
    </row>
    <row r="258"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  <c r="AA258" s="29" t="n"/>
      <c r="AB258" s="29" t="n"/>
      <c r="AC258" s="29" t="n"/>
      <c r="AD258" s="29" t="n"/>
      <c r="AE258" s="29" t="n"/>
      <c r="AF258" s="29" t="n"/>
      <c r="AG258" s="29" t="n"/>
      <c r="AH258" s="29" t="n"/>
      <c r="AI258" s="29" t="n"/>
    </row>
    <row r="259"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  <c r="AA259" s="29" t="n"/>
      <c r="AB259" s="29" t="n"/>
      <c r="AC259" s="29" t="n"/>
      <c r="AD259" s="29" t="n"/>
      <c r="AE259" s="29" t="n"/>
      <c r="AF259" s="29" t="n"/>
      <c r="AG259" s="29" t="n"/>
      <c r="AH259" s="29" t="n"/>
      <c r="AI259" s="29" t="n"/>
    </row>
    <row r="260"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  <c r="AA260" s="29" t="n"/>
      <c r="AB260" s="29" t="n"/>
      <c r="AC260" s="29" t="n"/>
      <c r="AD260" s="29" t="n"/>
      <c r="AE260" s="29" t="n"/>
      <c r="AF260" s="29" t="n"/>
      <c r="AG260" s="29" t="n"/>
      <c r="AH260" s="29" t="n"/>
      <c r="AI260" s="29" t="n"/>
    </row>
    <row r="261"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  <c r="AA261" s="29" t="n"/>
      <c r="AB261" s="29" t="n"/>
      <c r="AC261" s="29" t="n"/>
      <c r="AD261" s="29" t="n"/>
      <c r="AE261" s="29" t="n"/>
      <c r="AF261" s="29" t="n"/>
      <c r="AG261" s="29" t="n"/>
      <c r="AH261" s="29" t="n"/>
      <c r="AI261" s="29" t="n"/>
    </row>
    <row r="262"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  <c r="AA262" s="29" t="n"/>
      <c r="AB262" s="29" t="n"/>
      <c r="AC262" s="29" t="n"/>
      <c r="AD262" s="29" t="n"/>
      <c r="AE262" s="29" t="n"/>
      <c r="AF262" s="29" t="n"/>
      <c r="AG262" s="29" t="n"/>
      <c r="AH262" s="29" t="n"/>
      <c r="AI262" s="29" t="n"/>
    </row>
    <row r="263"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  <c r="AA263" s="29" t="n"/>
      <c r="AB263" s="29" t="n"/>
      <c r="AC263" s="29" t="n"/>
      <c r="AD263" s="29" t="n"/>
      <c r="AE263" s="29" t="n"/>
      <c r="AF263" s="29" t="n"/>
      <c r="AG263" s="29" t="n"/>
      <c r="AH263" s="29" t="n"/>
      <c r="AI263" s="29" t="n"/>
    </row>
    <row r="264"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  <c r="AA264" s="29" t="n"/>
      <c r="AB264" s="29" t="n"/>
      <c r="AC264" s="29" t="n"/>
      <c r="AD264" s="29" t="n"/>
      <c r="AE264" s="29" t="n"/>
      <c r="AF264" s="29" t="n"/>
      <c r="AG264" s="29" t="n"/>
      <c r="AH264" s="29" t="n"/>
      <c r="AI264" s="29" t="n"/>
    </row>
    <row r="265"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  <c r="AA265" s="29" t="n"/>
      <c r="AB265" s="29" t="n"/>
      <c r="AC265" s="29" t="n"/>
      <c r="AD265" s="29" t="n"/>
      <c r="AE265" s="29" t="n"/>
      <c r="AF265" s="29" t="n"/>
      <c r="AG265" s="29" t="n"/>
      <c r="AH265" s="29" t="n"/>
      <c r="AI265" s="29" t="n"/>
    </row>
    <row r="266"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  <c r="AA266" s="29" t="n"/>
      <c r="AB266" s="29" t="n"/>
      <c r="AC266" s="29" t="n"/>
      <c r="AD266" s="29" t="n"/>
      <c r="AE266" s="29" t="n"/>
      <c r="AF266" s="29" t="n"/>
      <c r="AG266" s="29" t="n"/>
      <c r="AH266" s="29" t="n"/>
      <c r="AI266" s="29" t="n"/>
    </row>
    <row r="267"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  <c r="AA267" s="29" t="n"/>
      <c r="AB267" s="29" t="n"/>
      <c r="AC267" s="29" t="n"/>
      <c r="AD267" s="29" t="n"/>
      <c r="AE267" s="29" t="n"/>
      <c r="AF267" s="29" t="n"/>
      <c r="AG267" s="29" t="n"/>
      <c r="AH267" s="29" t="n"/>
      <c r="AI267" s="29" t="n"/>
    </row>
    <row r="268"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  <c r="AA268" s="29" t="n"/>
      <c r="AB268" s="29" t="n"/>
      <c r="AC268" s="29" t="n"/>
      <c r="AD268" s="29" t="n"/>
      <c r="AE268" s="29" t="n"/>
      <c r="AF268" s="29" t="n"/>
      <c r="AG268" s="29" t="n"/>
      <c r="AH268" s="29" t="n"/>
      <c r="AI268" s="29" t="n"/>
    </row>
    <row r="269"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  <c r="AA269" s="29" t="n"/>
      <c r="AB269" s="29" t="n"/>
      <c r="AC269" s="29" t="n"/>
      <c r="AD269" s="29" t="n"/>
      <c r="AE269" s="29" t="n"/>
      <c r="AF269" s="29" t="n"/>
      <c r="AG269" s="29" t="n"/>
      <c r="AH269" s="29" t="n"/>
      <c r="AI269" s="29" t="n"/>
    </row>
    <row r="270"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  <c r="AA270" s="29" t="n"/>
      <c r="AB270" s="29" t="n"/>
      <c r="AC270" s="29" t="n"/>
      <c r="AD270" s="29" t="n"/>
      <c r="AE270" s="29" t="n"/>
      <c r="AF270" s="29" t="n"/>
      <c r="AG270" s="29" t="n"/>
      <c r="AH270" s="29" t="n"/>
      <c r="AI270" s="29" t="n"/>
    </row>
    <row r="271"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  <c r="AA271" s="29" t="n"/>
      <c r="AB271" s="29" t="n"/>
      <c r="AC271" s="29" t="n"/>
      <c r="AD271" s="29" t="n"/>
      <c r="AE271" s="29" t="n"/>
      <c r="AF271" s="29" t="n"/>
      <c r="AG271" s="29" t="n"/>
      <c r="AH271" s="29" t="n"/>
      <c r="AI271" s="29" t="n"/>
    </row>
    <row r="272"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  <c r="AA272" s="29" t="n"/>
      <c r="AB272" s="29" t="n"/>
      <c r="AC272" s="29" t="n"/>
      <c r="AD272" s="29" t="n"/>
      <c r="AE272" s="29" t="n"/>
      <c r="AF272" s="29" t="n"/>
      <c r="AG272" s="29" t="n"/>
      <c r="AH272" s="29" t="n"/>
      <c r="AI272" s="29" t="n"/>
    </row>
    <row r="273"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  <c r="AA273" s="29" t="n"/>
      <c r="AB273" s="29" t="n"/>
      <c r="AC273" s="29" t="n"/>
      <c r="AD273" s="29" t="n"/>
      <c r="AE273" s="29" t="n"/>
      <c r="AF273" s="29" t="n"/>
      <c r="AG273" s="29" t="n"/>
      <c r="AH273" s="29" t="n"/>
      <c r="AI273" s="29" t="n"/>
    </row>
    <row r="274"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  <c r="AA274" s="29" t="n"/>
      <c r="AB274" s="29" t="n"/>
      <c r="AC274" s="29" t="n"/>
      <c r="AD274" s="29" t="n"/>
      <c r="AE274" s="29" t="n"/>
      <c r="AF274" s="29" t="n"/>
      <c r="AG274" s="29" t="n"/>
      <c r="AH274" s="29" t="n"/>
      <c r="AI274" s="29" t="n"/>
    </row>
    <row r="275"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  <c r="AA275" s="29" t="n"/>
      <c r="AB275" s="29" t="n"/>
      <c r="AC275" s="29" t="n"/>
      <c r="AD275" s="29" t="n"/>
      <c r="AE275" s="29" t="n"/>
      <c r="AF275" s="29" t="n"/>
      <c r="AG275" s="29" t="n"/>
      <c r="AH275" s="29" t="n"/>
      <c r="AI275" s="29" t="n"/>
    </row>
    <row r="276"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  <c r="AA276" s="29" t="n"/>
      <c r="AB276" s="29" t="n"/>
      <c r="AC276" s="29" t="n"/>
      <c r="AD276" s="29" t="n"/>
      <c r="AE276" s="29" t="n"/>
      <c r="AF276" s="29" t="n"/>
      <c r="AG276" s="29" t="n"/>
      <c r="AH276" s="29" t="n"/>
      <c r="AI276" s="29" t="n"/>
    </row>
    <row r="277"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  <c r="AA277" s="29" t="n"/>
      <c r="AB277" s="29" t="n"/>
      <c r="AC277" s="29" t="n"/>
      <c r="AD277" s="29" t="n"/>
      <c r="AE277" s="29" t="n"/>
      <c r="AF277" s="29" t="n"/>
      <c r="AG277" s="29" t="n"/>
      <c r="AH277" s="29" t="n"/>
      <c r="AI277" s="29" t="n"/>
    </row>
    <row r="278"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  <c r="AA278" s="29" t="n"/>
      <c r="AB278" s="29" t="n"/>
      <c r="AC278" s="29" t="n"/>
      <c r="AD278" s="29" t="n"/>
      <c r="AE278" s="29" t="n"/>
      <c r="AF278" s="29" t="n"/>
      <c r="AG278" s="29" t="n"/>
      <c r="AH278" s="29" t="n"/>
      <c r="AI278" s="29" t="n"/>
    </row>
    <row r="279"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  <c r="AA279" s="29" t="n"/>
      <c r="AB279" s="29" t="n"/>
      <c r="AC279" s="29" t="n"/>
      <c r="AD279" s="29" t="n"/>
      <c r="AE279" s="29" t="n"/>
      <c r="AF279" s="29" t="n"/>
      <c r="AG279" s="29" t="n"/>
      <c r="AH279" s="29" t="n"/>
      <c r="AI279" s="29" t="n"/>
    </row>
    <row r="280"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  <c r="AA280" s="29" t="n"/>
      <c r="AB280" s="29" t="n"/>
      <c r="AC280" s="29" t="n"/>
      <c r="AD280" s="29" t="n"/>
      <c r="AE280" s="29" t="n"/>
      <c r="AF280" s="29" t="n"/>
      <c r="AG280" s="29" t="n"/>
      <c r="AH280" s="29" t="n"/>
      <c r="AI280" s="29" t="n"/>
    </row>
    <row r="281"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  <c r="AA281" s="29" t="n"/>
      <c r="AB281" s="29" t="n"/>
      <c r="AC281" s="29" t="n"/>
      <c r="AD281" s="29" t="n"/>
      <c r="AE281" s="29" t="n"/>
      <c r="AF281" s="29" t="n"/>
      <c r="AG281" s="29" t="n"/>
      <c r="AH281" s="29" t="n"/>
      <c r="AI281" s="29" t="n"/>
    </row>
    <row r="282"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  <c r="AA282" s="29" t="n"/>
      <c r="AB282" s="29" t="n"/>
      <c r="AC282" s="29" t="n"/>
      <c r="AD282" s="29" t="n"/>
      <c r="AE282" s="29" t="n"/>
      <c r="AF282" s="29" t="n"/>
      <c r="AG282" s="29" t="n"/>
      <c r="AH282" s="29" t="n"/>
      <c r="AI282" s="29" t="n"/>
    </row>
    <row r="283"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  <c r="AA283" s="29" t="n"/>
      <c r="AB283" s="29" t="n"/>
      <c r="AC283" s="29" t="n"/>
      <c r="AD283" s="29" t="n"/>
      <c r="AE283" s="29" t="n"/>
      <c r="AF283" s="29" t="n"/>
      <c r="AG283" s="29" t="n"/>
      <c r="AH283" s="29" t="n"/>
      <c r="AI283" s="29" t="n"/>
    </row>
    <row r="284"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  <c r="AA284" s="29" t="n"/>
      <c r="AB284" s="29" t="n"/>
      <c r="AC284" s="29" t="n"/>
      <c r="AD284" s="29" t="n"/>
      <c r="AE284" s="29" t="n"/>
      <c r="AF284" s="29" t="n"/>
      <c r="AG284" s="29" t="n"/>
      <c r="AH284" s="29" t="n"/>
      <c r="AI284" s="29" t="n"/>
    </row>
    <row r="285"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  <c r="AA285" s="29" t="n"/>
      <c r="AB285" s="29" t="n"/>
      <c r="AC285" s="29" t="n"/>
      <c r="AD285" s="29" t="n"/>
      <c r="AE285" s="29" t="n"/>
      <c r="AF285" s="29" t="n"/>
      <c r="AG285" s="29" t="n"/>
      <c r="AH285" s="29" t="n"/>
      <c r="AI285" s="29" t="n"/>
    </row>
    <row r="286"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  <c r="AA286" s="29" t="n"/>
      <c r="AB286" s="29" t="n"/>
      <c r="AC286" s="29" t="n"/>
      <c r="AD286" s="29" t="n"/>
      <c r="AE286" s="29" t="n"/>
      <c r="AF286" s="29" t="n"/>
      <c r="AG286" s="29" t="n"/>
      <c r="AH286" s="29" t="n"/>
      <c r="AI286" s="29" t="n"/>
    </row>
    <row r="287"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  <c r="AA287" s="29" t="n"/>
      <c r="AB287" s="29" t="n"/>
      <c r="AC287" s="29" t="n"/>
      <c r="AD287" s="29" t="n"/>
      <c r="AE287" s="29" t="n"/>
      <c r="AF287" s="29" t="n"/>
      <c r="AG287" s="29" t="n"/>
      <c r="AH287" s="29" t="n"/>
      <c r="AI287" s="29" t="n"/>
    </row>
    <row r="288"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  <c r="AA288" s="29" t="n"/>
      <c r="AB288" s="29" t="n"/>
      <c r="AC288" s="29" t="n"/>
      <c r="AD288" s="29" t="n"/>
      <c r="AE288" s="29" t="n"/>
      <c r="AF288" s="29" t="n"/>
      <c r="AG288" s="29" t="n"/>
      <c r="AH288" s="29" t="n"/>
      <c r="AI288" s="29" t="n"/>
    </row>
    <row r="289"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  <c r="AA289" s="29" t="n"/>
      <c r="AB289" s="29" t="n"/>
      <c r="AC289" s="29" t="n"/>
      <c r="AD289" s="29" t="n"/>
      <c r="AE289" s="29" t="n"/>
      <c r="AF289" s="29" t="n"/>
      <c r="AG289" s="29" t="n"/>
      <c r="AH289" s="29" t="n"/>
      <c r="AI289" s="29" t="n"/>
    </row>
    <row r="290"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  <c r="AA290" s="29" t="n"/>
      <c r="AB290" s="29" t="n"/>
      <c r="AC290" s="29" t="n"/>
      <c r="AD290" s="29" t="n"/>
      <c r="AE290" s="29" t="n"/>
      <c r="AF290" s="29" t="n"/>
      <c r="AG290" s="29" t="n"/>
      <c r="AH290" s="29" t="n"/>
      <c r="AI290" s="29" t="n"/>
    </row>
    <row r="291"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  <c r="AA291" s="29" t="n"/>
      <c r="AB291" s="29" t="n"/>
      <c r="AC291" s="29" t="n"/>
      <c r="AD291" s="29" t="n"/>
      <c r="AE291" s="29" t="n"/>
      <c r="AF291" s="29" t="n"/>
      <c r="AG291" s="29" t="n"/>
      <c r="AH291" s="29" t="n"/>
      <c r="AI291" s="29" t="n"/>
    </row>
    <row r="292"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  <c r="AA292" s="29" t="n"/>
      <c r="AB292" s="29" t="n"/>
      <c r="AC292" s="29" t="n"/>
      <c r="AD292" s="29" t="n"/>
      <c r="AE292" s="29" t="n"/>
      <c r="AF292" s="29" t="n"/>
      <c r="AG292" s="29" t="n"/>
      <c r="AH292" s="29" t="n"/>
      <c r="AI292" s="29" t="n"/>
    </row>
    <row r="293"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  <c r="AA293" s="29" t="n"/>
      <c r="AB293" s="29" t="n"/>
      <c r="AC293" s="29" t="n"/>
      <c r="AD293" s="29" t="n"/>
      <c r="AE293" s="29" t="n"/>
      <c r="AF293" s="29" t="n"/>
      <c r="AG293" s="29" t="n"/>
      <c r="AH293" s="29" t="n"/>
      <c r="AI293" s="29" t="n"/>
    </row>
    <row r="294"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  <c r="AA294" s="29" t="n"/>
      <c r="AB294" s="29" t="n"/>
      <c r="AC294" s="29" t="n"/>
      <c r="AD294" s="29" t="n"/>
      <c r="AE294" s="29" t="n"/>
      <c r="AF294" s="29" t="n"/>
      <c r="AG294" s="29" t="n"/>
      <c r="AH294" s="29" t="n"/>
      <c r="AI294" s="29" t="n"/>
    </row>
    <row r="295"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  <c r="AA295" s="29" t="n"/>
      <c r="AB295" s="29" t="n"/>
      <c r="AC295" s="29" t="n"/>
      <c r="AD295" s="29" t="n"/>
      <c r="AE295" s="29" t="n"/>
      <c r="AF295" s="29" t="n"/>
      <c r="AG295" s="29" t="n"/>
      <c r="AH295" s="29" t="n"/>
      <c r="AI295" s="29" t="n"/>
    </row>
    <row r="296"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  <c r="AA296" s="29" t="n"/>
      <c r="AB296" s="29" t="n"/>
      <c r="AC296" s="29" t="n"/>
      <c r="AD296" s="29" t="n"/>
      <c r="AE296" s="29" t="n"/>
      <c r="AF296" s="29" t="n"/>
      <c r="AG296" s="29" t="n"/>
      <c r="AH296" s="29" t="n"/>
      <c r="AI296" s="29" t="n"/>
    </row>
    <row r="297"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  <c r="AA297" s="29" t="n"/>
      <c r="AB297" s="29" t="n"/>
      <c r="AC297" s="29" t="n"/>
      <c r="AD297" s="29" t="n"/>
      <c r="AE297" s="29" t="n"/>
      <c r="AF297" s="29" t="n"/>
      <c r="AG297" s="29" t="n"/>
      <c r="AH297" s="29" t="n"/>
      <c r="AI297" s="29" t="n"/>
    </row>
    <row r="298"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  <c r="AA298" s="29" t="n"/>
      <c r="AB298" s="29" t="n"/>
      <c r="AC298" s="29" t="n"/>
      <c r="AD298" s="29" t="n"/>
      <c r="AE298" s="29" t="n"/>
      <c r="AF298" s="29" t="n"/>
      <c r="AG298" s="29" t="n"/>
      <c r="AH298" s="29" t="n"/>
      <c r="AI298" s="29" t="n"/>
    </row>
    <row r="299"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  <c r="AA299" s="29" t="n"/>
      <c r="AB299" s="29" t="n"/>
      <c r="AC299" s="29" t="n"/>
      <c r="AD299" s="29" t="n"/>
      <c r="AE299" s="29" t="n"/>
      <c r="AF299" s="29" t="n"/>
      <c r="AG299" s="29" t="n"/>
      <c r="AH299" s="29" t="n"/>
      <c r="AI299" s="29" t="n"/>
    </row>
    <row r="300"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  <c r="AA300" s="29" t="n"/>
      <c r="AB300" s="29" t="n"/>
      <c r="AC300" s="29" t="n"/>
      <c r="AD300" s="29" t="n"/>
      <c r="AE300" s="29" t="n"/>
      <c r="AF300" s="29" t="n"/>
      <c r="AG300" s="29" t="n"/>
      <c r="AH300" s="29" t="n"/>
      <c r="AI300" s="29" t="n"/>
    </row>
    <row r="301"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  <c r="AA301" s="29" t="n"/>
      <c r="AB301" s="29" t="n"/>
      <c r="AC301" s="29" t="n"/>
      <c r="AD301" s="29" t="n"/>
      <c r="AE301" s="29" t="n"/>
      <c r="AF301" s="29" t="n"/>
      <c r="AG301" s="29" t="n"/>
      <c r="AH301" s="29" t="n"/>
      <c r="AI301" s="29" t="n"/>
    </row>
    <row r="302"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  <c r="AA302" s="29" t="n"/>
      <c r="AB302" s="29" t="n"/>
      <c r="AC302" s="29" t="n"/>
      <c r="AD302" s="29" t="n"/>
      <c r="AE302" s="29" t="n"/>
      <c r="AF302" s="29" t="n"/>
      <c r="AG302" s="29" t="n"/>
      <c r="AH302" s="29" t="n"/>
      <c r="AI302" s="29" t="n"/>
    </row>
    <row r="303"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  <c r="AA303" s="29" t="n"/>
      <c r="AB303" s="29" t="n"/>
      <c r="AC303" s="29" t="n"/>
      <c r="AD303" s="29" t="n"/>
      <c r="AE303" s="29" t="n"/>
      <c r="AF303" s="29" t="n"/>
      <c r="AG303" s="29" t="n"/>
      <c r="AH303" s="29" t="n"/>
      <c r="AI303" s="29" t="n"/>
    </row>
    <row r="304"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  <c r="AA304" s="29" t="n"/>
      <c r="AB304" s="29" t="n"/>
      <c r="AC304" s="29" t="n"/>
      <c r="AD304" s="29" t="n"/>
      <c r="AE304" s="29" t="n"/>
      <c r="AF304" s="29" t="n"/>
      <c r="AG304" s="29" t="n"/>
      <c r="AH304" s="29" t="n"/>
      <c r="AI304" s="29" t="n"/>
    </row>
    <row r="305"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  <c r="AA305" s="29" t="n"/>
      <c r="AB305" s="29" t="n"/>
      <c r="AC305" s="29" t="n"/>
      <c r="AD305" s="29" t="n"/>
      <c r="AE305" s="29" t="n"/>
      <c r="AF305" s="29" t="n"/>
      <c r="AG305" s="29" t="n"/>
      <c r="AH305" s="29" t="n"/>
      <c r="AI305" s="29" t="n"/>
    </row>
    <row r="306"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  <c r="AA306" s="29" t="n"/>
      <c r="AB306" s="29" t="n"/>
      <c r="AC306" s="29" t="n"/>
      <c r="AD306" s="29" t="n"/>
      <c r="AE306" s="29" t="n"/>
      <c r="AF306" s="29" t="n"/>
      <c r="AG306" s="29" t="n"/>
      <c r="AH306" s="29" t="n"/>
      <c r="AI306" s="29" t="n"/>
    </row>
    <row r="307"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  <c r="AA307" s="29" t="n"/>
      <c r="AB307" s="29" t="n"/>
      <c r="AC307" s="29" t="n"/>
      <c r="AD307" s="29" t="n"/>
      <c r="AE307" s="29" t="n"/>
      <c r="AF307" s="29" t="n"/>
      <c r="AG307" s="29" t="n"/>
      <c r="AH307" s="29" t="n"/>
      <c r="AI307" s="29" t="n"/>
    </row>
    <row r="308"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  <c r="AA308" s="29" t="n"/>
      <c r="AB308" s="29" t="n"/>
      <c r="AC308" s="29" t="n"/>
      <c r="AD308" s="29" t="n"/>
      <c r="AE308" s="29" t="n"/>
      <c r="AF308" s="29" t="n"/>
      <c r="AG308" s="29" t="n"/>
      <c r="AH308" s="29" t="n"/>
      <c r="AI308" s="29" t="n"/>
    </row>
    <row r="309"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  <c r="AA309" s="29" t="n"/>
      <c r="AB309" s="29" t="n"/>
      <c r="AC309" s="29" t="n"/>
      <c r="AD309" s="29" t="n"/>
      <c r="AE309" s="29" t="n"/>
      <c r="AF309" s="29" t="n"/>
      <c r="AG309" s="29" t="n"/>
      <c r="AH309" s="29" t="n"/>
      <c r="AI309" s="29" t="n"/>
    </row>
    <row r="310"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  <c r="AA310" s="29" t="n"/>
      <c r="AB310" s="29" t="n"/>
      <c r="AC310" s="29" t="n"/>
      <c r="AD310" s="29" t="n"/>
      <c r="AE310" s="29" t="n"/>
      <c r="AF310" s="29" t="n"/>
      <c r="AG310" s="29" t="n"/>
      <c r="AH310" s="29" t="n"/>
      <c r="AI310" s="29" t="n"/>
    </row>
    <row r="311"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  <c r="AA311" s="29" t="n"/>
      <c r="AB311" s="29" t="n"/>
      <c r="AC311" s="29" t="n"/>
      <c r="AD311" s="29" t="n"/>
      <c r="AE311" s="29" t="n"/>
      <c r="AF311" s="29" t="n"/>
      <c r="AG311" s="29" t="n"/>
      <c r="AH311" s="29" t="n"/>
      <c r="AI311" s="29" t="n"/>
    </row>
    <row r="312"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  <c r="AA312" s="29" t="n"/>
      <c r="AB312" s="29" t="n"/>
      <c r="AC312" s="29" t="n"/>
      <c r="AD312" s="29" t="n"/>
      <c r="AE312" s="29" t="n"/>
      <c r="AF312" s="29" t="n"/>
      <c r="AG312" s="29" t="n"/>
      <c r="AH312" s="29" t="n"/>
      <c r="AI312" s="29" t="n"/>
    </row>
    <row r="313"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  <c r="AA313" s="29" t="n"/>
      <c r="AB313" s="29" t="n"/>
      <c r="AC313" s="29" t="n"/>
      <c r="AD313" s="29" t="n"/>
      <c r="AE313" s="29" t="n"/>
      <c r="AF313" s="29" t="n"/>
      <c r="AG313" s="29" t="n"/>
      <c r="AH313" s="29" t="n"/>
      <c r="AI313" s="29" t="n"/>
    </row>
    <row r="314"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  <c r="AA314" s="29" t="n"/>
      <c r="AB314" s="29" t="n"/>
      <c r="AC314" s="29" t="n"/>
      <c r="AD314" s="29" t="n"/>
      <c r="AE314" s="29" t="n"/>
      <c r="AF314" s="29" t="n"/>
      <c r="AG314" s="29" t="n"/>
      <c r="AH314" s="29" t="n"/>
      <c r="AI314" s="29" t="n"/>
    </row>
    <row r="315"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  <c r="AA315" s="29" t="n"/>
      <c r="AB315" s="29" t="n"/>
      <c r="AC315" s="29" t="n"/>
      <c r="AD315" s="29" t="n"/>
      <c r="AE315" s="29" t="n"/>
      <c r="AF315" s="29" t="n"/>
      <c r="AG315" s="29" t="n"/>
      <c r="AH315" s="29" t="n"/>
      <c r="AI315" s="29" t="n"/>
    </row>
    <row r="316"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  <c r="AA316" s="29" t="n"/>
      <c r="AB316" s="29" t="n"/>
      <c r="AC316" s="29" t="n"/>
      <c r="AD316" s="29" t="n"/>
      <c r="AE316" s="29" t="n"/>
      <c r="AF316" s="29" t="n"/>
      <c r="AG316" s="29" t="n"/>
      <c r="AH316" s="29" t="n"/>
      <c r="AI316" s="29" t="n"/>
    </row>
    <row r="317"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  <c r="AA317" s="29" t="n"/>
      <c r="AB317" s="29" t="n"/>
      <c r="AC317" s="29" t="n"/>
      <c r="AD317" s="29" t="n"/>
      <c r="AE317" s="29" t="n"/>
      <c r="AF317" s="29" t="n"/>
      <c r="AG317" s="29" t="n"/>
      <c r="AH317" s="29" t="n"/>
      <c r="AI317" s="29" t="n"/>
    </row>
    <row r="318"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  <c r="AA318" s="29" t="n"/>
      <c r="AB318" s="29" t="n"/>
      <c r="AC318" s="29" t="n"/>
      <c r="AD318" s="29" t="n"/>
      <c r="AE318" s="29" t="n"/>
      <c r="AF318" s="29" t="n"/>
      <c r="AG318" s="29" t="n"/>
      <c r="AH318" s="29" t="n"/>
      <c r="AI318" s="29" t="n"/>
    </row>
    <row r="319"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  <c r="AA319" s="29" t="n"/>
      <c r="AB319" s="29" t="n"/>
      <c r="AC319" s="29" t="n"/>
      <c r="AD319" s="29" t="n"/>
      <c r="AE319" s="29" t="n"/>
      <c r="AF319" s="29" t="n"/>
      <c r="AG319" s="29" t="n"/>
      <c r="AH319" s="29" t="n"/>
      <c r="AI319" s="29" t="n"/>
    </row>
    <row r="320"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  <c r="AA320" s="29" t="n"/>
      <c r="AB320" s="29" t="n"/>
      <c r="AC320" s="29" t="n"/>
      <c r="AD320" s="29" t="n"/>
      <c r="AE320" s="29" t="n"/>
      <c r="AF320" s="29" t="n"/>
      <c r="AG320" s="29" t="n"/>
      <c r="AH320" s="29" t="n"/>
      <c r="AI320" s="29" t="n"/>
    </row>
    <row r="321"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  <c r="AA321" s="29" t="n"/>
      <c r="AB321" s="29" t="n"/>
      <c r="AC321" s="29" t="n"/>
      <c r="AD321" s="29" t="n"/>
      <c r="AE321" s="29" t="n"/>
      <c r="AF321" s="29" t="n"/>
      <c r="AG321" s="29" t="n"/>
      <c r="AH321" s="29" t="n"/>
      <c r="AI321" s="29" t="n"/>
    </row>
    <row r="322"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  <c r="AA322" s="29" t="n"/>
      <c r="AB322" s="29" t="n"/>
      <c r="AC322" s="29" t="n"/>
      <c r="AD322" s="29" t="n"/>
      <c r="AE322" s="29" t="n"/>
      <c r="AF322" s="29" t="n"/>
      <c r="AG322" s="29" t="n"/>
      <c r="AH322" s="29" t="n"/>
      <c r="AI322" s="29" t="n"/>
    </row>
    <row r="323"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  <c r="AA323" s="29" t="n"/>
      <c r="AB323" s="29" t="n"/>
      <c r="AC323" s="29" t="n"/>
      <c r="AD323" s="29" t="n"/>
      <c r="AE323" s="29" t="n"/>
      <c r="AF323" s="29" t="n"/>
      <c r="AG323" s="29" t="n"/>
      <c r="AH323" s="29" t="n"/>
      <c r="AI323" s="29" t="n"/>
    </row>
    <row r="324"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  <c r="AA324" s="29" t="n"/>
      <c r="AB324" s="29" t="n"/>
      <c r="AC324" s="29" t="n"/>
      <c r="AD324" s="29" t="n"/>
      <c r="AE324" s="29" t="n"/>
      <c r="AF324" s="29" t="n"/>
      <c r="AG324" s="29" t="n"/>
      <c r="AH324" s="29" t="n"/>
      <c r="AI324" s="29" t="n"/>
    </row>
    <row r="325"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  <c r="AA325" s="29" t="n"/>
      <c r="AB325" s="29" t="n"/>
      <c r="AC325" s="29" t="n"/>
      <c r="AD325" s="29" t="n"/>
      <c r="AE325" s="29" t="n"/>
      <c r="AF325" s="29" t="n"/>
      <c r="AG325" s="29" t="n"/>
      <c r="AH325" s="29" t="n"/>
      <c r="AI325" s="29" t="n"/>
    </row>
    <row r="326"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  <c r="AA326" s="29" t="n"/>
      <c r="AB326" s="29" t="n"/>
      <c r="AC326" s="29" t="n"/>
      <c r="AD326" s="29" t="n"/>
      <c r="AE326" s="29" t="n"/>
      <c r="AF326" s="29" t="n"/>
      <c r="AG326" s="29" t="n"/>
      <c r="AH326" s="29" t="n"/>
      <c r="AI326" s="29" t="n"/>
    </row>
    <row r="327"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  <c r="AA327" s="29" t="n"/>
      <c r="AB327" s="29" t="n"/>
      <c r="AC327" s="29" t="n"/>
      <c r="AD327" s="29" t="n"/>
      <c r="AE327" s="29" t="n"/>
      <c r="AF327" s="29" t="n"/>
      <c r="AG327" s="29" t="n"/>
      <c r="AH327" s="29" t="n"/>
      <c r="AI327" s="29" t="n"/>
    </row>
    <row r="328"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  <c r="AA328" s="29" t="n"/>
      <c r="AB328" s="29" t="n"/>
      <c r="AC328" s="29" t="n"/>
      <c r="AD328" s="29" t="n"/>
      <c r="AE328" s="29" t="n"/>
      <c r="AF328" s="29" t="n"/>
      <c r="AG328" s="29" t="n"/>
      <c r="AH328" s="29" t="n"/>
      <c r="AI328" s="29" t="n"/>
    </row>
    <row r="329"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  <c r="AA329" s="29" t="n"/>
      <c r="AB329" s="29" t="n"/>
      <c r="AC329" s="29" t="n"/>
      <c r="AD329" s="29" t="n"/>
      <c r="AE329" s="29" t="n"/>
      <c r="AF329" s="29" t="n"/>
      <c r="AG329" s="29" t="n"/>
      <c r="AH329" s="29" t="n"/>
      <c r="AI329" s="29" t="n"/>
    </row>
    <row r="330"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  <c r="AA330" s="29" t="n"/>
      <c r="AB330" s="29" t="n"/>
      <c r="AC330" s="29" t="n"/>
      <c r="AD330" s="29" t="n"/>
      <c r="AE330" s="29" t="n"/>
      <c r="AF330" s="29" t="n"/>
      <c r="AG330" s="29" t="n"/>
      <c r="AH330" s="29" t="n"/>
      <c r="AI330" s="29" t="n"/>
    </row>
    <row r="331"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  <c r="AA331" s="29" t="n"/>
      <c r="AB331" s="29" t="n"/>
      <c r="AC331" s="29" t="n"/>
      <c r="AD331" s="29" t="n"/>
      <c r="AE331" s="29" t="n"/>
      <c r="AF331" s="29" t="n"/>
      <c r="AG331" s="29" t="n"/>
      <c r="AH331" s="29" t="n"/>
      <c r="AI331" s="29" t="n"/>
    </row>
    <row r="332"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  <c r="AA332" s="29" t="n"/>
      <c r="AB332" s="29" t="n"/>
      <c r="AC332" s="29" t="n"/>
      <c r="AD332" s="29" t="n"/>
      <c r="AE332" s="29" t="n"/>
      <c r="AF332" s="29" t="n"/>
      <c r="AG332" s="29" t="n"/>
      <c r="AH332" s="29" t="n"/>
      <c r="AI332" s="29" t="n"/>
    </row>
    <row r="333"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  <c r="AA333" s="29" t="n"/>
      <c r="AB333" s="29" t="n"/>
      <c r="AC333" s="29" t="n"/>
      <c r="AD333" s="29" t="n"/>
      <c r="AE333" s="29" t="n"/>
      <c r="AF333" s="29" t="n"/>
      <c r="AG333" s="29" t="n"/>
      <c r="AH333" s="29" t="n"/>
      <c r="AI333" s="29" t="n"/>
    </row>
    <row r="334"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  <c r="AA334" s="29" t="n"/>
      <c r="AB334" s="29" t="n"/>
      <c r="AC334" s="29" t="n"/>
      <c r="AD334" s="29" t="n"/>
      <c r="AE334" s="29" t="n"/>
      <c r="AF334" s="29" t="n"/>
      <c r="AG334" s="29" t="n"/>
      <c r="AH334" s="29" t="n"/>
      <c r="AI334" s="29" t="n"/>
    </row>
    <row r="335"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  <c r="AA335" s="29" t="n"/>
      <c r="AB335" s="29" t="n"/>
      <c r="AC335" s="29" t="n"/>
      <c r="AD335" s="29" t="n"/>
      <c r="AE335" s="29" t="n"/>
      <c r="AF335" s="29" t="n"/>
      <c r="AG335" s="29" t="n"/>
      <c r="AH335" s="29" t="n"/>
      <c r="AI335" s="29" t="n"/>
    </row>
    <row r="336"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  <c r="AA336" s="29" t="n"/>
      <c r="AB336" s="29" t="n"/>
      <c r="AC336" s="29" t="n"/>
      <c r="AD336" s="29" t="n"/>
      <c r="AE336" s="29" t="n"/>
      <c r="AF336" s="29" t="n"/>
      <c r="AG336" s="29" t="n"/>
      <c r="AH336" s="29" t="n"/>
      <c r="AI336" s="29" t="n"/>
    </row>
    <row r="337"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  <c r="AA337" s="29" t="n"/>
      <c r="AB337" s="29" t="n"/>
      <c r="AC337" s="29" t="n"/>
      <c r="AD337" s="29" t="n"/>
      <c r="AE337" s="29" t="n"/>
      <c r="AF337" s="29" t="n"/>
      <c r="AG337" s="29" t="n"/>
      <c r="AH337" s="29" t="n"/>
      <c r="AI337" s="29" t="n"/>
    </row>
    <row r="338"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  <c r="AA338" s="29" t="n"/>
      <c r="AB338" s="29" t="n"/>
      <c r="AC338" s="29" t="n"/>
      <c r="AD338" s="29" t="n"/>
      <c r="AE338" s="29" t="n"/>
      <c r="AF338" s="29" t="n"/>
      <c r="AG338" s="29" t="n"/>
      <c r="AH338" s="29" t="n"/>
      <c r="AI338" s="29" t="n"/>
    </row>
    <row r="339"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  <c r="AA339" s="29" t="n"/>
      <c r="AB339" s="29" t="n"/>
      <c r="AC339" s="29" t="n"/>
      <c r="AD339" s="29" t="n"/>
      <c r="AE339" s="29" t="n"/>
      <c r="AF339" s="29" t="n"/>
      <c r="AG339" s="29" t="n"/>
      <c r="AH339" s="29" t="n"/>
      <c r="AI339" s="29" t="n"/>
    </row>
    <row r="340"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  <c r="AA340" s="29" t="n"/>
      <c r="AB340" s="29" t="n"/>
      <c r="AC340" s="29" t="n"/>
      <c r="AD340" s="29" t="n"/>
      <c r="AE340" s="29" t="n"/>
      <c r="AF340" s="29" t="n"/>
      <c r="AG340" s="29" t="n"/>
      <c r="AH340" s="29" t="n"/>
      <c r="AI340" s="29" t="n"/>
    </row>
    <row r="341"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  <c r="AA341" s="29" t="n"/>
      <c r="AB341" s="29" t="n"/>
      <c r="AC341" s="29" t="n"/>
      <c r="AD341" s="29" t="n"/>
      <c r="AE341" s="29" t="n"/>
      <c r="AF341" s="29" t="n"/>
      <c r="AG341" s="29" t="n"/>
      <c r="AH341" s="29" t="n"/>
      <c r="AI341" s="29" t="n"/>
    </row>
    <row r="342"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  <c r="AA342" s="29" t="n"/>
      <c r="AB342" s="29" t="n"/>
      <c r="AC342" s="29" t="n"/>
      <c r="AD342" s="29" t="n"/>
      <c r="AE342" s="29" t="n"/>
      <c r="AF342" s="29" t="n"/>
      <c r="AG342" s="29" t="n"/>
      <c r="AH342" s="29" t="n"/>
      <c r="AI342" s="29" t="n"/>
    </row>
    <row r="343"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  <c r="AA343" s="29" t="n"/>
      <c r="AB343" s="29" t="n"/>
      <c r="AC343" s="29" t="n"/>
      <c r="AD343" s="29" t="n"/>
      <c r="AE343" s="29" t="n"/>
      <c r="AF343" s="29" t="n"/>
      <c r="AG343" s="29" t="n"/>
      <c r="AH343" s="29" t="n"/>
      <c r="AI343" s="29" t="n"/>
    </row>
    <row r="344"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  <c r="AA344" s="29" t="n"/>
      <c r="AB344" s="29" t="n"/>
      <c r="AC344" s="29" t="n"/>
      <c r="AD344" s="29" t="n"/>
      <c r="AE344" s="29" t="n"/>
      <c r="AF344" s="29" t="n"/>
      <c r="AG344" s="29" t="n"/>
      <c r="AH344" s="29" t="n"/>
      <c r="AI344" s="29" t="n"/>
    </row>
    <row r="345"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  <c r="AA345" s="29" t="n"/>
      <c r="AB345" s="29" t="n"/>
      <c r="AC345" s="29" t="n"/>
      <c r="AD345" s="29" t="n"/>
      <c r="AE345" s="29" t="n"/>
      <c r="AF345" s="29" t="n"/>
      <c r="AG345" s="29" t="n"/>
      <c r="AH345" s="29" t="n"/>
      <c r="AI345" s="29" t="n"/>
    </row>
    <row r="346"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  <c r="AA346" s="29" t="n"/>
      <c r="AB346" s="29" t="n"/>
      <c r="AC346" s="29" t="n"/>
      <c r="AD346" s="29" t="n"/>
      <c r="AE346" s="29" t="n"/>
      <c r="AF346" s="29" t="n"/>
      <c r="AG346" s="29" t="n"/>
      <c r="AH346" s="29" t="n"/>
      <c r="AI346" s="29" t="n"/>
    </row>
    <row r="347"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  <c r="AA347" s="29" t="n"/>
      <c r="AB347" s="29" t="n"/>
      <c r="AC347" s="29" t="n"/>
      <c r="AD347" s="29" t="n"/>
      <c r="AE347" s="29" t="n"/>
      <c r="AF347" s="29" t="n"/>
      <c r="AG347" s="29" t="n"/>
      <c r="AH347" s="29" t="n"/>
      <c r="AI347" s="29" t="n"/>
    </row>
    <row r="348"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  <c r="AA348" s="29" t="n"/>
      <c r="AB348" s="29" t="n"/>
      <c r="AC348" s="29" t="n"/>
      <c r="AD348" s="29" t="n"/>
      <c r="AE348" s="29" t="n"/>
      <c r="AF348" s="29" t="n"/>
      <c r="AG348" s="29" t="n"/>
      <c r="AH348" s="29" t="n"/>
      <c r="AI348" s="29" t="n"/>
    </row>
    <row r="349"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  <c r="AA349" s="29" t="n"/>
      <c r="AB349" s="29" t="n"/>
      <c r="AC349" s="29" t="n"/>
      <c r="AD349" s="29" t="n"/>
      <c r="AE349" s="29" t="n"/>
      <c r="AF349" s="29" t="n"/>
      <c r="AG349" s="29" t="n"/>
      <c r="AH349" s="29" t="n"/>
      <c r="AI349" s="29" t="n"/>
    </row>
    <row r="350"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  <c r="AA350" s="29" t="n"/>
      <c r="AB350" s="29" t="n"/>
      <c r="AC350" s="29" t="n"/>
      <c r="AD350" s="29" t="n"/>
      <c r="AE350" s="29" t="n"/>
      <c r="AF350" s="29" t="n"/>
      <c r="AG350" s="29" t="n"/>
      <c r="AH350" s="29" t="n"/>
      <c r="AI350" s="29" t="n"/>
    </row>
    <row r="351"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  <c r="AA351" s="29" t="n"/>
      <c r="AB351" s="29" t="n"/>
      <c r="AC351" s="29" t="n"/>
      <c r="AD351" s="29" t="n"/>
      <c r="AE351" s="29" t="n"/>
      <c r="AF351" s="29" t="n"/>
      <c r="AG351" s="29" t="n"/>
      <c r="AH351" s="29" t="n"/>
      <c r="AI351" s="29" t="n"/>
    </row>
    <row r="352"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  <c r="AA352" s="29" t="n"/>
      <c r="AB352" s="29" t="n"/>
      <c r="AC352" s="29" t="n"/>
      <c r="AD352" s="29" t="n"/>
      <c r="AE352" s="29" t="n"/>
      <c r="AF352" s="29" t="n"/>
      <c r="AG352" s="29" t="n"/>
      <c r="AH352" s="29" t="n"/>
      <c r="AI352" s="29" t="n"/>
    </row>
    <row r="353"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  <c r="AA353" s="29" t="n"/>
      <c r="AB353" s="29" t="n"/>
      <c r="AC353" s="29" t="n"/>
      <c r="AD353" s="29" t="n"/>
      <c r="AE353" s="29" t="n"/>
      <c r="AF353" s="29" t="n"/>
      <c r="AG353" s="29" t="n"/>
      <c r="AH353" s="29" t="n"/>
      <c r="AI353" s="29" t="n"/>
    </row>
    <row r="354"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  <c r="AA354" s="29" t="n"/>
      <c r="AB354" s="29" t="n"/>
      <c r="AC354" s="29" t="n"/>
      <c r="AD354" s="29" t="n"/>
      <c r="AE354" s="29" t="n"/>
      <c r="AF354" s="29" t="n"/>
      <c r="AG354" s="29" t="n"/>
      <c r="AH354" s="29" t="n"/>
      <c r="AI354" s="29" t="n"/>
    </row>
    <row r="355"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  <c r="AA355" s="29" t="n"/>
      <c r="AB355" s="29" t="n"/>
      <c r="AC355" s="29" t="n"/>
      <c r="AD355" s="29" t="n"/>
      <c r="AE355" s="29" t="n"/>
      <c r="AF355" s="29" t="n"/>
      <c r="AG355" s="29" t="n"/>
      <c r="AH355" s="29" t="n"/>
      <c r="AI355" s="29" t="n"/>
    </row>
    <row r="356"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  <c r="AA356" s="29" t="n"/>
      <c r="AB356" s="29" t="n"/>
      <c r="AC356" s="29" t="n"/>
      <c r="AD356" s="29" t="n"/>
      <c r="AE356" s="29" t="n"/>
      <c r="AF356" s="29" t="n"/>
      <c r="AG356" s="29" t="n"/>
      <c r="AH356" s="29" t="n"/>
      <c r="AI356" s="29" t="n"/>
    </row>
    <row r="357"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  <c r="AA357" s="29" t="n"/>
      <c r="AB357" s="29" t="n"/>
      <c r="AC357" s="29" t="n"/>
      <c r="AD357" s="29" t="n"/>
      <c r="AE357" s="29" t="n"/>
      <c r="AF357" s="29" t="n"/>
      <c r="AG357" s="29" t="n"/>
      <c r="AH357" s="29" t="n"/>
      <c r="AI357" s="29" t="n"/>
    </row>
    <row r="358"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  <c r="AA358" s="29" t="n"/>
      <c r="AB358" s="29" t="n"/>
      <c r="AC358" s="29" t="n"/>
      <c r="AD358" s="29" t="n"/>
      <c r="AE358" s="29" t="n"/>
      <c r="AF358" s="29" t="n"/>
      <c r="AG358" s="29" t="n"/>
      <c r="AH358" s="29" t="n"/>
      <c r="AI358" s="29" t="n"/>
    </row>
    <row r="359"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  <c r="AA359" s="29" t="n"/>
      <c r="AB359" s="29" t="n"/>
      <c r="AC359" s="29" t="n"/>
      <c r="AD359" s="29" t="n"/>
      <c r="AE359" s="29" t="n"/>
      <c r="AF359" s="29" t="n"/>
      <c r="AG359" s="29" t="n"/>
      <c r="AH359" s="29" t="n"/>
      <c r="AI359" s="29" t="n"/>
    </row>
    <row r="360"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  <c r="AA360" s="29" t="n"/>
      <c r="AB360" s="29" t="n"/>
      <c r="AC360" s="29" t="n"/>
      <c r="AD360" s="29" t="n"/>
      <c r="AE360" s="29" t="n"/>
      <c r="AF360" s="29" t="n"/>
      <c r="AG360" s="29" t="n"/>
      <c r="AH360" s="29" t="n"/>
      <c r="AI360" s="29" t="n"/>
    </row>
    <row r="361"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  <c r="AA361" s="29" t="n"/>
      <c r="AB361" s="29" t="n"/>
      <c r="AC361" s="29" t="n"/>
      <c r="AD361" s="29" t="n"/>
      <c r="AE361" s="29" t="n"/>
      <c r="AF361" s="29" t="n"/>
      <c r="AG361" s="29" t="n"/>
      <c r="AH361" s="29" t="n"/>
      <c r="AI361" s="29" t="n"/>
    </row>
    <row r="362"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  <c r="AA362" s="29" t="n"/>
      <c r="AB362" s="29" t="n"/>
      <c r="AC362" s="29" t="n"/>
      <c r="AD362" s="29" t="n"/>
      <c r="AE362" s="29" t="n"/>
      <c r="AF362" s="29" t="n"/>
      <c r="AG362" s="29" t="n"/>
      <c r="AH362" s="29" t="n"/>
      <c r="AI362" s="29" t="n"/>
    </row>
    <row r="363"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  <c r="AA363" s="29" t="n"/>
      <c r="AB363" s="29" t="n"/>
      <c r="AC363" s="29" t="n"/>
      <c r="AD363" s="29" t="n"/>
      <c r="AE363" s="29" t="n"/>
      <c r="AF363" s="29" t="n"/>
      <c r="AG363" s="29" t="n"/>
      <c r="AH363" s="29" t="n"/>
      <c r="AI363" s="29" t="n"/>
    </row>
    <row r="364"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  <c r="AA364" s="29" t="n"/>
      <c r="AB364" s="29" t="n"/>
      <c r="AC364" s="29" t="n"/>
      <c r="AD364" s="29" t="n"/>
      <c r="AE364" s="29" t="n"/>
      <c r="AF364" s="29" t="n"/>
      <c r="AG364" s="29" t="n"/>
      <c r="AH364" s="29" t="n"/>
      <c r="AI364" s="29" t="n"/>
    </row>
    <row r="365"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  <c r="AA365" s="29" t="n"/>
      <c r="AB365" s="29" t="n"/>
      <c r="AC365" s="29" t="n"/>
      <c r="AD365" s="29" t="n"/>
      <c r="AE365" s="29" t="n"/>
      <c r="AF365" s="29" t="n"/>
      <c r="AG365" s="29" t="n"/>
      <c r="AH365" s="29" t="n"/>
      <c r="AI365" s="29" t="n"/>
    </row>
    <row r="366"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  <c r="AA366" s="29" t="n"/>
      <c r="AB366" s="29" t="n"/>
      <c r="AC366" s="29" t="n"/>
      <c r="AD366" s="29" t="n"/>
      <c r="AE366" s="29" t="n"/>
      <c r="AF366" s="29" t="n"/>
      <c r="AG366" s="29" t="n"/>
      <c r="AH366" s="29" t="n"/>
      <c r="AI366" s="29" t="n"/>
    </row>
    <row r="367"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  <c r="AA367" s="29" t="n"/>
      <c r="AB367" s="29" t="n"/>
      <c r="AC367" s="29" t="n"/>
      <c r="AD367" s="29" t="n"/>
      <c r="AE367" s="29" t="n"/>
      <c r="AF367" s="29" t="n"/>
      <c r="AG367" s="29" t="n"/>
      <c r="AH367" s="29" t="n"/>
      <c r="AI367" s="29" t="n"/>
    </row>
    <row r="368"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  <c r="AA368" s="29" t="n"/>
      <c r="AB368" s="29" t="n"/>
      <c r="AC368" s="29" t="n"/>
      <c r="AD368" s="29" t="n"/>
      <c r="AE368" s="29" t="n"/>
      <c r="AF368" s="29" t="n"/>
      <c r="AG368" s="29" t="n"/>
      <c r="AH368" s="29" t="n"/>
      <c r="AI368" s="29" t="n"/>
    </row>
    <row r="369"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  <c r="AA369" s="29" t="n"/>
      <c r="AB369" s="29" t="n"/>
      <c r="AC369" s="29" t="n"/>
      <c r="AD369" s="29" t="n"/>
      <c r="AE369" s="29" t="n"/>
      <c r="AF369" s="29" t="n"/>
      <c r="AG369" s="29" t="n"/>
      <c r="AH369" s="29" t="n"/>
      <c r="AI369" s="29" t="n"/>
    </row>
    <row r="370"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  <c r="AA370" s="29" t="n"/>
      <c r="AB370" s="29" t="n"/>
      <c r="AC370" s="29" t="n"/>
      <c r="AD370" s="29" t="n"/>
      <c r="AE370" s="29" t="n"/>
      <c r="AF370" s="29" t="n"/>
      <c r="AG370" s="29" t="n"/>
      <c r="AH370" s="29" t="n"/>
      <c r="AI370" s="29" t="n"/>
    </row>
    <row r="371"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  <c r="AA371" s="29" t="n"/>
      <c r="AB371" s="29" t="n"/>
      <c r="AC371" s="29" t="n"/>
      <c r="AD371" s="29" t="n"/>
      <c r="AE371" s="29" t="n"/>
      <c r="AF371" s="29" t="n"/>
      <c r="AG371" s="29" t="n"/>
      <c r="AH371" s="29" t="n"/>
      <c r="AI371" s="29" t="n"/>
    </row>
    <row r="372"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  <c r="AA372" s="29" t="n"/>
      <c r="AB372" s="29" t="n"/>
      <c r="AC372" s="29" t="n"/>
      <c r="AD372" s="29" t="n"/>
      <c r="AE372" s="29" t="n"/>
      <c r="AF372" s="29" t="n"/>
      <c r="AG372" s="29" t="n"/>
      <c r="AH372" s="29" t="n"/>
      <c r="AI372" s="29" t="n"/>
    </row>
    <row r="373"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  <c r="AA373" s="29" t="n"/>
      <c r="AB373" s="29" t="n"/>
      <c r="AC373" s="29" t="n"/>
      <c r="AD373" s="29" t="n"/>
      <c r="AE373" s="29" t="n"/>
      <c r="AF373" s="29" t="n"/>
      <c r="AG373" s="29" t="n"/>
      <c r="AH373" s="29" t="n"/>
      <c r="AI373" s="29" t="n"/>
    </row>
    <row r="374"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  <c r="AA374" s="29" t="n"/>
      <c r="AB374" s="29" t="n"/>
      <c r="AC374" s="29" t="n"/>
      <c r="AD374" s="29" t="n"/>
      <c r="AE374" s="29" t="n"/>
      <c r="AF374" s="29" t="n"/>
      <c r="AG374" s="29" t="n"/>
      <c r="AH374" s="29" t="n"/>
      <c r="AI374" s="29" t="n"/>
    </row>
    <row r="375"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  <c r="AA375" s="29" t="n"/>
      <c r="AB375" s="29" t="n"/>
      <c r="AC375" s="29" t="n"/>
      <c r="AD375" s="29" t="n"/>
      <c r="AE375" s="29" t="n"/>
      <c r="AF375" s="29" t="n"/>
      <c r="AG375" s="29" t="n"/>
      <c r="AH375" s="29" t="n"/>
      <c r="AI375" s="29" t="n"/>
    </row>
    <row r="376"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  <c r="AA376" s="29" t="n"/>
      <c r="AB376" s="29" t="n"/>
      <c r="AC376" s="29" t="n"/>
      <c r="AD376" s="29" t="n"/>
      <c r="AE376" s="29" t="n"/>
      <c r="AF376" s="29" t="n"/>
      <c r="AG376" s="29" t="n"/>
      <c r="AH376" s="29" t="n"/>
      <c r="AI376" s="29" t="n"/>
    </row>
    <row r="377"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  <c r="AA377" s="29" t="n"/>
      <c r="AB377" s="29" t="n"/>
      <c r="AC377" s="29" t="n"/>
      <c r="AD377" s="29" t="n"/>
      <c r="AE377" s="29" t="n"/>
      <c r="AF377" s="29" t="n"/>
      <c r="AG377" s="29" t="n"/>
      <c r="AH377" s="29" t="n"/>
      <c r="AI377" s="29" t="n"/>
    </row>
    <row r="378"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  <c r="AA378" s="29" t="n"/>
      <c r="AB378" s="29" t="n"/>
      <c r="AC378" s="29" t="n"/>
      <c r="AD378" s="29" t="n"/>
      <c r="AE378" s="29" t="n"/>
      <c r="AF378" s="29" t="n"/>
      <c r="AG378" s="29" t="n"/>
      <c r="AH378" s="29" t="n"/>
      <c r="AI378" s="29" t="n"/>
    </row>
    <row r="379"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  <c r="AA379" s="29" t="n"/>
      <c r="AB379" s="29" t="n"/>
      <c r="AC379" s="29" t="n"/>
      <c r="AD379" s="29" t="n"/>
      <c r="AE379" s="29" t="n"/>
      <c r="AF379" s="29" t="n"/>
      <c r="AG379" s="29" t="n"/>
      <c r="AH379" s="29" t="n"/>
      <c r="AI379" s="29" t="n"/>
    </row>
    <row r="380"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  <c r="AA380" s="29" t="n"/>
      <c r="AB380" s="29" t="n"/>
      <c r="AC380" s="29" t="n"/>
      <c r="AD380" s="29" t="n"/>
      <c r="AE380" s="29" t="n"/>
      <c r="AF380" s="29" t="n"/>
      <c r="AG380" s="29" t="n"/>
      <c r="AH380" s="29" t="n"/>
      <c r="AI380" s="29" t="n"/>
    </row>
    <row r="381"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  <c r="AA381" s="29" t="n"/>
      <c r="AB381" s="29" t="n"/>
      <c r="AC381" s="29" t="n"/>
      <c r="AD381" s="29" t="n"/>
      <c r="AE381" s="29" t="n"/>
      <c r="AF381" s="29" t="n"/>
      <c r="AG381" s="29" t="n"/>
      <c r="AH381" s="29" t="n"/>
      <c r="AI381" s="29" t="n"/>
    </row>
    <row r="382"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  <c r="AA382" s="29" t="n"/>
      <c r="AB382" s="29" t="n"/>
      <c r="AC382" s="29" t="n"/>
      <c r="AD382" s="29" t="n"/>
      <c r="AE382" s="29" t="n"/>
      <c r="AF382" s="29" t="n"/>
      <c r="AG382" s="29" t="n"/>
      <c r="AH382" s="29" t="n"/>
      <c r="AI382" s="29" t="n"/>
    </row>
    <row r="383"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  <c r="AA383" s="29" t="n"/>
      <c r="AB383" s="29" t="n"/>
      <c r="AC383" s="29" t="n"/>
      <c r="AD383" s="29" t="n"/>
      <c r="AE383" s="29" t="n"/>
      <c r="AF383" s="29" t="n"/>
      <c r="AG383" s="29" t="n"/>
      <c r="AH383" s="29" t="n"/>
      <c r="AI383" s="29" t="n"/>
    </row>
    <row r="384"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  <c r="AA384" s="29" t="n"/>
      <c r="AB384" s="29" t="n"/>
      <c r="AC384" s="29" t="n"/>
      <c r="AD384" s="29" t="n"/>
      <c r="AE384" s="29" t="n"/>
      <c r="AF384" s="29" t="n"/>
      <c r="AG384" s="29" t="n"/>
      <c r="AH384" s="29" t="n"/>
      <c r="AI384" s="29" t="n"/>
    </row>
    <row r="385"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  <c r="AA385" s="29" t="n"/>
      <c r="AB385" s="29" t="n"/>
      <c r="AC385" s="29" t="n"/>
      <c r="AD385" s="29" t="n"/>
      <c r="AE385" s="29" t="n"/>
      <c r="AF385" s="29" t="n"/>
      <c r="AG385" s="29" t="n"/>
      <c r="AH385" s="29" t="n"/>
      <c r="AI385" s="29" t="n"/>
    </row>
    <row r="386"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  <c r="AA386" s="29" t="n"/>
      <c r="AB386" s="29" t="n"/>
      <c r="AC386" s="29" t="n"/>
      <c r="AD386" s="29" t="n"/>
      <c r="AE386" s="29" t="n"/>
      <c r="AF386" s="29" t="n"/>
      <c r="AG386" s="29" t="n"/>
      <c r="AH386" s="29" t="n"/>
      <c r="AI386" s="29" t="n"/>
    </row>
    <row r="387"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  <c r="AA387" s="29" t="n"/>
      <c r="AB387" s="29" t="n"/>
      <c r="AC387" s="29" t="n"/>
      <c r="AD387" s="29" t="n"/>
      <c r="AE387" s="29" t="n"/>
      <c r="AF387" s="29" t="n"/>
      <c r="AG387" s="29" t="n"/>
      <c r="AH387" s="29" t="n"/>
      <c r="AI387" s="29" t="n"/>
    </row>
    <row r="388"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  <c r="AA388" s="29" t="n"/>
      <c r="AB388" s="29" t="n"/>
      <c r="AC388" s="29" t="n"/>
      <c r="AD388" s="29" t="n"/>
      <c r="AE388" s="29" t="n"/>
      <c r="AF388" s="29" t="n"/>
      <c r="AG388" s="29" t="n"/>
      <c r="AH388" s="29" t="n"/>
      <c r="AI388" s="29" t="n"/>
    </row>
    <row r="389"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  <c r="AA389" s="29" t="n"/>
      <c r="AB389" s="29" t="n"/>
      <c r="AC389" s="29" t="n"/>
      <c r="AD389" s="29" t="n"/>
      <c r="AE389" s="29" t="n"/>
      <c r="AF389" s="29" t="n"/>
      <c r="AG389" s="29" t="n"/>
      <c r="AH389" s="29" t="n"/>
      <c r="AI389" s="29" t="n"/>
    </row>
    <row r="390"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  <c r="AA390" s="29" t="n"/>
      <c r="AB390" s="29" t="n"/>
      <c r="AC390" s="29" t="n"/>
      <c r="AD390" s="29" t="n"/>
      <c r="AE390" s="29" t="n"/>
      <c r="AF390" s="29" t="n"/>
      <c r="AG390" s="29" t="n"/>
      <c r="AH390" s="29" t="n"/>
      <c r="AI390" s="29" t="n"/>
    </row>
    <row r="391"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  <c r="AA391" s="29" t="n"/>
      <c r="AB391" s="29" t="n"/>
      <c r="AC391" s="29" t="n"/>
      <c r="AD391" s="29" t="n"/>
      <c r="AE391" s="29" t="n"/>
      <c r="AF391" s="29" t="n"/>
      <c r="AG391" s="29" t="n"/>
      <c r="AH391" s="29" t="n"/>
      <c r="AI391" s="29" t="n"/>
    </row>
    <row r="392"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  <c r="AA392" s="29" t="n"/>
      <c r="AB392" s="29" t="n"/>
      <c r="AC392" s="29" t="n"/>
      <c r="AD392" s="29" t="n"/>
      <c r="AE392" s="29" t="n"/>
      <c r="AF392" s="29" t="n"/>
      <c r="AG392" s="29" t="n"/>
      <c r="AH392" s="29" t="n"/>
      <c r="AI392" s="29" t="n"/>
    </row>
    <row r="393"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  <c r="AA393" s="29" t="n"/>
      <c r="AB393" s="29" t="n"/>
      <c r="AC393" s="29" t="n"/>
      <c r="AD393" s="29" t="n"/>
      <c r="AE393" s="29" t="n"/>
      <c r="AF393" s="29" t="n"/>
      <c r="AG393" s="29" t="n"/>
      <c r="AH393" s="29" t="n"/>
      <c r="AI393" s="29" t="n"/>
    </row>
    <row r="394"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  <c r="AA394" s="29" t="n"/>
      <c r="AB394" s="29" t="n"/>
      <c r="AC394" s="29" t="n"/>
      <c r="AD394" s="29" t="n"/>
      <c r="AE394" s="29" t="n"/>
      <c r="AF394" s="29" t="n"/>
      <c r="AG394" s="29" t="n"/>
      <c r="AH394" s="29" t="n"/>
      <c r="AI394" s="29" t="n"/>
    </row>
    <row r="395"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  <c r="AA395" s="29" t="n"/>
      <c r="AB395" s="29" t="n"/>
      <c r="AC395" s="29" t="n"/>
      <c r="AD395" s="29" t="n"/>
      <c r="AE395" s="29" t="n"/>
      <c r="AF395" s="29" t="n"/>
      <c r="AG395" s="29" t="n"/>
      <c r="AH395" s="29" t="n"/>
      <c r="AI395" s="29" t="n"/>
    </row>
    <row r="396"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  <c r="AA396" s="29" t="n"/>
      <c r="AB396" s="29" t="n"/>
      <c r="AC396" s="29" t="n"/>
      <c r="AD396" s="29" t="n"/>
      <c r="AE396" s="29" t="n"/>
      <c r="AF396" s="29" t="n"/>
      <c r="AG396" s="29" t="n"/>
      <c r="AH396" s="29" t="n"/>
      <c r="AI396" s="29" t="n"/>
    </row>
    <row r="397"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  <c r="AA397" s="29" t="n"/>
      <c r="AB397" s="29" t="n"/>
      <c r="AC397" s="29" t="n"/>
      <c r="AD397" s="29" t="n"/>
      <c r="AE397" s="29" t="n"/>
      <c r="AF397" s="29" t="n"/>
      <c r="AG397" s="29" t="n"/>
      <c r="AH397" s="29" t="n"/>
      <c r="AI397" s="29" t="n"/>
    </row>
    <row r="398"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  <c r="AA398" s="29" t="n"/>
      <c r="AB398" s="29" t="n"/>
      <c r="AC398" s="29" t="n"/>
      <c r="AD398" s="29" t="n"/>
      <c r="AE398" s="29" t="n"/>
      <c r="AF398" s="29" t="n"/>
      <c r="AG398" s="29" t="n"/>
      <c r="AH398" s="29" t="n"/>
      <c r="AI398" s="29" t="n"/>
    </row>
    <row r="399"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  <c r="AA399" s="29" t="n"/>
      <c r="AB399" s="29" t="n"/>
      <c r="AC399" s="29" t="n"/>
      <c r="AD399" s="29" t="n"/>
      <c r="AE399" s="29" t="n"/>
      <c r="AF399" s="29" t="n"/>
      <c r="AG399" s="29" t="n"/>
      <c r="AH399" s="29" t="n"/>
      <c r="AI399" s="29" t="n"/>
    </row>
    <row r="400"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  <c r="AA400" s="29" t="n"/>
      <c r="AB400" s="29" t="n"/>
      <c r="AC400" s="29" t="n"/>
      <c r="AD400" s="29" t="n"/>
      <c r="AE400" s="29" t="n"/>
      <c r="AF400" s="29" t="n"/>
      <c r="AG400" s="29" t="n"/>
      <c r="AH400" s="29" t="n"/>
      <c r="AI400" s="29" t="n"/>
    </row>
    <row r="401"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  <c r="AA401" s="29" t="n"/>
      <c r="AB401" s="29" t="n"/>
      <c r="AC401" s="29" t="n"/>
      <c r="AD401" s="29" t="n"/>
      <c r="AE401" s="29" t="n"/>
      <c r="AF401" s="29" t="n"/>
      <c r="AG401" s="29" t="n"/>
      <c r="AH401" s="29" t="n"/>
      <c r="AI401" s="29" t="n"/>
    </row>
    <row r="402"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  <c r="AA402" s="29" t="n"/>
      <c r="AB402" s="29" t="n"/>
      <c r="AC402" s="29" t="n"/>
      <c r="AD402" s="29" t="n"/>
      <c r="AE402" s="29" t="n"/>
      <c r="AF402" s="29" t="n"/>
      <c r="AG402" s="29" t="n"/>
      <c r="AH402" s="29" t="n"/>
      <c r="AI402" s="29" t="n"/>
    </row>
    <row r="403"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  <c r="AA403" s="29" t="n"/>
      <c r="AB403" s="29" t="n"/>
      <c r="AC403" s="29" t="n"/>
      <c r="AD403" s="29" t="n"/>
      <c r="AE403" s="29" t="n"/>
      <c r="AF403" s="29" t="n"/>
      <c r="AG403" s="29" t="n"/>
      <c r="AH403" s="29" t="n"/>
      <c r="AI403" s="29" t="n"/>
    </row>
    <row r="404"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  <c r="AA404" s="29" t="n"/>
      <c r="AB404" s="29" t="n"/>
      <c r="AC404" s="29" t="n"/>
      <c r="AD404" s="29" t="n"/>
      <c r="AE404" s="29" t="n"/>
      <c r="AF404" s="29" t="n"/>
      <c r="AG404" s="29" t="n"/>
      <c r="AH404" s="29" t="n"/>
      <c r="AI404" s="29" t="n"/>
    </row>
    <row r="405"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  <c r="AA405" s="29" t="n"/>
      <c r="AB405" s="29" t="n"/>
      <c r="AC405" s="29" t="n"/>
      <c r="AD405" s="29" t="n"/>
      <c r="AE405" s="29" t="n"/>
      <c r="AF405" s="29" t="n"/>
      <c r="AG405" s="29" t="n"/>
      <c r="AH405" s="29" t="n"/>
      <c r="AI405" s="29" t="n"/>
    </row>
    <row r="406"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  <c r="AA406" s="29" t="n"/>
      <c r="AB406" s="29" t="n"/>
      <c r="AC406" s="29" t="n"/>
      <c r="AD406" s="29" t="n"/>
      <c r="AE406" s="29" t="n"/>
      <c r="AF406" s="29" t="n"/>
      <c r="AG406" s="29" t="n"/>
      <c r="AH406" s="29" t="n"/>
      <c r="AI406" s="29" t="n"/>
    </row>
    <row r="407"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  <c r="AA407" s="29" t="n"/>
      <c r="AB407" s="29" t="n"/>
      <c r="AC407" s="29" t="n"/>
      <c r="AD407" s="29" t="n"/>
      <c r="AE407" s="29" t="n"/>
      <c r="AF407" s="29" t="n"/>
      <c r="AG407" s="29" t="n"/>
      <c r="AH407" s="29" t="n"/>
      <c r="AI407" s="29" t="n"/>
    </row>
    <row r="408"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  <c r="AA408" s="29" t="n"/>
      <c r="AB408" s="29" t="n"/>
      <c r="AC408" s="29" t="n"/>
      <c r="AD408" s="29" t="n"/>
      <c r="AE408" s="29" t="n"/>
      <c r="AF408" s="29" t="n"/>
      <c r="AG408" s="29" t="n"/>
      <c r="AH408" s="29" t="n"/>
      <c r="AI408" s="29" t="n"/>
    </row>
    <row r="409"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  <c r="AA409" s="29" t="n"/>
      <c r="AB409" s="29" t="n"/>
      <c r="AC409" s="29" t="n"/>
      <c r="AD409" s="29" t="n"/>
      <c r="AE409" s="29" t="n"/>
      <c r="AF409" s="29" t="n"/>
      <c r="AG409" s="29" t="n"/>
      <c r="AH409" s="29" t="n"/>
      <c r="AI409" s="29" t="n"/>
    </row>
    <row r="410"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  <c r="AA410" s="29" t="n"/>
      <c r="AB410" s="29" t="n"/>
      <c r="AC410" s="29" t="n"/>
      <c r="AD410" s="29" t="n"/>
      <c r="AE410" s="29" t="n"/>
      <c r="AF410" s="29" t="n"/>
      <c r="AG410" s="29" t="n"/>
      <c r="AH410" s="29" t="n"/>
      <c r="AI410" s="29" t="n"/>
    </row>
    <row r="411"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  <c r="AA411" s="29" t="n"/>
      <c r="AB411" s="29" t="n"/>
      <c r="AC411" s="29" t="n"/>
      <c r="AD411" s="29" t="n"/>
      <c r="AE411" s="29" t="n"/>
      <c r="AF411" s="29" t="n"/>
      <c r="AG411" s="29" t="n"/>
      <c r="AH411" s="29" t="n"/>
      <c r="AI411" s="29" t="n"/>
    </row>
    <row r="412"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  <c r="AA412" s="29" t="n"/>
      <c r="AB412" s="29" t="n"/>
      <c r="AC412" s="29" t="n"/>
      <c r="AD412" s="29" t="n"/>
      <c r="AE412" s="29" t="n"/>
      <c r="AF412" s="29" t="n"/>
      <c r="AG412" s="29" t="n"/>
      <c r="AH412" s="29" t="n"/>
      <c r="AI412" s="29" t="n"/>
    </row>
    <row r="413"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  <c r="AA413" s="29" t="n"/>
      <c r="AB413" s="29" t="n"/>
      <c r="AC413" s="29" t="n"/>
      <c r="AD413" s="29" t="n"/>
      <c r="AE413" s="29" t="n"/>
      <c r="AF413" s="29" t="n"/>
      <c r="AG413" s="29" t="n"/>
      <c r="AH413" s="29" t="n"/>
      <c r="AI413" s="29" t="n"/>
    </row>
    <row r="414"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  <c r="AA414" s="29" t="n"/>
      <c r="AB414" s="29" t="n"/>
      <c r="AC414" s="29" t="n"/>
      <c r="AD414" s="29" t="n"/>
      <c r="AE414" s="29" t="n"/>
      <c r="AF414" s="29" t="n"/>
      <c r="AG414" s="29" t="n"/>
      <c r="AH414" s="29" t="n"/>
      <c r="AI414" s="29" t="n"/>
    </row>
    <row r="415"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  <c r="AA415" s="29" t="n"/>
      <c r="AB415" s="29" t="n"/>
      <c r="AC415" s="29" t="n"/>
      <c r="AD415" s="29" t="n"/>
      <c r="AE415" s="29" t="n"/>
      <c r="AF415" s="29" t="n"/>
      <c r="AG415" s="29" t="n"/>
      <c r="AH415" s="29" t="n"/>
      <c r="AI415" s="29" t="n"/>
    </row>
    <row r="416"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  <c r="AA416" s="29" t="n"/>
      <c r="AB416" s="29" t="n"/>
      <c r="AC416" s="29" t="n"/>
      <c r="AD416" s="29" t="n"/>
      <c r="AE416" s="29" t="n"/>
      <c r="AF416" s="29" t="n"/>
      <c r="AG416" s="29" t="n"/>
      <c r="AH416" s="29" t="n"/>
      <c r="AI416" s="29" t="n"/>
    </row>
    <row r="417"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  <c r="AA417" s="29" t="n"/>
      <c r="AB417" s="29" t="n"/>
      <c r="AC417" s="29" t="n"/>
      <c r="AD417" s="29" t="n"/>
      <c r="AE417" s="29" t="n"/>
      <c r="AF417" s="29" t="n"/>
      <c r="AG417" s="29" t="n"/>
      <c r="AH417" s="29" t="n"/>
      <c r="AI417" s="29" t="n"/>
    </row>
    <row r="418"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  <c r="AA418" s="29" t="n"/>
      <c r="AB418" s="29" t="n"/>
      <c r="AC418" s="29" t="n"/>
      <c r="AD418" s="29" t="n"/>
      <c r="AE418" s="29" t="n"/>
      <c r="AF418" s="29" t="n"/>
      <c r="AG418" s="29" t="n"/>
      <c r="AH418" s="29" t="n"/>
      <c r="AI418" s="29" t="n"/>
    </row>
    <row r="419"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  <c r="AA419" s="29" t="n"/>
      <c r="AB419" s="29" t="n"/>
      <c r="AC419" s="29" t="n"/>
      <c r="AD419" s="29" t="n"/>
      <c r="AE419" s="29" t="n"/>
      <c r="AF419" s="29" t="n"/>
      <c r="AG419" s="29" t="n"/>
      <c r="AH419" s="29" t="n"/>
      <c r="AI419" s="29" t="n"/>
    </row>
    <row r="420"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  <c r="AA420" s="29" t="n"/>
      <c r="AB420" s="29" t="n"/>
      <c r="AC420" s="29" t="n"/>
      <c r="AD420" s="29" t="n"/>
      <c r="AE420" s="29" t="n"/>
      <c r="AF420" s="29" t="n"/>
      <c r="AG420" s="29" t="n"/>
      <c r="AH420" s="29" t="n"/>
      <c r="AI420" s="29" t="n"/>
    </row>
    <row r="421"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  <c r="AA421" s="29" t="n"/>
      <c r="AB421" s="29" t="n"/>
      <c r="AC421" s="29" t="n"/>
      <c r="AD421" s="29" t="n"/>
      <c r="AE421" s="29" t="n"/>
      <c r="AF421" s="29" t="n"/>
      <c r="AG421" s="29" t="n"/>
      <c r="AH421" s="29" t="n"/>
      <c r="AI421" s="29" t="n"/>
    </row>
    <row r="422"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  <c r="AA422" s="29" t="n"/>
      <c r="AB422" s="29" t="n"/>
      <c r="AC422" s="29" t="n"/>
      <c r="AD422" s="29" t="n"/>
      <c r="AE422" s="29" t="n"/>
      <c r="AF422" s="29" t="n"/>
      <c r="AG422" s="29" t="n"/>
      <c r="AH422" s="29" t="n"/>
      <c r="AI422" s="29" t="n"/>
    </row>
    <row r="423"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  <c r="AA423" s="29" t="n"/>
      <c r="AB423" s="29" t="n"/>
      <c r="AC423" s="29" t="n"/>
      <c r="AD423" s="29" t="n"/>
      <c r="AE423" s="29" t="n"/>
      <c r="AF423" s="29" t="n"/>
      <c r="AG423" s="29" t="n"/>
      <c r="AH423" s="29" t="n"/>
      <c r="AI423" s="29" t="n"/>
    </row>
    <row r="424"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  <c r="AA424" s="29" t="n"/>
      <c r="AB424" s="29" t="n"/>
      <c r="AC424" s="29" t="n"/>
      <c r="AD424" s="29" t="n"/>
      <c r="AE424" s="29" t="n"/>
      <c r="AF424" s="29" t="n"/>
      <c r="AG424" s="29" t="n"/>
      <c r="AH424" s="29" t="n"/>
      <c r="AI424" s="29" t="n"/>
    </row>
    <row r="425"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  <c r="AA425" s="29" t="n"/>
      <c r="AB425" s="29" t="n"/>
      <c r="AC425" s="29" t="n"/>
      <c r="AD425" s="29" t="n"/>
      <c r="AE425" s="29" t="n"/>
      <c r="AF425" s="29" t="n"/>
      <c r="AG425" s="29" t="n"/>
      <c r="AH425" s="29" t="n"/>
      <c r="AI425" s="29" t="n"/>
    </row>
    <row r="426"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  <c r="AA426" s="29" t="n"/>
      <c r="AB426" s="29" t="n"/>
      <c r="AC426" s="29" t="n"/>
      <c r="AD426" s="29" t="n"/>
      <c r="AE426" s="29" t="n"/>
      <c r="AF426" s="29" t="n"/>
      <c r="AG426" s="29" t="n"/>
      <c r="AH426" s="29" t="n"/>
      <c r="AI426" s="29" t="n"/>
    </row>
    <row r="427"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  <c r="AA427" s="29" t="n"/>
      <c r="AB427" s="29" t="n"/>
      <c r="AC427" s="29" t="n"/>
      <c r="AD427" s="29" t="n"/>
      <c r="AE427" s="29" t="n"/>
      <c r="AF427" s="29" t="n"/>
      <c r="AG427" s="29" t="n"/>
      <c r="AH427" s="29" t="n"/>
      <c r="AI427" s="29" t="n"/>
    </row>
    <row r="428"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  <c r="AA428" s="29" t="n"/>
      <c r="AB428" s="29" t="n"/>
      <c r="AC428" s="29" t="n"/>
      <c r="AD428" s="29" t="n"/>
      <c r="AE428" s="29" t="n"/>
      <c r="AF428" s="29" t="n"/>
      <c r="AG428" s="29" t="n"/>
      <c r="AH428" s="29" t="n"/>
      <c r="AI428" s="29" t="n"/>
    </row>
    <row r="429"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  <c r="AA429" s="29" t="n"/>
      <c r="AB429" s="29" t="n"/>
      <c r="AC429" s="29" t="n"/>
      <c r="AD429" s="29" t="n"/>
      <c r="AE429" s="29" t="n"/>
      <c r="AF429" s="29" t="n"/>
      <c r="AG429" s="29" t="n"/>
      <c r="AH429" s="29" t="n"/>
      <c r="AI429" s="29" t="n"/>
    </row>
    <row r="430"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  <c r="AA430" s="29" t="n"/>
      <c r="AB430" s="29" t="n"/>
      <c r="AC430" s="29" t="n"/>
      <c r="AD430" s="29" t="n"/>
      <c r="AE430" s="29" t="n"/>
      <c r="AF430" s="29" t="n"/>
      <c r="AG430" s="29" t="n"/>
      <c r="AH430" s="29" t="n"/>
      <c r="AI430" s="29" t="n"/>
    </row>
    <row r="431"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  <c r="AA431" s="29" t="n"/>
      <c r="AB431" s="29" t="n"/>
      <c r="AC431" s="29" t="n"/>
      <c r="AD431" s="29" t="n"/>
      <c r="AE431" s="29" t="n"/>
      <c r="AF431" s="29" t="n"/>
      <c r="AG431" s="29" t="n"/>
      <c r="AH431" s="29" t="n"/>
      <c r="AI431" s="29" t="n"/>
    </row>
    <row r="432"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  <c r="AA432" s="29" t="n"/>
      <c r="AB432" s="29" t="n"/>
      <c r="AC432" s="29" t="n"/>
      <c r="AD432" s="29" t="n"/>
      <c r="AE432" s="29" t="n"/>
      <c r="AF432" s="29" t="n"/>
      <c r="AG432" s="29" t="n"/>
      <c r="AH432" s="29" t="n"/>
      <c r="AI432" s="29" t="n"/>
    </row>
    <row r="433"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  <c r="AA433" s="29" t="n"/>
      <c r="AB433" s="29" t="n"/>
      <c r="AC433" s="29" t="n"/>
      <c r="AD433" s="29" t="n"/>
      <c r="AE433" s="29" t="n"/>
      <c r="AF433" s="29" t="n"/>
      <c r="AG433" s="29" t="n"/>
      <c r="AH433" s="29" t="n"/>
      <c r="AI433" s="29" t="n"/>
    </row>
    <row r="434"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  <c r="AA434" s="29" t="n"/>
      <c r="AB434" s="29" t="n"/>
      <c r="AC434" s="29" t="n"/>
      <c r="AD434" s="29" t="n"/>
      <c r="AE434" s="29" t="n"/>
      <c r="AF434" s="29" t="n"/>
      <c r="AG434" s="29" t="n"/>
      <c r="AH434" s="29" t="n"/>
      <c r="AI434" s="29" t="n"/>
    </row>
    <row r="435"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  <c r="AA435" s="29" t="n"/>
      <c r="AB435" s="29" t="n"/>
      <c r="AC435" s="29" t="n"/>
      <c r="AD435" s="29" t="n"/>
      <c r="AE435" s="29" t="n"/>
      <c r="AF435" s="29" t="n"/>
      <c r="AG435" s="29" t="n"/>
      <c r="AH435" s="29" t="n"/>
      <c r="AI435" s="29" t="n"/>
    </row>
    <row r="436"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  <c r="AA436" s="29" t="n"/>
      <c r="AB436" s="29" t="n"/>
      <c r="AC436" s="29" t="n"/>
      <c r="AD436" s="29" t="n"/>
      <c r="AE436" s="29" t="n"/>
      <c r="AF436" s="29" t="n"/>
      <c r="AG436" s="29" t="n"/>
      <c r="AH436" s="29" t="n"/>
      <c r="AI436" s="29" t="n"/>
    </row>
    <row r="437"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  <c r="AA437" s="29" t="n"/>
      <c r="AB437" s="29" t="n"/>
      <c r="AC437" s="29" t="n"/>
      <c r="AD437" s="29" t="n"/>
      <c r="AE437" s="29" t="n"/>
      <c r="AF437" s="29" t="n"/>
      <c r="AG437" s="29" t="n"/>
      <c r="AH437" s="29" t="n"/>
      <c r="AI437" s="29" t="n"/>
    </row>
    <row r="438"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  <c r="AA438" s="29" t="n"/>
      <c r="AB438" s="29" t="n"/>
      <c r="AC438" s="29" t="n"/>
      <c r="AD438" s="29" t="n"/>
      <c r="AE438" s="29" t="n"/>
      <c r="AF438" s="29" t="n"/>
      <c r="AG438" s="29" t="n"/>
      <c r="AH438" s="29" t="n"/>
      <c r="AI438" s="29" t="n"/>
    </row>
    <row r="439"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  <c r="AA439" s="29" t="n"/>
      <c r="AB439" s="29" t="n"/>
      <c r="AC439" s="29" t="n"/>
      <c r="AD439" s="29" t="n"/>
      <c r="AE439" s="29" t="n"/>
      <c r="AF439" s="29" t="n"/>
      <c r="AG439" s="29" t="n"/>
      <c r="AH439" s="29" t="n"/>
      <c r="AI439" s="29" t="n"/>
    </row>
    <row r="440"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  <c r="AA440" s="29" t="n"/>
      <c r="AB440" s="29" t="n"/>
      <c r="AC440" s="29" t="n"/>
      <c r="AD440" s="29" t="n"/>
      <c r="AE440" s="29" t="n"/>
      <c r="AF440" s="29" t="n"/>
      <c r="AG440" s="29" t="n"/>
      <c r="AH440" s="29" t="n"/>
      <c r="AI440" s="29" t="n"/>
    </row>
    <row r="441"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  <c r="AA441" s="29" t="n"/>
      <c r="AB441" s="29" t="n"/>
      <c r="AC441" s="29" t="n"/>
      <c r="AD441" s="29" t="n"/>
      <c r="AE441" s="29" t="n"/>
      <c r="AF441" s="29" t="n"/>
      <c r="AG441" s="29" t="n"/>
      <c r="AH441" s="29" t="n"/>
      <c r="AI441" s="29" t="n"/>
    </row>
    <row r="442"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  <c r="AA442" s="29" t="n"/>
      <c r="AB442" s="29" t="n"/>
      <c r="AC442" s="29" t="n"/>
      <c r="AD442" s="29" t="n"/>
      <c r="AE442" s="29" t="n"/>
      <c r="AF442" s="29" t="n"/>
      <c r="AG442" s="29" t="n"/>
      <c r="AH442" s="29" t="n"/>
      <c r="AI442" s="29" t="n"/>
    </row>
    <row r="443"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  <c r="AA443" s="29" t="n"/>
      <c r="AB443" s="29" t="n"/>
      <c r="AC443" s="29" t="n"/>
      <c r="AD443" s="29" t="n"/>
      <c r="AE443" s="29" t="n"/>
      <c r="AF443" s="29" t="n"/>
      <c r="AG443" s="29" t="n"/>
      <c r="AH443" s="29" t="n"/>
      <c r="AI443" s="29" t="n"/>
    </row>
    <row r="444"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  <c r="AA444" s="29" t="n"/>
      <c r="AB444" s="29" t="n"/>
      <c r="AC444" s="29" t="n"/>
      <c r="AD444" s="29" t="n"/>
      <c r="AE444" s="29" t="n"/>
      <c r="AF444" s="29" t="n"/>
      <c r="AG444" s="29" t="n"/>
      <c r="AH444" s="29" t="n"/>
      <c r="AI444" s="29" t="n"/>
    </row>
    <row r="445"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  <c r="AA445" s="29" t="n"/>
      <c r="AB445" s="29" t="n"/>
      <c r="AC445" s="29" t="n"/>
      <c r="AD445" s="29" t="n"/>
      <c r="AE445" s="29" t="n"/>
      <c r="AF445" s="29" t="n"/>
      <c r="AG445" s="29" t="n"/>
      <c r="AH445" s="29" t="n"/>
      <c r="AI445" s="29" t="n"/>
    </row>
    <row r="446"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  <c r="AA446" s="29" t="n"/>
      <c r="AB446" s="29" t="n"/>
      <c r="AC446" s="29" t="n"/>
      <c r="AD446" s="29" t="n"/>
      <c r="AE446" s="29" t="n"/>
      <c r="AF446" s="29" t="n"/>
      <c r="AG446" s="29" t="n"/>
      <c r="AH446" s="29" t="n"/>
      <c r="AI446" s="29" t="n"/>
    </row>
    <row r="447"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  <c r="AA447" s="29" t="n"/>
      <c r="AB447" s="29" t="n"/>
      <c r="AC447" s="29" t="n"/>
      <c r="AD447" s="29" t="n"/>
      <c r="AE447" s="29" t="n"/>
      <c r="AF447" s="29" t="n"/>
      <c r="AG447" s="29" t="n"/>
      <c r="AH447" s="29" t="n"/>
      <c r="AI447" s="29" t="n"/>
    </row>
    <row r="448"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  <c r="AA448" s="29" t="n"/>
      <c r="AB448" s="29" t="n"/>
      <c r="AC448" s="29" t="n"/>
      <c r="AD448" s="29" t="n"/>
      <c r="AE448" s="29" t="n"/>
      <c r="AF448" s="29" t="n"/>
      <c r="AG448" s="29" t="n"/>
      <c r="AH448" s="29" t="n"/>
      <c r="AI448" s="29" t="n"/>
    </row>
    <row r="449"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  <c r="AA449" s="29" t="n"/>
      <c r="AB449" s="29" t="n"/>
      <c r="AC449" s="29" t="n"/>
      <c r="AD449" s="29" t="n"/>
      <c r="AE449" s="29" t="n"/>
      <c r="AF449" s="29" t="n"/>
      <c r="AG449" s="29" t="n"/>
      <c r="AH449" s="29" t="n"/>
      <c r="AI449" s="29" t="n"/>
    </row>
    <row r="450"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  <c r="AA450" s="29" t="n"/>
      <c r="AB450" s="29" t="n"/>
      <c r="AC450" s="29" t="n"/>
      <c r="AD450" s="29" t="n"/>
      <c r="AE450" s="29" t="n"/>
      <c r="AF450" s="29" t="n"/>
      <c r="AG450" s="29" t="n"/>
      <c r="AH450" s="29" t="n"/>
      <c r="AI450" s="29" t="n"/>
    </row>
    <row r="451"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  <c r="AA451" s="29" t="n"/>
      <c r="AB451" s="29" t="n"/>
      <c r="AC451" s="29" t="n"/>
      <c r="AD451" s="29" t="n"/>
      <c r="AE451" s="29" t="n"/>
      <c r="AF451" s="29" t="n"/>
      <c r="AG451" s="29" t="n"/>
      <c r="AH451" s="29" t="n"/>
      <c r="AI451" s="29" t="n"/>
    </row>
    <row r="452"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  <c r="AA452" s="29" t="n"/>
      <c r="AB452" s="29" t="n"/>
      <c r="AC452" s="29" t="n"/>
      <c r="AD452" s="29" t="n"/>
      <c r="AE452" s="29" t="n"/>
      <c r="AF452" s="29" t="n"/>
      <c r="AG452" s="29" t="n"/>
      <c r="AH452" s="29" t="n"/>
      <c r="AI452" s="29" t="n"/>
    </row>
    <row r="453"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  <c r="AA453" s="29" t="n"/>
      <c r="AB453" s="29" t="n"/>
      <c r="AC453" s="29" t="n"/>
      <c r="AD453" s="29" t="n"/>
      <c r="AE453" s="29" t="n"/>
      <c r="AF453" s="29" t="n"/>
      <c r="AG453" s="29" t="n"/>
      <c r="AH453" s="29" t="n"/>
      <c r="AI453" s="29" t="n"/>
    </row>
    <row r="454"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  <c r="AA454" s="29" t="n"/>
      <c r="AB454" s="29" t="n"/>
      <c r="AC454" s="29" t="n"/>
      <c r="AD454" s="29" t="n"/>
      <c r="AE454" s="29" t="n"/>
      <c r="AF454" s="29" t="n"/>
      <c r="AG454" s="29" t="n"/>
      <c r="AH454" s="29" t="n"/>
      <c r="AI454" s="29" t="n"/>
    </row>
    <row r="455"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  <c r="AA455" s="29" t="n"/>
      <c r="AB455" s="29" t="n"/>
      <c r="AC455" s="29" t="n"/>
      <c r="AD455" s="29" t="n"/>
      <c r="AE455" s="29" t="n"/>
      <c r="AF455" s="29" t="n"/>
      <c r="AG455" s="29" t="n"/>
      <c r="AH455" s="29" t="n"/>
      <c r="AI455" s="29" t="n"/>
    </row>
    <row r="456"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  <c r="AA456" s="29" t="n"/>
      <c r="AB456" s="29" t="n"/>
      <c r="AC456" s="29" t="n"/>
      <c r="AD456" s="29" t="n"/>
      <c r="AE456" s="29" t="n"/>
      <c r="AF456" s="29" t="n"/>
      <c r="AG456" s="29" t="n"/>
      <c r="AH456" s="29" t="n"/>
      <c r="AI456" s="29" t="n"/>
    </row>
    <row r="457"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  <c r="AA457" s="29" t="n"/>
      <c r="AB457" s="29" t="n"/>
      <c r="AC457" s="29" t="n"/>
      <c r="AD457" s="29" t="n"/>
      <c r="AE457" s="29" t="n"/>
      <c r="AF457" s="29" t="n"/>
      <c r="AG457" s="29" t="n"/>
      <c r="AH457" s="29" t="n"/>
      <c r="AI457" s="29" t="n"/>
    </row>
    <row r="458"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  <c r="AA458" s="29" t="n"/>
      <c r="AB458" s="29" t="n"/>
      <c r="AC458" s="29" t="n"/>
      <c r="AD458" s="29" t="n"/>
      <c r="AE458" s="29" t="n"/>
      <c r="AF458" s="29" t="n"/>
      <c r="AG458" s="29" t="n"/>
      <c r="AH458" s="29" t="n"/>
      <c r="AI458" s="29" t="n"/>
    </row>
    <row r="459"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  <c r="AA459" s="29" t="n"/>
      <c r="AB459" s="29" t="n"/>
      <c r="AC459" s="29" t="n"/>
      <c r="AD459" s="29" t="n"/>
      <c r="AE459" s="29" t="n"/>
      <c r="AF459" s="29" t="n"/>
      <c r="AG459" s="29" t="n"/>
      <c r="AH459" s="29" t="n"/>
      <c r="AI459" s="29" t="n"/>
    </row>
    <row r="460"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  <c r="AA460" s="29" t="n"/>
      <c r="AB460" s="29" t="n"/>
      <c r="AC460" s="29" t="n"/>
      <c r="AD460" s="29" t="n"/>
      <c r="AE460" s="29" t="n"/>
      <c r="AF460" s="29" t="n"/>
      <c r="AG460" s="29" t="n"/>
      <c r="AH460" s="29" t="n"/>
      <c r="AI460" s="29" t="n"/>
    </row>
    <row r="461"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  <c r="AA461" s="29" t="n"/>
      <c r="AB461" s="29" t="n"/>
      <c r="AC461" s="29" t="n"/>
      <c r="AD461" s="29" t="n"/>
      <c r="AE461" s="29" t="n"/>
      <c r="AF461" s="29" t="n"/>
      <c r="AG461" s="29" t="n"/>
      <c r="AH461" s="29" t="n"/>
      <c r="AI461" s="29" t="n"/>
    </row>
    <row r="462"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  <c r="AA462" s="29" t="n"/>
      <c r="AB462" s="29" t="n"/>
      <c r="AC462" s="29" t="n"/>
      <c r="AD462" s="29" t="n"/>
      <c r="AE462" s="29" t="n"/>
      <c r="AF462" s="29" t="n"/>
      <c r="AG462" s="29" t="n"/>
      <c r="AH462" s="29" t="n"/>
      <c r="AI462" s="29" t="n"/>
    </row>
    <row r="463"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  <c r="AA463" s="29" t="n"/>
      <c r="AB463" s="29" t="n"/>
      <c r="AC463" s="29" t="n"/>
      <c r="AD463" s="29" t="n"/>
      <c r="AE463" s="29" t="n"/>
      <c r="AF463" s="29" t="n"/>
      <c r="AG463" s="29" t="n"/>
      <c r="AH463" s="29" t="n"/>
      <c r="AI463" s="29" t="n"/>
    </row>
    <row r="464"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  <c r="AA464" s="29" t="n"/>
      <c r="AB464" s="29" t="n"/>
      <c r="AC464" s="29" t="n"/>
      <c r="AD464" s="29" t="n"/>
      <c r="AE464" s="29" t="n"/>
      <c r="AF464" s="29" t="n"/>
      <c r="AG464" s="29" t="n"/>
      <c r="AH464" s="29" t="n"/>
      <c r="AI464" s="29" t="n"/>
    </row>
    <row r="465"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  <c r="AA465" s="29" t="n"/>
      <c r="AB465" s="29" t="n"/>
      <c r="AC465" s="29" t="n"/>
      <c r="AD465" s="29" t="n"/>
      <c r="AE465" s="29" t="n"/>
      <c r="AF465" s="29" t="n"/>
      <c r="AG465" s="29" t="n"/>
      <c r="AH465" s="29" t="n"/>
      <c r="AI465" s="29" t="n"/>
    </row>
    <row r="466"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  <c r="AA466" s="29" t="n"/>
      <c r="AB466" s="29" t="n"/>
      <c r="AC466" s="29" t="n"/>
      <c r="AD466" s="29" t="n"/>
      <c r="AE466" s="29" t="n"/>
      <c r="AF466" s="29" t="n"/>
      <c r="AG466" s="29" t="n"/>
      <c r="AH466" s="29" t="n"/>
      <c r="AI466" s="29" t="n"/>
    </row>
    <row r="467"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  <c r="AA467" s="29" t="n"/>
      <c r="AB467" s="29" t="n"/>
      <c r="AC467" s="29" t="n"/>
      <c r="AD467" s="29" t="n"/>
      <c r="AE467" s="29" t="n"/>
      <c r="AF467" s="29" t="n"/>
      <c r="AG467" s="29" t="n"/>
      <c r="AH467" s="29" t="n"/>
      <c r="AI467" s="29" t="n"/>
    </row>
    <row r="468"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  <c r="AA468" s="29" t="n"/>
      <c r="AB468" s="29" t="n"/>
      <c r="AC468" s="29" t="n"/>
      <c r="AD468" s="29" t="n"/>
      <c r="AE468" s="29" t="n"/>
      <c r="AF468" s="29" t="n"/>
      <c r="AG468" s="29" t="n"/>
      <c r="AH468" s="29" t="n"/>
      <c r="AI468" s="29" t="n"/>
    </row>
    <row r="469"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  <c r="AA469" s="29" t="n"/>
      <c r="AB469" s="29" t="n"/>
      <c r="AC469" s="29" t="n"/>
      <c r="AD469" s="29" t="n"/>
      <c r="AE469" s="29" t="n"/>
      <c r="AF469" s="29" t="n"/>
      <c r="AG469" s="29" t="n"/>
      <c r="AH469" s="29" t="n"/>
      <c r="AI469" s="29" t="n"/>
    </row>
    <row r="470"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  <c r="AA470" s="29" t="n"/>
      <c r="AB470" s="29" t="n"/>
      <c r="AC470" s="29" t="n"/>
      <c r="AD470" s="29" t="n"/>
      <c r="AE470" s="29" t="n"/>
      <c r="AF470" s="29" t="n"/>
      <c r="AG470" s="29" t="n"/>
      <c r="AH470" s="29" t="n"/>
      <c r="AI470" s="29" t="n"/>
    </row>
    <row r="471"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  <c r="AA471" s="29" t="n"/>
      <c r="AB471" s="29" t="n"/>
      <c r="AC471" s="29" t="n"/>
      <c r="AD471" s="29" t="n"/>
      <c r="AE471" s="29" t="n"/>
      <c r="AF471" s="29" t="n"/>
      <c r="AG471" s="29" t="n"/>
      <c r="AH471" s="29" t="n"/>
      <c r="AI471" s="29" t="n"/>
    </row>
    <row r="472"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  <c r="AA472" s="29" t="n"/>
      <c r="AB472" s="29" t="n"/>
      <c r="AC472" s="29" t="n"/>
      <c r="AD472" s="29" t="n"/>
      <c r="AE472" s="29" t="n"/>
      <c r="AF472" s="29" t="n"/>
      <c r="AG472" s="29" t="n"/>
      <c r="AH472" s="29" t="n"/>
      <c r="AI472" s="29" t="n"/>
    </row>
    <row r="473"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  <c r="AA473" s="29" t="n"/>
      <c r="AB473" s="29" t="n"/>
      <c r="AC473" s="29" t="n"/>
      <c r="AD473" s="29" t="n"/>
      <c r="AE473" s="29" t="n"/>
      <c r="AF473" s="29" t="n"/>
      <c r="AG473" s="29" t="n"/>
      <c r="AH473" s="29" t="n"/>
      <c r="AI473" s="29" t="n"/>
    </row>
    <row r="474"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  <c r="AA474" s="29" t="n"/>
      <c r="AB474" s="29" t="n"/>
      <c r="AC474" s="29" t="n"/>
      <c r="AD474" s="29" t="n"/>
      <c r="AE474" s="29" t="n"/>
      <c r="AF474" s="29" t="n"/>
      <c r="AG474" s="29" t="n"/>
      <c r="AH474" s="29" t="n"/>
      <c r="AI474" s="29" t="n"/>
    </row>
    <row r="475"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  <c r="AA475" s="29" t="n"/>
      <c r="AB475" s="29" t="n"/>
      <c r="AC475" s="29" t="n"/>
      <c r="AD475" s="29" t="n"/>
      <c r="AE475" s="29" t="n"/>
      <c r="AF475" s="29" t="n"/>
      <c r="AG475" s="29" t="n"/>
      <c r="AH475" s="29" t="n"/>
      <c r="AI475" s="29" t="n"/>
    </row>
    <row r="476"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  <c r="AA476" s="29" t="n"/>
      <c r="AB476" s="29" t="n"/>
      <c r="AC476" s="29" t="n"/>
      <c r="AD476" s="29" t="n"/>
      <c r="AE476" s="29" t="n"/>
      <c r="AF476" s="29" t="n"/>
      <c r="AG476" s="29" t="n"/>
      <c r="AH476" s="29" t="n"/>
      <c r="AI476" s="29" t="n"/>
    </row>
    <row r="477"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  <c r="AA477" s="29" t="n"/>
      <c r="AB477" s="29" t="n"/>
      <c r="AC477" s="29" t="n"/>
      <c r="AD477" s="29" t="n"/>
      <c r="AE477" s="29" t="n"/>
      <c r="AF477" s="29" t="n"/>
      <c r="AG477" s="29" t="n"/>
      <c r="AH477" s="29" t="n"/>
      <c r="AI477" s="29" t="n"/>
    </row>
    <row r="478"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  <c r="AA478" s="29" t="n"/>
      <c r="AB478" s="29" t="n"/>
      <c r="AC478" s="29" t="n"/>
      <c r="AD478" s="29" t="n"/>
      <c r="AE478" s="29" t="n"/>
      <c r="AF478" s="29" t="n"/>
      <c r="AG478" s="29" t="n"/>
      <c r="AH478" s="29" t="n"/>
      <c r="AI478" s="29" t="n"/>
    </row>
    <row r="479"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  <c r="AA479" s="29" t="n"/>
      <c r="AB479" s="29" t="n"/>
      <c r="AC479" s="29" t="n"/>
      <c r="AD479" s="29" t="n"/>
      <c r="AE479" s="29" t="n"/>
      <c r="AF479" s="29" t="n"/>
      <c r="AG479" s="29" t="n"/>
      <c r="AH479" s="29" t="n"/>
      <c r="AI479" s="29" t="n"/>
    </row>
    <row r="480"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  <c r="AA480" s="29" t="n"/>
      <c r="AB480" s="29" t="n"/>
      <c r="AC480" s="29" t="n"/>
      <c r="AD480" s="29" t="n"/>
      <c r="AE480" s="29" t="n"/>
      <c r="AF480" s="29" t="n"/>
      <c r="AG480" s="29" t="n"/>
      <c r="AH480" s="29" t="n"/>
      <c r="AI480" s="29" t="n"/>
    </row>
    <row r="481"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  <c r="AA481" s="29" t="n"/>
      <c r="AB481" s="29" t="n"/>
      <c r="AC481" s="29" t="n"/>
      <c r="AD481" s="29" t="n"/>
      <c r="AE481" s="29" t="n"/>
      <c r="AF481" s="29" t="n"/>
      <c r="AG481" s="29" t="n"/>
      <c r="AH481" s="29" t="n"/>
      <c r="AI481" s="29" t="n"/>
    </row>
    <row r="482"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  <c r="AA482" s="29" t="n"/>
      <c r="AB482" s="29" t="n"/>
      <c r="AC482" s="29" t="n"/>
      <c r="AD482" s="29" t="n"/>
      <c r="AE482" s="29" t="n"/>
      <c r="AF482" s="29" t="n"/>
      <c r="AG482" s="29" t="n"/>
      <c r="AH482" s="29" t="n"/>
      <c r="AI482" s="29" t="n"/>
    </row>
    <row r="483"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  <c r="AA483" s="29" t="n"/>
      <c r="AB483" s="29" t="n"/>
      <c r="AC483" s="29" t="n"/>
      <c r="AD483" s="29" t="n"/>
      <c r="AE483" s="29" t="n"/>
      <c r="AF483" s="29" t="n"/>
      <c r="AG483" s="29" t="n"/>
      <c r="AH483" s="29" t="n"/>
      <c r="AI483" s="29" t="n"/>
    </row>
    <row r="484"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  <c r="AA484" s="29" t="n"/>
      <c r="AB484" s="29" t="n"/>
      <c r="AC484" s="29" t="n"/>
      <c r="AD484" s="29" t="n"/>
      <c r="AE484" s="29" t="n"/>
      <c r="AF484" s="29" t="n"/>
      <c r="AG484" s="29" t="n"/>
      <c r="AH484" s="29" t="n"/>
      <c r="AI484" s="29" t="n"/>
    </row>
    <row r="485"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  <c r="AA485" s="29" t="n"/>
      <c r="AB485" s="29" t="n"/>
      <c r="AC485" s="29" t="n"/>
      <c r="AD485" s="29" t="n"/>
      <c r="AE485" s="29" t="n"/>
      <c r="AF485" s="29" t="n"/>
      <c r="AG485" s="29" t="n"/>
      <c r="AH485" s="29" t="n"/>
      <c r="AI485" s="29" t="n"/>
    </row>
    <row r="486"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  <c r="AA486" s="29" t="n"/>
      <c r="AB486" s="29" t="n"/>
      <c r="AC486" s="29" t="n"/>
      <c r="AD486" s="29" t="n"/>
      <c r="AE486" s="29" t="n"/>
      <c r="AF486" s="29" t="n"/>
      <c r="AG486" s="29" t="n"/>
      <c r="AH486" s="29" t="n"/>
      <c r="AI486" s="29" t="n"/>
    </row>
    <row r="487"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  <c r="AA487" s="29" t="n"/>
      <c r="AB487" s="29" t="n"/>
      <c r="AC487" s="29" t="n"/>
      <c r="AD487" s="29" t="n"/>
      <c r="AE487" s="29" t="n"/>
      <c r="AF487" s="29" t="n"/>
      <c r="AG487" s="29" t="n"/>
      <c r="AH487" s="29" t="n"/>
      <c r="AI487" s="29" t="n"/>
    </row>
    <row r="488"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  <c r="AA488" s="29" t="n"/>
      <c r="AB488" s="29" t="n"/>
      <c r="AC488" s="29" t="n"/>
      <c r="AD488" s="29" t="n"/>
      <c r="AE488" s="29" t="n"/>
      <c r="AF488" s="29" t="n"/>
      <c r="AG488" s="29" t="n"/>
      <c r="AH488" s="29" t="n"/>
      <c r="AI488" s="29" t="n"/>
    </row>
    <row r="489"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  <c r="AA489" s="29" t="n"/>
      <c r="AB489" s="29" t="n"/>
      <c r="AC489" s="29" t="n"/>
      <c r="AD489" s="29" t="n"/>
      <c r="AE489" s="29" t="n"/>
      <c r="AF489" s="29" t="n"/>
      <c r="AG489" s="29" t="n"/>
      <c r="AH489" s="29" t="n"/>
      <c r="AI489" s="29" t="n"/>
    </row>
    <row r="490"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  <c r="AA490" s="29" t="n"/>
      <c r="AB490" s="29" t="n"/>
      <c r="AC490" s="29" t="n"/>
      <c r="AD490" s="29" t="n"/>
      <c r="AE490" s="29" t="n"/>
      <c r="AF490" s="29" t="n"/>
      <c r="AG490" s="29" t="n"/>
      <c r="AH490" s="29" t="n"/>
      <c r="AI490" s="29" t="n"/>
    </row>
    <row r="491"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  <c r="AA491" s="29" t="n"/>
      <c r="AB491" s="29" t="n"/>
      <c r="AC491" s="29" t="n"/>
      <c r="AD491" s="29" t="n"/>
      <c r="AE491" s="29" t="n"/>
      <c r="AF491" s="29" t="n"/>
      <c r="AG491" s="29" t="n"/>
      <c r="AH491" s="29" t="n"/>
      <c r="AI491" s="29" t="n"/>
    </row>
    <row r="492"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  <c r="AA492" s="29" t="n"/>
      <c r="AB492" s="29" t="n"/>
      <c r="AC492" s="29" t="n"/>
      <c r="AD492" s="29" t="n"/>
      <c r="AE492" s="29" t="n"/>
      <c r="AF492" s="29" t="n"/>
      <c r="AG492" s="29" t="n"/>
      <c r="AH492" s="29" t="n"/>
      <c r="AI492" s="29" t="n"/>
    </row>
    <row r="493"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  <c r="AA493" s="29" t="n"/>
      <c r="AB493" s="29" t="n"/>
      <c r="AC493" s="29" t="n"/>
      <c r="AD493" s="29" t="n"/>
      <c r="AE493" s="29" t="n"/>
      <c r="AF493" s="29" t="n"/>
      <c r="AG493" s="29" t="n"/>
      <c r="AH493" s="29" t="n"/>
      <c r="AI493" s="29" t="n"/>
    </row>
    <row r="494"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  <c r="AA494" s="29" t="n"/>
      <c r="AB494" s="29" t="n"/>
      <c r="AC494" s="29" t="n"/>
      <c r="AD494" s="29" t="n"/>
      <c r="AE494" s="29" t="n"/>
      <c r="AF494" s="29" t="n"/>
      <c r="AG494" s="29" t="n"/>
      <c r="AH494" s="29" t="n"/>
      <c r="AI494" s="29" t="n"/>
    </row>
    <row r="495"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  <c r="AA495" s="29" t="n"/>
      <c r="AB495" s="29" t="n"/>
      <c r="AC495" s="29" t="n"/>
      <c r="AD495" s="29" t="n"/>
      <c r="AE495" s="29" t="n"/>
      <c r="AF495" s="29" t="n"/>
      <c r="AG495" s="29" t="n"/>
      <c r="AH495" s="29" t="n"/>
      <c r="AI495" s="29" t="n"/>
    </row>
    <row r="496"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  <c r="AA496" s="29" t="n"/>
      <c r="AB496" s="29" t="n"/>
      <c r="AC496" s="29" t="n"/>
      <c r="AD496" s="29" t="n"/>
      <c r="AE496" s="29" t="n"/>
      <c r="AF496" s="29" t="n"/>
      <c r="AG496" s="29" t="n"/>
      <c r="AH496" s="29" t="n"/>
      <c r="AI496" s="29" t="n"/>
    </row>
    <row r="497"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  <c r="AA497" s="29" t="n"/>
      <c r="AB497" s="29" t="n"/>
      <c r="AC497" s="29" t="n"/>
      <c r="AD497" s="29" t="n"/>
      <c r="AE497" s="29" t="n"/>
      <c r="AF497" s="29" t="n"/>
      <c r="AG497" s="29" t="n"/>
      <c r="AH497" s="29" t="n"/>
      <c r="AI497" s="29" t="n"/>
    </row>
    <row r="498"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  <c r="AA498" s="29" t="n"/>
      <c r="AB498" s="29" t="n"/>
      <c r="AC498" s="29" t="n"/>
      <c r="AD498" s="29" t="n"/>
      <c r="AE498" s="29" t="n"/>
      <c r="AF498" s="29" t="n"/>
      <c r="AG498" s="29" t="n"/>
      <c r="AH498" s="29" t="n"/>
      <c r="AI498" s="29" t="n"/>
    </row>
    <row r="499"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  <c r="AA499" s="29" t="n"/>
      <c r="AB499" s="29" t="n"/>
      <c r="AC499" s="29" t="n"/>
      <c r="AD499" s="29" t="n"/>
      <c r="AE499" s="29" t="n"/>
      <c r="AF499" s="29" t="n"/>
      <c r="AG499" s="29" t="n"/>
      <c r="AH499" s="29" t="n"/>
      <c r="AI499" s="29" t="n"/>
    </row>
    <row r="500"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  <c r="AA500" s="29" t="n"/>
      <c r="AB500" s="29" t="n"/>
      <c r="AC500" s="29" t="n"/>
      <c r="AD500" s="29" t="n"/>
      <c r="AE500" s="29" t="n"/>
      <c r="AF500" s="29" t="n"/>
      <c r="AG500" s="29" t="n"/>
      <c r="AH500" s="29" t="n"/>
      <c r="AI500" s="29" t="n"/>
    </row>
    <row r="501">
      <c r="L501" s="29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29" t="n"/>
      <c r="W501" s="29" t="n"/>
      <c r="X501" s="29" t="n"/>
      <c r="Y501" s="29" t="n"/>
      <c r="Z501" s="29" t="n"/>
      <c r="AA501" s="29" t="n"/>
      <c r="AB501" s="29" t="n"/>
      <c r="AC501" s="29" t="n"/>
      <c r="AD501" s="29" t="n"/>
      <c r="AE501" s="29" t="n"/>
      <c r="AF501" s="29" t="n"/>
      <c r="AG501" s="29" t="n"/>
      <c r="AH501" s="29" t="n"/>
      <c r="AI501" s="29" t="n"/>
    </row>
    <row r="502">
      <c r="L502" s="29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29" t="n"/>
      <c r="W502" s="29" t="n"/>
      <c r="X502" s="29" t="n"/>
      <c r="Y502" s="29" t="n"/>
      <c r="Z502" s="29" t="n"/>
      <c r="AA502" s="29" t="n"/>
      <c r="AB502" s="29" t="n"/>
      <c r="AC502" s="29" t="n"/>
      <c r="AD502" s="29" t="n"/>
      <c r="AE502" s="29" t="n"/>
      <c r="AF502" s="29" t="n"/>
      <c r="AG502" s="29" t="n"/>
      <c r="AH502" s="29" t="n"/>
      <c r="AI502" s="29" t="n"/>
    </row>
    <row r="503">
      <c r="L503" s="29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29" t="n"/>
      <c r="W503" s="29" t="n"/>
      <c r="X503" s="29" t="n"/>
      <c r="Y503" s="29" t="n"/>
      <c r="Z503" s="29" t="n"/>
      <c r="AA503" s="29" t="n"/>
      <c r="AB503" s="29" t="n"/>
      <c r="AC503" s="29" t="n"/>
      <c r="AD503" s="29" t="n"/>
      <c r="AE503" s="29" t="n"/>
      <c r="AF503" s="29" t="n"/>
      <c r="AG503" s="29" t="n"/>
      <c r="AH503" s="29" t="n"/>
      <c r="AI503" s="29" t="n"/>
    </row>
    <row r="504">
      <c r="L504" s="29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29" t="n"/>
      <c r="W504" s="29" t="n"/>
      <c r="X504" s="29" t="n"/>
      <c r="Y504" s="29" t="n"/>
      <c r="Z504" s="29" t="n"/>
      <c r="AA504" s="29" t="n"/>
      <c r="AB504" s="29" t="n"/>
      <c r="AC504" s="29" t="n"/>
      <c r="AD504" s="29" t="n"/>
      <c r="AE504" s="29" t="n"/>
      <c r="AF504" s="29" t="n"/>
      <c r="AG504" s="29" t="n"/>
      <c r="AH504" s="29" t="n"/>
      <c r="AI504" s="29" t="n"/>
    </row>
    <row r="505">
      <c r="L505" s="29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29" t="n"/>
      <c r="W505" s="29" t="n"/>
      <c r="X505" s="29" t="n"/>
      <c r="Y505" s="29" t="n"/>
      <c r="Z505" s="29" t="n"/>
      <c r="AA505" s="29" t="n"/>
      <c r="AB505" s="29" t="n"/>
      <c r="AC505" s="29" t="n"/>
      <c r="AD505" s="29" t="n"/>
      <c r="AE505" s="29" t="n"/>
      <c r="AF505" s="29" t="n"/>
      <c r="AG505" s="29" t="n"/>
      <c r="AH505" s="29" t="n"/>
      <c r="AI505" s="29" t="n"/>
    </row>
    <row r="506">
      <c r="L506" s="29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29" t="n"/>
      <c r="W506" s="29" t="n"/>
      <c r="X506" s="29" t="n"/>
      <c r="Y506" s="29" t="n"/>
      <c r="Z506" s="29" t="n"/>
      <c r="AA506" s="29" t="n"/>
      <c r="AB506" s="29" t="n"/>
      <c r="AC506" s="29" t="n"/>
      <c r="AD506" s="29" t="n"/>
      <c r="AE506" s="29" t="n"/>
      <c r="AF506" s="29" t="n"/>
      <c r="AG506" s="29" t="n"/>
      <c r="AH506" s="29" t="n"/>
      <c r="AI506" s="29" t="n"/>
    </row>
    <row r="507">
      <c r="L507" s="29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29" t="n"/>
      <c r="W507" s="29" t="n"/>
      <c r="X507" s="29" t="n"/>
      <c r="Y507" s="29" t="n"/>
      <c r="Z507" s="29" t="n"/>
      <c r="AA507" s="29" t="n"/>
      <c r="AB507" s="29" t="n"/>
      <c r="AC507" s="29" t="n"/>
      <c r="AD507" s="29" t="n"/>
      <c r="AE507" s="29" t="n"/>
      <c r="AF507" s="29" t="n"/>
      <c r="AG507" s="29" t="n"/>
      <c r="AH507" s="29" t="n"/>
      <c r="AI507" s="29" t="n"/>
    </row>
    <row r="508">
      <c r="L508" s="29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29" t="n"/>
      <c r="W508" s="29" t="n"/>
      <c r="X508" s="29" t="n"/>
      <c r="Y508" s="29" t="n"/>
      <c r="Z508" s="29" t="n"/>
      <c r="AA508" s="29" t="n"/>
      <c r="AB508" s="29" t="n"/>
      <c r="AC508" s="29" t="n"/>
      <c r="AD508" s="29" t="n"/>
      <c r="AE508" s="29" t="n"/>
      <c r="AF508" s="29" t="n"/>
      <c r="AG508" s="29" t="n"/>
      <c r="AH508" s="29" t="n"/>
      <c r="AI508" s="29" t="n"/>
    </row>
    <row r="509">
      <c r="L509" s="29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29" t="n"/>
      <c r="W509" s="29" t="n"/>
      <c r="X509" s="29" t="n"/>
      <c r="Y509" s="29" t="n"/>
      <c r="Z509" s="29" t="n"/>
      <c r="AA509" s="29" t="n"/>
      <c r="AB509" s="29" t="n"/>
      <c r="AC509" s="29" t="n"/>
      <c r="AD509" s="29" t="n"/>
      <c r="AE509" s="29" t="n"/>
      <c r="AF509" s="29" t="n"/>
      <c r="AG509" s="29" t="n"/>
      <c r="AH509" s="29" t="n"/>
      <c r="AI509" s="29" t="n"/>
    </row>
    <row r="510">
      <c r="L510" s="29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29" t="n"/>
      <c r="W510" s="29" t="n"/>
      <c r="X510" s="29" t="n"/>
      <c r="Y510" s="29" t="n"/>
      <c r="Z510" s="29" t="n"/>
      <c r="AA510" s="29" t="n"/>
      <c r="AB510" s="29" t="n"/>
      <c r="AC510" s="29" t="n"/>
      <c r="AD510" s="29" t="n"/>
      <c r="AE510" s="29" t="n"/>
      <c r="AF510" s="29" t="n"/>
      <c r="AG510" s="29" t="n"/>
      <c r="AH510" s="29" t="n"/>
      <c r="AI510" s="29" t="n"/>
    </row>
    <row r="511">
      <c r="L511" s="29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29" t="n"/>
      <c r="W511" s="29" t="n"/>
      <c r="X511" s="29" t="n"/>
      <c r="Y511" s="29" t="n"/>
      <c r="Z511" s="29" t="n"/>
      <c r="AA511" s="29" t="n"/>
      <c r="AB511" s="29" t="n"/>
      <c r="AC511" s="29" t="n"/>
      <c r="AD511" s="29" t="n"/>
      <c r="AE511" s="29" t="n"/>
      <c r="AF511" s="29" t="n"/>
      <c r="AG511" s="29" t="n"/>
      <c r="AH511" s="29" t="n"/>
      <c r="AI511" s="29" t="n"/>
    </row>
    <row r="512">
      <c r="L512" s="29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29" t="n"/>
      <c r="W512" s="29" t="n"/>
      <c r="X512" s="29" t="n"/>
      <c r="Y512" s="29" t="n"/>
      <c r="Z512" s="29" t="n"/>
      <c r="AA512" s="29" t="n"/>
      <c r="AB512" s="29" t="n"/>
      <c r="AC512" s="29" t="n"/>
      <c r="AD512" s="29" t="n"/>
      <c r="AE512" s="29" t="n"/>
      <c r="AF512" s="29" t="n"/>
      <c r="AG512" s="29" t="n"/>
      <c r="AH512" s="29" t="n"/>
      <c r="AI512" s="29" t="n"/>
    </row>
    <row r="513">
      <c r="L513" s="29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29" t="n"/>
      <c r="W513" s="29" t="n"/>
      <c r="X513" s="29" t="n"/>
      <c r="Y513" s="29" t="n"/>
      <c r="Z513" s="29" t="n"/>
      <c r="AA513" s="29" t="n"/>
      <c r="AB513" s="29" t="n"/>
      <c r="AC513" s="29" t="n"/>
      <c r="AD513" s="29" t="n"/>
      <c r="AE513" s="29" t="n"/>
      <c r="AF513" s="29" t="n"/>
      <c r="AG513" s="29" t="n"/>
      <c r="AH513" s="29" t="n"/>
      <c r="AI513" s="29" t="n"/>
    </row>
    <row r="514">
      <c r="L514" s="29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29" t="n"/>
      <c r="W514" s="29" t="n"/>
      <c r="X514" s="29" t="n"/>
      <c r="Y514" s="29" t="n"/>
      <c r="Z514" s="29" t="n"/>
      <c r="AA514" s="29" t="n"/>
      <c r="AB514" s="29" t="n"/>
      <c r="AC514" s="29" t="n"/>
      <c r="AD514" s="29" t="n"/>
      <c r="AE514" s="29" t="n"/>
      <c r="AF514" s="29" t="n"/>
      <c r="AG514" s="29" t="n"/>
      <c r="AH514" s="29" t="n"/>
      <c r="AI514" s="29" t="n"/>
    </row>
    <row r="515">
      <c r="L515" s="29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29" t="n"/>
      <c r="W515" s="29" t="n"/>
      <c r="X515" s="29" t="n"/>
      <c r="Y515" s="29" t="n"/>
      <c r="Z515" s="29" t="n"/>
      <c r="AA515" s="29" t="n"/>
      <c r="AB515" s="29" t="n"/>
      <c r="AC515" s="29" t="n"/>
      <c r="AD515" s="29" t="n"/>
      <c r="AE515" s="29" t="n"/>
      <c r="AF515" s="29" t="n"/>
      <c r="AG515" s="29" t="n"/>
      <c r="AH515" s="29" t="n"/>
      <c r="AI515" s="29" t="n"/>
    </row>
    <row r="516">
      <c r="L516" s="29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29" t="n"/>
      <c r="W516" s="29" t="n"/>
      <c r="X516" s="29" t="n"/>
      <c r="Y516" s="29" t="n"/>
      <c r="Z516" s="29" t="n"/>
      <c r="AA516" s="29" t="n"/>
      <c r="AB516" s="29" t="n"/>
      <c r="AC516" s="29" t="n"/>
      <c r="AD516" s="29" t="n"/>
      <c r="AE516" s="29" t="n"/>
      <c r="AF516" s="29" t="n"/>
      <c r="AG516" s="29" t="n"/>
      <c r="AH516" s="29" t="n"/>
      <c r="AI516" s="29" t="n"/>
    </row>
    <row r="517">
      <c r="L517" s="29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29" t="n"/>
      <c r="W517" s="29" t="n"/>
      <c r="X517" s="29" t="n"/>
      <c r="Y517" s="29" t="n"/>
      <c r="Z517" s="29" t="n"/>
      <c r="AA517" s="29" t="n"/>
      <c r="AB517" s="29" t="n"/>
      <c r="AC517" s="29" t="n"/>
      <c r="AD517" s="29" t="n"/>
      <c r="AE517" s="29" t="n"/>
      <c r="AF517" s="29" t="n"/>
      <c r="AG517" s="29" t="n"/>
      <c r="AH517" s="29" t="n"/>
      <c r="AI517" s="29" t="n"/>
    </row>
    <row r="518">
      <c r="L518" s="29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29" t="n"/>
      <c r="W518" s="29" t="n"/>
      <c r="X518" s="29" t="n"/>
      <c r="Y518" s="29" t="n"/>
      <c r="Z518" s="29" t="n"/>
      <c r="AA518" s="29" t="n"/>
      <c r="AB518" s="29" t="n"/>
      <c r="AC518" s="29" t="n"/>
      <c r="AD518" s="29" t="n"/>
      <c r="AE518" s="29" t="n"/>
      <c r="AF518" s="29" t="n"/>
      <c r="AG518" s="29" t="n"/>
      <c r="AH518" s="29" t="n"/>
      <c r="AI518" s="29" t="n"/>
    </row>
    <row r="519">
      <c r="L519" s="29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29" t="n"/>
      <c r="W519" s="29" t="n"/>
      <c r="X519" s="29" t="n"/>
      <c r="Y519" s="29" t="n"/>
      <c r="Z519" s="29" t="n"/>
      <c r="AA519" s="29" t="n"/>
      <c r="AB519" s="29" t="n"/>
      <c r="AC519" s="29" t="n"/>
      <c r="AD519" s="29" t="n"/>
      <c r="AE519" s="29" t="n"/>
      <c r="AF519" s="29" t="n"/>
      <c r="AG519" s="29" t="n"/>
      <c r="AH519" s="29" t="n"/>
      <c r="AI519" s="29" t="n"/>
    </row>
    <row r="520">
      <c r="L520" s="29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29" t="n"/>
      <c r="W520" s="29" t="n"/>
      <c r="X520" s="29" t="n"/>
      <c r="Y520" s="29" t="n"/>
      <c r="Z520" s="29" t="n"/>
      <c r="AA520" s="29" t="n"/>
      <c r="AB520" s="29" t="n"/>
      <c r="AC520" s="29" t="n"/>
      <c r="AD520" s="29" t="n"/>
      <c r="AE520" s="29" t="n"/>
      <c r="AF520" s="29" t="n"/>
      <c r="AG520" s="29" t="n"/>
      <c r="AH520" s="29" t="n"/>
      <c r="AI520" s="29" t="n"/>
    </row>
    <row r="521">
      <c r="L521" s="29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29" t="n"/>
      <c r="W521" s="29" t="n"/>
      <c r="X521" s="29" t="n"/>
      <c r="Y521" s="29" t="n"/>
      <c r="Z521" s="29" t="n"/>
      <c r="AA521" s="29" t="n"/>
      <c r="AB521" s="29" t="n"/>
      <c r="AC521" s="29" t="n"/>
      <c r="AD521" s="29" t="n"/>
      <c r="AE521" s="29" t="n"/>
      <c r="AF521" s="29" t="n"/>
      <c r="AG521" s="29" t="n"/>
      <c r="AH521" s="29" t="n"/>
      <c r="AI521" s="29" t="n"/>
    </row>
    <row r="522">
      <c r="L522" s="29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29" t="n"/>
      <c r="W522" s="29" t="n"/>
      <c r="X522" s="29" t="n"/>
      <c r="Y522" s="29" t="n"/>
      <c r="Z522" s="29" t="n"/>
      <c r="AA522" s="29" t="n"/>
      <c r="AB522" s="29" t="n"/>
      <c r="AC522" s="29" t="n"/>
      <c r="AD522" s="29" t="n"/>
      <c r="AE522" s="29" t="n"/>
      <c r="AF522" s="29" t="n"/>
      <c r="AG522" s="29" t="n"/>
      <c r="AH522" s="29" t="n"/>
      <c r="AI522" s="29" t="n"/>
    </row>
    <row r="523">
      <c r="L523" s="29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29" t="n"/>
      <c r="W523" s="29" t="n"/>
      <c r="X523" s="29" t="n"/>
      <c r="Y523" s="29" t="n"/>
      <c r="Z523" s="29" t="n"/>
      <c r="AA523" s="29" t="n"/>
      <c r="AB523" s="29" t="n"/>
      <c r="AC523" s="29" t="n"/>
      <c r="AD523" s="29" t="n"/>
      <c r="AE523" s="29" t="n"/>
      <c r="AF523" s="29" t="n"/>
      <c r="AG523" s="29" t="n"/>
      <c r="AH523" s="29" t="n"/>
      <c r="AI523" s="29" t="n"/>
    </row>
    <row r="524">
      <c r="L524" s="29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29" t="n"/>
      <c r="W524" s="29" t="n"/>
      <c r="X524" s="29" t="n"/>
      <c r="Y524" s="29" t="n"/>
      <c r="Z524" s="29" t="n"/>
      <c r="AA524" s="29" t="n"/>
      <c r="AB524" s="29" t="n"/>
      <c r="AC524" s="29" t="n"/>
      <c r="AD524" s="29" t="n"/>
      <c r="AE524" s="29" t="n"/>
      <c r="AF524" s="29" t="n"/>
      <c r="AG524" s="29" t="n"/>
      <c r="AH524" s="29" t="n"/>
      <c r="AI524" s="29" t="n"/>
    </row>
    <row r="525">
      <c r="L525" s="29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29" t="n"/>
      <c r="W525" s="29" t="n"/>
      <c r="X525" s="29" t="n"/>
      <c r="Y525" s="29" t="n"/>
      <c r="Z525" s="29" t="n"/>
      <c r="AA525" s="29" t="n"/>
      <c r="AB525" s="29" t="n"/>
      <c r="AC525" s="29" t="n"/>
      <c r="AD525" s="29" t="n"/>
      <c r="AE525" s="29" t="n"/>
      <c r="AF525" s="29" t="n"/>
      <c r="AG525" s="29" t="n"/>
      <c r="AH525" s="29" t="n"/>
      <c r="AI525" s="29" t="n"/>
    </row>
    <row r="526">
      <c r="L526" s="29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29" t="n"/>
      <c r="W526" s="29" t="n"/>
      <c r="X526" s="29" t="n"/>
      <c r="Y526" s="29" t="n"/>
      <c r="Z526" s="29" t="n"/>
      <c r="AA526" s="29" t="n"/>
      <c r="AB526" s="29" t="n"/>
      <c r="AC526" s="29" t="n"/>
      <c r="AD526" s="29" t="n"/>
      <c r="AE526" s="29" t="n"/>
      <c r="AF526" s="29" t="n"/>
      <c r="AG526" s="29" t="n"/>
      <c r="AH526" s="29" t="n"/>
      <c r="AI526" s="29" t="n"/>
    </row>
    <row r="527">
      <c r="L527" s="29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29" t="n"/>
      <c r="W527" s="29" t="n"/>
      <c r="X527" s="29" t="n"/>
      <c r="Y527" s="29" t="n"/>
      <c r="Z527" s="29" t="n"/>
      <c r="AA527" s="29" t="n"/>
      <c r="AB527" s="29" t="n"/>
      <c r="AC527" s="29" t="n"/>
      <c r="AD527" s="29" t="n"/>
      <c r="AE527" s="29" t="n"/>
      <c r="AF527" s="29" t="n"/>
      <c r="AG527" s="29" t="n"/>
      <c r="AH527" s="29" t="n"/>
      <c r="AI527" s="29" t="n"/>
    </row>
    <row r="528">
      <c r="L528" s="29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29" t="n"/>
      <c r="W528" s="29" t="n"/>
      <c r="X528" s="29" t="n"/>
      <c r="Y528" s="29" t="n"/>
      <c r="Z528" s="29" t="n"/>
      <c r="AA528" s="29" t="n"/>
      <c r="AB528" s="29" t="n"/>
      <c r="AC528" s="29" t="n"/>
      <c r="AD528" s="29" t="n"/>
      <c r="AE528" s="29" t="n"/>
      <c r="AF528" s="29" t="n"/>
      <c r="AG528" s="29" t="n"/>
      <c r="AH528" s="29" t="n"/>
      <c r="AI528" s="29" t="n"/>
    </row>
    <row r="529">
      <c r="L529" s="29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29" t="n"/>
      <c r="W529" s="29" t="n"/>
      <c r="X529" s="29" t="n"/>
      <c r="Y529" s="29" t="n"/>
      <c r="Z529" s="29" t="n"/>
      <c r="AA529" s="29" t="n"/>
      <c r="AB529" s="29" t="n"/>
      <c r="AC529" s="29" t="n"/>
      <c r="AD529" s="29" t="n"/>
      <c r="AE529" s="29" t="n"/>
      <c r="AF529" s="29" t="n"/>
      <c r="AG529" s="29" t="n"/>
      <c r="AH529" s="29" t="n"/>
      <c r="AI529" s="29" t="n"/>
    </row>
    <row r="530">
      <c r="L530" s="29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29" t="n"/>
      <c r="W530" s="29" t="n"/>
      <c r="X530" s="29" t="n"/>
      <c r="Y530" s="29" t="n"/>
      <c r="Z530" s="29" t="n"/>
      <c r="AA530" s="29" t="n"/>
      <c r="AB530" s="29" t="n"/>
      <c r="AC530" s="29" t="n"/>
      <c r="AD530" s="29" t="n"/>
      <c r="AE530" s="29" t="n"/>
      <c r="AF530" s="29" t="n"/>
      <c r="AG530" s="29" t="n"/>
      <c r="AH530" s="29" t="n"/>
      <c r="AI530" s="29" t="n"/>
    </row>
    <row r="531">
      <c r="L531" s="29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29" t="n"/>
      <c r="W531" s="29" t="n"/>
      <c r="X531" s="29" t="n"/>
      <c r="Y531" s="29" t="n"/>
      <c r="Z531" s="29" t="n"/>
      <c r="AA531" s="29" t="n"/>
      <c r="AB531" s="29" t="n"/>
      <c r="AC531" s="29" t="n"/>
      <c r="AD531" s="29" t="n"/>
      <c r="AE531" s="29" t="n"/>
      <c r="AF531" s="29" t="n"/>
      <c r="AG531" s="29" t="n"/>
      <c r="AH531" s="29" t="n"/>
      <c r="AI531" s="29" t="n"/>
    </row>
    <row r="532">
      <c r="L532" s="29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29" t="n"/>
      <c r="W532" s="29" t="n"/>
      <c r="X532" s="29" t="n"/>
      <c r="Y532" s="29" t="n"/>
      <c r="Z532" s="29" t="n"/>
      <c r="AA532" s="29" t="n"/>
      <c r="AB532" s="29" t="n"/>
      <c r="AC532" s="29" t="n"/>
      <c r="AD532" s="29" t="n"/>
      <c r="AE532" s="29" t="n"/>
      <c r="AF532" s="29" t="n"/>
      <c r="AG532" s="29" t="n"/>
      <c r="AH532" s="29" t="n"/>
      <c r="AI532" s="29" t="n"/>
    </row>
    <row r="533">
      <c r="L533" s="29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29" t="n"/>
      <c r="W533" s="29" t="n"/>
      <c r="X533" s="29" t="n"/>
      <c r="Y533" s="29" t="n"/>
      <c r="Z533" s="29" t="n"/>
      <c r="AA533" s="29" t="n"/>
      <c r="AB533" s="29" t="n"/>
      <c r="AC533" s="29" t="n"/>
      <c r="AD533" s="29" t="n"/>
      <c r="AE533" s="29" t="n"/>
      <c r="AF533" s="29" t="n"/>
      <c r="AG533" s="29" t="n"/>
      <c r="AH533" s="29" t="n"/>
      <c r="AI533" s="29" t="n"/>
    </row>
    <row r="534">
      <c r="L534" s="29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29" t="n"/>
      <c r="W534" s="29" t="n"/>
      <c r="X534" s="29" t="n"/>
      <c r="Y534" s="29" t="n"/>
      <c r="Z534" s="29" t="n"/>
      <c r="AA534" s="29" t="n"/>
      <c r="AB534" s="29" t="n"/>
      <c r="AC534" s="29" t="n"/>
      <c r="AD534" s="29" t="n"/>
      <c r="AE534" s="29" t="n"/>
      <c r="AF534" s="29" t="n"/>
      <c r="AG534" s="29" t="n"/>
      <c r="AH534" s="29" t="n"/>
      <c r="AI534" s="29" t="n"/>
    </row>
    <row r="535">
      <c r="L535" s="29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29" t="n"/>
      <c r="W535" s="29" t="n"/>
      <c r="X535" s="29" t="n"/>
      <c r="Y535" s="29" t="n"/>
      <c r="Z535" s="29" t="n"/>
      <c r="AA535" s="29" t="n"/>
      <c r="AB535" s="29" t="n"/>
      <c r="AC535" s="29" t="n"/>
      <c r="AD535" s="29" t="n"/>
      <c r="AE535" s="29" t="n"/>
      <c r="AF535" s="29" t="n"/>
      <c r="AG535" s="29" t="n"/>
      <c r="AH535" s="29" t="n"/>
      <c r="AI535" s="29" t="n"/>
    </row>
    <row r="536">
      <c r="L536" s="29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29" t="n"/>
      <c r="W536" s="29" t="n"/>
      <c r="X536" s="29" t="n"/>
      <c r="Y536" s="29" t="n"/>
      <c r="Z536" s="29" t="n"/>
      <c r="AA536" s="29" t="n"/>
      <c r="AB536" s="29" t="n"/>
      <c r="AC536" s="29" t="n"/>
      <c r="AD536" s="29" t="n"/>
      <c r="AE536" s="29" t="n"/>
      <c r="AF536" s="29" t="n"/>
      <c r="AG536" s="29" t="n"/>
      <c r="AH536" s="29" t="n"/>
      <c r="AI536" s="29" t="n"/>
    </row>
    <row r="537">
      <c r="L537" s="29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29" t="n"/>
      <c r="W537" s="29" t="n"/>
      <c r="X537" s="29" t="n"/>
      <c r="Y537" s="29" t="n"/>
      <c r="Z537" s="29" t="n"/>
      <c r="AA537" s="29" t="n"/>
      <c r="AB537" s="29" t="n"/>
      <c r="AC537" s="29" t="n"/>
      <c r="AD537" s="29" t="n"/>
      <c r="AE537" s="29" t="n"/>
      <c r="AF537" s="29" t="n"/>
      <c r="AG537" s="29" t="n"/>
      <c r="AH537" s="29" t="n"/>
      <c r="AI537" s="29" t="n"/>
    </row>
    <row r="538">
      <c r="L538" s="29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29" t="n"/>
      <c r="W538" s="29" t="n"/>
      <c r="X538" s="29" t="n"/>
      <c r="Y538" s="29" t="n"/>
      <c r="Z538" s="29" t="n"/>
      <c r="AA538" s="29" t="n"/>
      <c r="AB538" s="29" t="n"/>
      <c r="AC538" s="29" t="n"/>
      <c r="AD538" s="29" t="n"/>
      <c r="AE538" s="29" t="n"/>
      <c r="AF538" s="29" t="n"/>
      <c r="AG538" s="29" t="n"/>
      <c r="AH538" s="29" t="n"/>
      <c r="AI538" s="29" t="n"/>
    </row>
    <row r="539">
      <c r="L539" s="29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29" t="n"/>
      <c r="W539" s="29" t="n"/>
      <c r="X539" s="29" t="n"/>
      <c r="Y539" s="29" t="n"/>
      <c r="Z539" s="29" t="n"/>
      <c r="AA539" s="29" t="n"/>
      <c r="AB539" s="29" t="n"/>
      <c r="AC539" s="29" t="n"/>
      <c r="AD539" s="29" t="n"/>
      <c r="AE539" s="29" t="n"/>
      <c r="AF539" s="29" t="n"/>
      <c r="AG539" s="29" t="n"/>
      <c r="AH539" s="29" t="n"/>
      <c r="AI539" s="29" t="n"/>
    </row>
    <row r="540">
      <c r="L540" s="29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29" t="n"/>
      <c r="W540" s="29" t="n"/>
      <c r="X540" s="29" t="n"/>
      <c r="Y540" s="29" t="n"/>
      <c r="Z540" s="29" t="n"/>
      <c r="AA540" s="29" t="n"/>
      <c r="AB540" s="29" t="n"/>
      <c r="AC540" s="29" t="n"/>
      <c r="AD540" s="29" t="n"/>
      <c r="AE540" s="29" t="n"/>
      <c r="AF540" s="29" t="n"/>
      <c r="AG540" s="29" t="n"/>
      <c r="AH540" s="29" t="n"/>
      <c r="AI540" s="29" t="n"/>
    </row>
    <row r="541">
      <c r="L541" s="29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29" t="n"/>
      <c r="W541" s="29" t="n"/>
      <c r="X541" s="29" t="n"/>
      <c r="Y541" s="29" t="n"/>
      <c r="Z541" s="29" t="n"/>
      <c r="AA541" s="29" t="n"/>
      <c r="AB541" s="29" t="n"/>
      <c r="AC541" s="29" t="n"/>
      <c r="AD541" s="29" t="n"/>
      <c r="AE541" s="29" t="n"/>
      <c r="AF541" s="29" t="n"/>
      <c r="AG541" s="29" t="n"/>
      <c r="AH541" s="29" t="n"/>
      <c r="AI541" s="29" t="n"/>
    </row>
    <row r="542">
      <c r="L542" s="29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29" t="n"/>
      <c r="W542" s="29" t="n"/>
      <c r="X542" s="29" t="n"/>
      <c r="Y542" s="29" t="n"/>
      <c r="Z542" s="29" t="n"/>
      <c r="AA542" s="29" t="n"/>
      <c r="AB542" s="29" t="n"/>
      <c r="AC542" s="29" t="n"/>
      <c r="AD542" s="29" t="n"/>
      <c r="AE542" s="29" t="n"/>
      <c r="AF542" s="29" t="n"/>
      <c r="AG542" s="29" t="n"/>
      <c r="AH542" s="29" t="n"/>
      <c r="AI542" s="29" t="n"/>
    </row>
    <row r="543">
      <c r="L543" s="29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29" t="n"/>
      <c r="W543" s="29" t="n"/>
      <c r="X543" s="29" t="n"/>
      <c r="Y543" s="29" t="n"/>
      <c r="Z543" s="29" t="n"/>
      <c r="AA543" s="29" t="n"/>
      <c r="AB543" s="29" t="n"/>
      <c r="AC543" s="29" t="n"/>
      <c r="AD543" s="29" t="n"/>
      <c r="AE543" s="29" t="n"/>
      <c r="AF543" s="29" t="n"/>
      <c r="AG543" s="29" t="n"/>
      <c r="AH543" s="29" t="n"/>
      <c r="AI543" s="29" t="n"/>
    </row>
    <row r="544">
      <c r="L544" s="29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29" t="n"/>
      <c r="W544" s="29" t="n"/>
      <c r="X544" s="29" t="n"/>
      <c r="Y544" s="29" t="n"/>
      <c r="Z544" s="29" t="n"/>
      <c r="AA544" s="29" t="n"/>
      <c r="AB544" s="29" t="n"/>
      <c r="AC544" s="29" t="n"/>
      <c r="AD544" s="29" t="n"/>
      <c r="AE544" s="29" t="n"/>
      <c r="AF544" s="29" t="n"/>
      <c r="AG544" s="29" t="n"/>
      <c r="AH544" s="29" t="n"/>
      <c r="AI544" s="29" t="n"/>
    </row>
    <row r="545">
      <c r="L545" s="29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29" t="n"/>
      <c r="W545" s="29" t="n"/>
      <c r="X545" s="29" t="n"/>
      <c r="Y545" s="29" t="n"/>
      <c r="Z545" s="29" t="n"/>
      <c r="AA545" s="29" t="n"/>
      <c r="AB545" s="29" t="n"/>
      <c r="AC545" s="29" t="n"/>
      <c r="AD545" s="29" t="n"/>
      <c r="AE545" s="29" t="n"/>
      <c r="AF545" s="29" t="n"/>
      <c r="AG545" s="29" t="n"/>
      <c r="AH545" s="29" t="n"/>
      <c r="AI545" s="29" t="n"/>
    </row>
    <row r="546">
      <c r="L546" s="29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29" t="n"/>
      <c r="W546" s="29" t="n"/>
      <c r="X546" s="29" t="n"/>
      <c r="Y546" s="29" t="n"/>
      <c r="Z546" s="29" t="n"/>
      <c r="AA546" s="29" t="n"/>
      <c r="AB546" s="29" t="n"/>
      <c r="AC546" s="29" t="n"/>
      <c r="AD546" s="29" t="n"/>
      <c r="AE546" s="29" t="n"/>
      <c r="AF546" s="29" t="n"/>
      <c r="AG546" s="29" t="n"/>
      <c r="AH546" s="29" t="n"/>
      <c r="AI546" s="29" t="n"/>
    </row>
    <row r="547">
      <c r="L547" s="29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29" t="n"/>
      <c r="W547" s="29" t="n"/>
      <c r="X547" s="29" t="n"/>
      <c r="Y547" s="29" t="n"/>
      <c r="Z547" s="29" t="n"/>
      <c r="AA547" s="29" t="n"/>
      <c r="AB547" s="29" t="n"/>
      <c r="AC547" s="29" t="n"/>
      <c r="AD547" s="29" t="n"/>
      <c r="AE547" s="29" t="n"/>
      <c r="AF547" s="29" t="n"/>
      <c r="AG547" s="29" t="n"/>
      <c r="AH547" s="29" t="n"/>
      <c r="AI547" s="29" t="n"/>
    </row>
    <row r="548">
      <c r="L548" s="29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29" t="n"/>
      <c r="W548" s="29" t="n"/>
      <c r="X548" s="29" t="n"/>
      <c r="Y548" s="29" t="n"/>
      <c r="Z548" s="29" t="n"/>
      <c r="AA548" s="29" t="n"/>
      <c r="AB548" s="29" t="n"/>
      <c r="AC548" s="29" t="n"/>
      <c r="AD548" s="29" t="n"/>
      <c r="AE548" s="29" t="n"/>
      <c r="AF548" s="29" t="n"/>
      <c r="AG548" s="29" t="n"/>
      <c r="AH548" s="29" t="n"/>
      <c r="AI548" s="29" t="n"/>
    </row>
    <row r="549">
      <c r="L549" s="29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29" t="n"/>
      <c r="W549" s="29" t="n"/>
      <c r="X549" s="29" t="n"/>
      <c r="Y549" s="29" t="n"/>
      <c r="Z549" s="29" t="n"/>
      <c r="AA549" s="29" t="n"/>
      <c r="AB549" s="29" t="n"/>
      <c r="AC549" s="29" t="n"/>
      <c r="AD549" s="29" t="n"/>
      <c r="AE549" s="29" t="n"/>
      <c r="AF549" s="29" t="n"/>
      <c r="AG549" s="29" t="n"/>
      <c r="AH549" s="29" t="n"/>
      <c r="AI549" s="29" t="n"/>
    </row>
    <row r="550">
      <c r="L550" s="29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29" t="n"/>
      <c r="W550" s="29" t="n"/>
      <c r="X550" s="29" t="n"/>
      <c r="Y550" s="29" t="n"/>
      <c r="Z550" s="29" t="n"/>
      <c r="AA550" s="29" t="n"/>
      <c r="AB550" s="29" t="n"/>
      <c r="AC550" s="29" t="n"/>
      <c r="AD550" s="29" t="n"/>
      <c r="AE550" s="29" t="n"/>
      <c r="AF550" s="29" t="n"/>
      <c r="AG550" s="29" t="n"/>
      <c r="AH550" s="29" t="n"/>
      <c r="AI550" s="29" t="n"/>
    </row>
    <row r="551">
      <c r="L551" s="29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29" t="n"/>
      <c r="W551" s="29" t="n"/>
      <c r="X551" s="29" t="n"/>
      <c r="Y551" s="29" t="n"/>
      <c r="Z551" s="29" t="n"/>
      <c r="AA551" s="29" t="n"/>
      <c r="AB551" s="29" t="n"/>
      <c r="AC551" s="29" t="n"/>
      <c r="AD551" s="29" t="n"/>
      <c r="AE551" s="29" t="n"/>
      <c r="AF551" s="29" t="n"/>
      <c r="AG551" s="29" t="n"/>
      <c r="AH551" s="29" t="n"/>
      <c r="AI551" s="29" t="n"/>
    </row>
    <row r="552">
      <c r="L552" s="29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29" t="n"/>
      <c r="W552" s="29" t="n"/>
      <c r="X552" s="29" t="n"/>
      <c r="Y552" s="29" t="n"/>
      <c r="Z552" s="29" t="n"/>
      <c r="AA552" s="29" t="n"/>
      <c r="AB552" s="29" t="n"/>
      <c r="AC552" s="29" t="n"/>
      <c r="AD552" s="29" t="n"/>
      <c r="AE552" s="29" t="n"/>
      <c r="AF552" s="29" t="n"/>
      <c r="AG552" s="29" t="n"/>
      <c r="AH552" s="29" t="n"/>
      <c r="AI552" s="29" t="n"/>
    </row>
    <row r="553">
      <c r="L553" s="29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29" t="n"/>
      <c r="W553" s="29" t="n"/>
      <c r="X553" s="29" t="n"/>
      <c r="Y553" s="29" t="n"/>
      <c r="Z553" s="29" t="n"/>
      <c r="AA553" s="29" t="n"/>
      <c r="AB553" s="29" t="n"/>
      <c r="AC553" s="29" t="n"/>
      <c r="AD553" s="29" t="n"/>
      <c r="AE553" s="29" t="n"/>
      <c r="AF553" s="29" t="n"/>
      <c r="AG553" s="29" t="n"/>
      <c r="AH553" s="29" t="n"/>
      <c r="AI553" s="29" t="n"/>
    </row>
    <row r="554">
      <c r="L554" s="29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29" t="n"/>
      <c r="W554" s="29" t="n"/>
      <c r="X554" s="29" t="n"/>
      <c r="Y554" s="29" t="n"/>
      <c r="Z554" s="29" t="n"/>
      <c r="AA554" s="29" t="n"/>
      <c r="AB554" s="29" t="n"/>
      <c r="AC554" s="29" t="n"/>
      <c r="AD554" s="29" t="n"/>
      <c r="AE554" s="29" t="n"/>
      <c r="AF554" s="29" t="n"/>
      <c r="AG554" s="29" t="n"/>
      <c r="AH554" s="29" t="n"/>
      <c r="AI554" s="29" t="n"/>
    </row>
    <row r="555">
      <c r="L555" s="29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29" t="n"/>
      <c r="W555" s="29" t="n"/>
      <c r="X555" s="29" t="n"/>
      <c r="Y555" s="29" t="n"/>
      <c r="Z555" s="29" t="n"/>
      <c r="AA555" s="29" t="n"/>
      <c r="AB555" s="29" t="n"/>
      <c r="AC555" s="29" t="n"/>
      <c r="AD555" s="29" t="n"/>
      <c r="AE555" s="29" t="n"/>
      <c r="AF555" s="29" t="n"/>
      <c r="AG555" s="29" t="n"/>
      <c r="AH555" s="29" t="n"/>
      <c r="AI555" s="29" t="n"/>
    </row>
    <row r="556">
      <c r="L556" s="29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29" t="n"/>
      <c r="W556" s="29" t="n"/>
      <c r="X556" s="29" t="n"/>
      <c r="Y556" s="29" t="n"/>
      <c r="Z556" s="29" t="n"/>
      <c r="AA556" s="29" t="n"/>
      <c r="AB556" s="29" t="n"/>
      <c r="AC556" s="29" t="n"/>
      <c r="AD556" s="29" t="n"/>
      <c r="AE556" s="29" t="n"/>
      <c r="AF556" s="29" t="n"/>
      <c r="AG556" s="29" t="n"/>
      <c r="AH556" s="29" t="n"/>
      <c r="AI556" s="29" t="n"/>
    </row>
    <row r="557">
      <c r="L557" s="29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29" t="n"/>
      <c r="W557" s="29" t="n"/>
      <c r="X557" s="29" t="n"/>
      <c r="Y557" s="29" t="n"/>
      <c r="Z557" s="29" t="n"/>
      <c r="AA557" s="29" t="n"/>
      <c r="AB557" s="29" t="n"/>
      <c r="AC557" s="29" t="n"/>
      <c r="AD557" s="29" t="n"/>
      <c r="AE557" s="29" t="n"/>
      <c r="AF557" s="29" t="n"/>
      <c r="AG557" s="29" t="n"/>
      <c r="AH557" s="29" t="n"/>
      <c r="AI557" s="29" t="n"/>
    </row>
    <row r="558">
      <c r="L558" s="29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29" t="n"/>
      <c r="W558" s="29" t="n"/>
      <c r="X558" s="29" t="n"/>
      <c r="Y558" s="29" t="n"/>
      <c r="Z558" s="29" t="n"/>
      <c r="AA558" s="29" t="n"/>
      <c r="AB558" s="29" t="n"/>
      <c r="AC558" s="29" t="n"/>
      <c r="AD558" s="29" t="n"/>
      <c r="AE558" s="29" t="n"/>
      <c r="AF558" s="29" t="n"/>
      <c r="AG558" s="29" t="n"/>
      <c r="AH558" s="29" t="n"/>
      <c r="AI558" s="29" t="n"/>
    </row>
    <row r="559">
      <c r="L559" s="29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29" t="n"/>
      <c r="W559" s="29" t="n"/>
      <c r="X559" s="29" t="n"/>
      <c r="Y559" s="29" t="n"/>
      <c r="Z559" s="29" t="n"/>
      <c r="AA559" s="29" t="n"/>
      <c r="AB559" s="29" t="n"/>
      <c r="AC559" s="29" t="n"/>
      <c r="AD559" s="29" t="n"/>
      <c r="AE559" s="29" t="n"/>
      <c r="AF559" s="29" t="n"/>
      <c r="AG559" s="29" t="n"/>
      <c r="AH559" s="29" t="n"/>
      <c r="AI559" s="29" t="n"/>
    </row>
    <row r="560">
      <c r="L560" s="29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29" t="n"/>
      <c r="W560" s="29" t="n"/>
      <c r="X560" s="29" t="n"/>
      <c r="Y560" s="29" t="n"/>
      <c r="Z560" s="29" t="n"/>
      <c r="AA560" s="29" t="n"/>
      <c r="AB560" s="29" t="n"/>
      <c r="AC560" s="29" t="n"/>
      <c r="AD560" s="29" t="n"/>
      <c r="AE560" s="29" t="n"/>
      <c r="AF560" s="29" t="n"/>
      <c r="AG560" s="29" t="n"/>
      <c r="AH560" s="29" t="n"/>
      <c r="AI560" s="29" t="n"/>
    </row>
    <row r="561">
      <c r="L561" s="29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29" t="n"/>
      <c r="W561" s="29" t="n"/>
      <c r="X561" s="29" t="n"/>
      <c r="Y561" s="29" t="n"/>
      <c r="Z561" s="29" t="n"/>
      <c r="AA561" s="29" t="n"/>
      <c r="AB561" s="29" t="n"/>
      <c r="AC561" s="29" t="n"/>
      <c r="AD561" s="29" t="n"/>
      <c r="AE561" s="29" t="n"/>
      <c r="AF561" s="29" t="n"/>
      <c r="AG561" s="29" t="n"/>
      <c r="AH561" s="29" t="n"/>
      <c r="AI561" s="29" t="n"/>
    </row>
    <row r="562">
      <c r="L562" s="29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29" t="n"/>
      <c r="W562" s="29" t="n"/>
      <c r="X562" s="29" t="n"/>
      <c r="Y562" s="29" t="n"/>
      <c r="Z562" s="29" t="n"/>
      <c r="AA562" s="29" t="n"/>
      <c r="AB562" s="29" t="n"/>
      <c r="AC562" s="29" t="n"/>
      <c r="AD562" s="29" t="n"/>
      <c r="AE562" s="29" t="n"/>
      <c r="AF562" s="29" t="n"/>
      <c r="AG562" s="29" t="n"/>
      <c r="AH562" s="29" t="n"/>
      <c r="AI562" s="29" t="n"/>
    </row>
    <row r="563">
      <c r="L563" s="29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29" t="n"/>
      <c r="W563" s="29" t="n"/>
      <c r="X563" s="29" t="n"/>
      <c r="Y563" s="29" t="n"/>
      <c r="Z563" s="29" t="n"/>
      <c r="AA563" s="29" t="n"/>
      <c r="AB563" s="29" t="n"/>
      <c r="AC563" s="29" t="n"/>
      <c r="AD563" s="29" t="n"/>
      <c r="AE563" s="29" t="n"/>
      <c r="AF563" s="29" t="n"/>
      <c r="AG563" s="29" t="n"/>
      <c r="AH563" s="29" t="n"/>
      <c r="AI563" s="29" t="n"/>
    </row>
    <row r="564">
      <c r="L564" s="29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29" t="n"/>
      <c r="W564" s="29" t="n"/>
      <c r="X564" s="29" t="n"/>
      <c r="Y564" s="29" t="n"/>
      <c r="Z564" s="29" t="n"/>
      <c r="AA564" s="29" t="n"/>
      <c r="AB564" s="29" t="n"/>
      <c r="AC564" s="29" t="n"/>
      <c r="AD564" s="29" t="n"/>
      <c r="AE564" s="29" t="n"/>
      <c r="AF564" s="29" t="n"/>
      <c r="AG564" s="29" t="n"/>
      <c r="AH564" s="29" t="n"/>
      <c r="AI564" s="29" t="n"/>
    </row>
    <row r="565">
      <c r="L565" s="29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29" t="n"/>
      <c r="W565" s="29" t="n"/>
      <c r="X565" s="29" t="n"/>
      <c r="Y565" s="29" t="n"/>
      <c r="Z565" s="29" t="n"/>
      <c r="AA565" s="29" t="n"/>
      <c r="AB565" s="29" t="n"/>
      <c r="AC565" s="29" t="n"/>
      <c r="AD565" s="29" t="n"/>
      <c r="AE565" s="29" t="n"/>
      <c r="AF565" s="29" t="n"/>
      <c r="AG565" s="29" t="n"/>
      <c r="AH565" s="29" t="n"/>
      <c r="AI565" s="29" t="n"/>
    </row>
    <row r="566">
      <c r="L566" s="29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29" t="n"/>
      <c r="W566" s="29" t="n"/>
      <c r="X566" s="29" t="n"/>
      <c r="Y566" s="29" t="n"/>
      <c r="Z566" s="29" t="n"/>
      <c r="AA566" s="29" t="n"/>
      <c r="AB566" s="29" t="n"/>
      <c r="AC566" s="29" t="n"/>
      <c r="AD566" s="29" t="n"/>
      <c r="AE566" s="29" t="n"/>
      <c r="AF566" s="29" t="n"/>
      <c r="AG566" s="29" t="n"/>
      <c r="AH566" s="29" t="n"/>
      <c r="AI566" s="29" t="n"/>
    </row>
    <row r="567">
      <c r="L567" s="29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29" t="n"/>
      <c r="W567" s="29" t="n"/>
      <c r="X567" s="29" t="n"/>
      <c r="Y567" s="29" t="n"/>
      <c r="Z567" s="29" t="n"/>
      <c r="AA567" s="29" t="n"/>
      <c r="AB567" s="29" t="n"/>
      <c r="AC567" s="29" t="n"/>
      <c r="AD567" s="29" t="n"/>
      <c r="AE567" s="29" t="n"/>
      <c r="AF567" s="29" t="n"/>
      <c r="AG567" s="29" t="n"/>
      <c r="AH567" s="29" t="n"/>
      <c r="AI567" s="29" t="n"/>
    </row>
    <row r="568">
      <c r="L568" s="29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29" t="n"/>
      <c r="W568" s="29" t="n"/>
      <c r="X568" s="29" t="n"/>
      <c r="Y568" s="29" t="n"/>
      <c r="Z568" s="29" t="n"/>
      <c r="AA568" s="29" t="n"/>
      <c r="AB568" s="29" t="n"/>
      <c r="AC568" s="29" t="n"/>
      <c r="AD568" s="29" t="n"/>
      <c r="AE568" s="29" t="n"/>
      <c r="AF568" s="29" t="n"/>
      <c r="AG568" s="29" t="n"/>
      <c r="AH568" s="29" t="n"/>
      <c r="AI568" s="29" t="n"/>
    </row>
    <row r="569">
      <c r="L569" s="29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29" t="n"/>
      <c r="W569" s="29" t="n"/>
      <c r="X569" s="29" t="n"/>
      <c r="Y569" s="29" t="n"/>
      <c r="Z569" s="29" t="n"/>
      <c r="AA569" s="29" t="n"/>
      <c r="AB569" s="29" t="n"/>
      <c r="AC569" s="29" t="n"/>
      <c r="AD569" s="29" t="n"/>
      <c r="AE569" s="29" t="n"/>
      <c r="AF569" s="29" t="n"/>
      <c r="AG569" s="29" t="n"/>
      <c r="AH569" s="29" t="n"/>
      <c r="AI569" s="29" t="n"/>
    </row>
    <row r="570">
      <c r="L570" s="29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29" t="n"/>
      <c r="W570" s="29" t="n"/>
      <c r="X570" s="29" t="n"/>
      <c r="Y570" s="29" t="n"/>
      <c r="Z570" s="29" t="n"/>
      <c r="AA570" s="29" t="n"/>
      <c r="AB570" s="29" t="n"/>
      <c r="AC570" s="29" t="n"/>
      <c r="AD570" s="29" t="n"/>
      <c r="AE570" s="29" t="n"/>
      <c r="AF570" s="29" t="n"/>
      <c r="AG570" s="29" t="n"/>
      <c r="AH570" s="29" t="n"/>
      <c r="AI570" s="29" t="n"/>
    </row>
    <row r="571">
      <c r="L571" s="29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29" t="n"/>
      <c r="W571" s="29" t="n"/>
      <c r="X571" s="29" t="n"/>
      <c r="Y571" s="29" t="n"/>
      <c r="Z571" s="29" t="n"/>
      <c r="AA571" s="29" t="n"/>
      <c r="AB571" s="29" t="n"/>
      <c r="AC571" s="29" t="n"/>
      <c r="AD571" s="29" t="n"/>
      <c r="AE571" s="29" t="n"/>
      <c r="AF571" s="29" t="n"/>
      <c r="AG571" s="29" t="n"/>
      <c r="AH571" s="29" t="n"/>
      <c r="AI571" s="29" t="n"/>
    </row>
    <row r="572">
      <c r="L572" s="29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29" t="n"/>
      <c r="W572" s="29" t="n"/>
      <c r="X572" s="29" t="n"/>
      <c r="Y572" s="29" t="n"/>
      <c r="Z572" s="29" t="n"/>
      <c r="AA572" s="29" t="n"/>
      <c r="AB572" s="29" t="n"/>
      <c r="AC572" s="29" t="n"/>
      <c r="AD572" s="29" t="n"/>
      <c r="AE572" s="29" t="n"/>
      <c r="AF572" s="29" t="n"/>
      <c r="AG572" s="29" t="n"/>
      <c r="AH572" s="29" t="n"/>
      <c r="AI572" s="29" t="n"/>
    </row>
    <row r="573">
      <c r="L573" s="29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29" t="n"/>
      <c r="W573" s="29" t="n"/>
      <c r="X573" s="29" t="n"/>
      <c r="Y573" s="29" t="n"/>
      <c r="Z573" s="29" t="n"/>
      <c r="AA573" s="29" t="n"/>
      <c r="AB573" s="29" t="n"/>
      <c r="AC573" s="29" t="n"/>
      <c r="AD573" s="29" t="n"/>
      <c r="AE573" s="29" t="n"/>
      <c r="AF573" s="29" t="n"/>
      <c r="AG573" s="29" t="n"/>
      <c r="AH573" s="29" t="n"/>
      <c r="AI573" s="29" t="n"/>
    </row>
    <row r="574">
      <c r="L574" s="29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29" t="n"/>
      <c r="W574" s="29" t="n"/>
      <c r="X574" s="29" t="n"/>
      <c r="Y574" s="29" t="n"/>
      <c r="Z574" s="29" t="n"/>
      <c r="AA574" s="29" t="n"/>
      <c r="AB574" s="29" t="n"/>
      <c r="AC574" s="29" t="n"/>
      <c r="AD574" s="29" t="n"/>
      <c r="AE574" s="29" t="n"/>
      <c r="AF574" s="29" t="n"/>
      <c r="AG574" s="29" t="n"/>
      <c r="AH574" s="29" t="n"/>
      <c r="AI574" s="29" t="n"/>
    </row>
    <row r="575">
      <c r="L575" s="29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29" t="n"/>
      <c r="W575" s="29" t="n"/>
      <c r="X575" s="29" t="n"/>
      <c r="Y575" s="29" t="n"/>
      <c r="Z575" s="29" t="n"/>
      <c r="AA575" s="29" t="n"/>
      <c r="AB575" s="29" t="n"/>
      <c r="AC575" s="29" t="n"/>
      <c r="AD575" s="29" t="n"/>
      <c r="AE575" s="29" t="n"/>
      <c r="AF575" s="29" t="n"/>
      <c r="AG575" s="29" t="n"/>
      <c r="AH575" s="29" t="n"/>
      <c r="AI575" s="29" t="n"/>
    </row>
    <row r="576">
      <c r="L576" s="29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29" t="n"/>
      <c r="W576" s="29" t="n"/>
      <c r="X576" s="29" t="n"/>
      <c r="Y576" s="29" t="n"/>
      <c r="Z576" s="29" t="n"/>
      <c r="AA576" s="29" t="n"/>
      <c r="AB576" s="29" t="n"/>
      <c r="AC576" s="29" t="n"/>
      <c r="AD576" s="29" t="n"/>
      <c r="AE576" s="29" t="n"/>
      <c r="AF576" s="29" t="n"/>
      <c r="AG576" s="29" t="n"/>
      <c r="AH576" s="29" t="n"/>
      <c r="AI576" s="29" t="n"/>
    </row>
    <row r="577">
      <c r="L577" s="29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29" t="n"/>
      <c r="W577" s="29" t="n"/>
      <c r="X577" s="29" t="n"/>
      <c r="Y577" s="29" t="n"/>
      <c r="Z577" s="29" t="n"/>
      <c r="AA577" s="29" t="n"/>
      <c r="AB577" s="29" t="n"/>
      <c r="AC577" s="29" t="n"/>
      <c r="AD577" s="29" t="n"/>
      <c r="AE577" s="29" t="n"/>
      <c r="AF577" s="29" t="n"/>
      <c r="AG577" s="29" t="n"/>
      <c r="AH577" s="29" t="n"/>
      <c r="AI577" s="29" t="n"/>
    </row>
    <row r="578">
      <c r="L578" s="29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29" t="n"/>
      <c r="W578" s="29" t="n"/>
      <c r="X578" s="29" t="n"/>
      <c r="Y578" s="29" t="n"/>
      <c r="Z578" s="29" t="n"/>
      <c r="AA578" s="29" t="n"/>
      <c r="AB578" s="29" t="n"/>
      <c r="AC578" s="29" t="n"/>
      <c r="AD578" s="29" t="n"/>
      <c r="AE578" s="29" t="n"/>
      <c r="AF578" s="29" t="n"/>
      <c r="AG578" s="29" t="n"/>
      <c r="AH578" s="29" t="n"/>
      <c r="AI578" s="29" t="n"/>
    </row>
    <row r="579">
      <c r="L579" s="29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29" t="n"/>
      <c r="W579" s="29" t="n"/>
      <c r="X579" s="29" t="n"/>
      <c r="Y579" s="29" t="n"/>
      <c r="Z579" s="29" t="n"/>
      <c r="AA579" s="29" t="n"/>
      <c r="AB579" s="29" t="n"/>
      <c r="AC579" s="29" t="n"/>
      <c r="AD579" s="29" t="n"/>
      <c r="AE579" s="29" t="n"/>
      <c r="AF579" s="29" t="n"/>
      <c r="AG579" s="29" t="n"/>
      <c r="AH579" s="29" t="n"/>
      <c r="AI579" s="29" t="n"/>
    </row>
    <row r="580">
      <c r="L580" s="29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29" t="n"/>
      <c r="W580" s="29" t="n"/>
      <c r="X580" s="29" t="n"/>
      <c r="Y580" s="29" t="n"/>
      <c r="Z580" s="29" t="n"/>
      <c r="AA580" s="29" t="n"/>
      <c r="AB580" s="29" t="n"/>
      <c r="AC580" s="29" t="n"/>
      <c r="AD580" s="29" t="n"/>
      <c r="AE580" s="29" t="n"/>
      <c r="AF580" s="29" t="n"/>
      <c r="AG580" s="29" t="n"/>
      <c r="AH580" s="29" t="n"/>
      <c r="AI580" s="29" t="n"/>
    </row>
    <row r="581">
      <c r="L581" s="29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29" t="n"/>
      <c r="W581" s="29" t="n"/>
      <c r="X581" s="29" t="n"/>
      <c r="Y581" s="29" t="n"/>
      <c r="Z581" s="29" t="n"/>
      <c r="AA581" s="29" t="n"/>
      <c r="AB581" s="29" t="n"/>
      <c r="AC581" s="29" t="n"/>
      <c r="AD581" s="29" t="n"/>
      <c r="AE581" s="29" t="n"/>
      <c r="AF581" s="29" t="n"/>
      <c r="AG581" s="29" t="n"/>
      <c r="AH581" s="29" t="n"/>
      <c r="AI581" s="29" t="n"/>
    </row>
    <row r="582">
      <c r="L582" s="29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29" t="n"/>
      <c r="W582" s="29" t="n"/>
      <c r="X582" s="29" t="n"/>
      <c r="Y582" s="29" t="n"/>
      <c r="Z582" s="29" t="n"/>
      <c r="AA582" s="29" t="n"/>
      <c r="AB582" s="29" t="n"/>
      <c r="AC582" s="29" t="n"/>
      <c r="AD582" s="29" t="n"/>
      <c r="AE582" s="29" t="n"/>
      <c r="AF582" s="29" t="n"/>
      <c r="AG582" s="29" t="n"/>
      <c r="AH582" s="29" t="n"/>
      <c r="AI582" s="29" t="n"/>
    </row>
    <row r="583">
      <c r="L583" s="29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29" t="n"/>
      <c r="W583" s="29" t="n"/>
      <c r="X583" s="29" t="n"/>
      <c r="Y583" s="29" t="n"/>
      <c r="Z583" s="29" t="n"/>
      <c r="AA583" s="29" t="n"/>
      <c r="AB583" s="29" t="n"/>
      <c r="AC583" s="29" t="n"/>
      <c r="AD583" s="29" t="n"/>
      <c r="AE583" s="29" t="n"/>
      <c r="AF583" s="29" t="n"/>
      <c r="AG583" s="29" t="n"/>
      <c r="AH583" s="29" t="n"/>
      <c r="AI583" s="29" t="n"/>
    </row>
    <row r="584">
      <c r="L584" s="29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29" t="n"/>
      <c r="W584" s="29" t="n"/>
      <c r="X584" s="29" t="n"/>
      <c r="Y584" s="29" t="n"/>
      <c r="Z584" s="29" t="n"/>
      <c r="AA584" s="29" t="n"/>
      <c r="AB584" s="29" t="n"/>
      <c r="AC584" s="29" t="n"/>
      <c r="AD584" s="29" t="n"/>
      <c r="AE584" s="29" t="n"/>
      <c r="AF584" s="29" t="n"/>
      <c r="AG584" s="29" t="n"/>
      <c r="AH584" s="29" t="n"/>
      <c r="AI584" s="29" t="n"/>
    </row>
    <row r="585">
      <c r="L585" s="29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29" t="n"/>
      <c r="W585" s="29" t="n"/>
      <c r="X585" s="29" t="n"/>
      <c r="Y585" s="29" t="n"/>
      <c r="Z585" s="29" t="n"/>
      <c r="AA585" s="29" t="n"/>
      <c r="AB585" s="29" t="n"/>
      <c r="AC585" s="29" t="n"/>
      <c r="AD585" s="29" t="n"/>
      <c r="AE585" s="29" t="n"/>
      <c r="AF585" s="29" t="n"/>
      <c r="AG585" s="29" t="n"/>
      <c r="AH585" s="29" t="n"/>
      <c r="AI585" s="29" t="n"/>
    </row>
    <row r="586">
      <c r="L586" s="29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29" t="n"/>
      <c r="W586" s="29" t="n"/>
      <c r="X586" s="29" t="n"/>
      <c r="Y586" s="29" t="n"/>
      <c r="Z586" s="29" t="n"/>
      <c r="AA586" s="29" t="n"/>
      <c r="AB586" s="29" t="n"/>
      <c r="AC586" s="29" t="n"/>
      <c r="AD586" s="29" t="n"/>
      <c r="AE586" s="29" t="n"/>
      <c r="AF586" s="29" t="n"/>
      <c r="AG586" s="29" t="n"/>
      <c r="AH586" s="29" t="n"/>
      <c r="AI586" s="29" t="n"/>
    </row>
    <row r="587">
      <c r="L587" s="29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29" t="n"/>
      <c r="W587" s="29" t="n"/>
      <c r="X587" s="29" t="n"/>
      <c r="Y587" s="29" t="n"/>
      <c r="Z587" s="29" t="n"/>
      <c r="AA587" s="29" t="n"/>
      <c r="AB587" s="29" t="n"/>
      <c r="AC587" s="29" t="n"/>
      <c r="AD587" s="29" t="n"/>
      <c r="AE587" s="29" t="n"/>
      <c r="AF587" s="29" t="n"/>
      <c r="AG587" s="29" t="n"/>
      <c r="AH587" s="29" t="n"/>
      <c r="AI587" s="29" t="n"/>
    </row>
    <row r="588">
      <c r="L588" s="29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29" t="n"/>
      <c r="W588" s="29" t="n"/>
      <c r="X588" s="29" t="n"/>
      <c r="Y588" s="29" t="n"/>
      <c r="Z588" s="29" t="n"/>
      <c r="AA588" s="29" t="n"/>
      <c r="AB588" s="29" t="n"/>
      <c r="AC588" s="29" t="n"/>
      <c r="AD588" s="29" t="n"/>
      <c r="AE588" s="29" t="n"/>
      <c r="AF588" s="29" t="n"/>
      <c r="AG588" s="29" t="n"/>
      <c r="AH588" s="29" t="n"/>
      <c r="AI588" s="29" t="n"/>
    </row>
    <row r="589">
      <c r="L589" s="29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29" t="n"/>
      <c r="W589" s="29" t="n"/>
      <c r="X589" s="29" t="n"/>
      <c r="Y589" s="29" t="n"/>
      <c r="Z589" s="29" t="n"/>
      <c r="AA589" s="29" t="n"/>
      <c r="AB589" s="29" t="n"/>
      <c r="AC589" s="29" t="n"/>
      <c r="AD589" s="29" t="n"/>
      <c r="AE589" s="29" t="n"/>
      <c r="AF589" s="29" t="n"/>
      <c r="AG589" s="29" t="n"/>
      <c r="AH589" s="29" t="n"/>
      <c r="AI589" s="29" t="n"/>
    </row>
    <row r="590">
      <c r="L590" s="29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29" t="n"/>
      <c r="W590" s="29" t="n"/>
      <c r="X590" s="29" t="n"/>
      <c r="Y590" s="29" t="n"/>
      <c r="Z590" s="29" t="n"/>
      <c r="AA590" s="29" t="n"/>
      <c r="AB590" s="29" t="n"/>
      <c r="AC590" s="29" t="n"/>
      <c r="AD590" s="29" t="n"/>
      <c r="AE590" s="29" t="n"/>
      <c r="AF590" s="29" t="n"/>
      <c r="AG590" s="29" t="n"/>
      <c r="AH590" s="29" t="n"/>
      <c r="AI590" s="29" t="n"/>
    </row>
    <row r="591">
      <c r="L591" s="29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29" t="n"/>
      <c r="W591" s="29" t="n"/>
      <c r="X591" s="29" t="n"/>
      <c r="Y591" s="29" t="n"/>
      <c r="Z591" s="29" t="n"/>
      <c r="AA591" s="29" t="n"/>
      <c r="AB591" s="29" t="n"/>
      <c r="AC591" s="29" t="n"/>
      <c r="AD591" s="29" t="n"/>
      <c r="AE591" s="29" t="n"/>
      <c r="AF591" s="29" t="n"/>
      <c r="AG591" s="29" t="n"/>
      <c r="AH591" s="29" t="n"/>
      <c r="AI591" s="29" t="n"/>
    </row>
    <row r="592">
      <c r="L592" s="29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29" t="n"/>
      <c r="W592" s="29" t="n"/>
      <c r="X592" s="29" t="n"/>
      <c r="Y592" s="29" t="n"/>
      <c r="Z592" s="29" t="n"/>
      <c r="AA592" s="29" t="n"/>
      <c r="AB592" s="29" t="n"/>
      <c r="AC592" s="29" t="n"/>
      <c r="AD592" s="29" t="n"/>
      <c r="AE592" s="29" t="n"/>
      <c r="AF592" s="29" t="n"/>
      <c r="AG592" s="29" t="n"/>
      <c r="AH592" s="29" t="n"/>
      <c r="AI592" s="29" t="n"/>
    </row>
    <row r="593">
      <c r="L593" s="29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29" t="n"/>
      <c r="W593" s="29" t="n"/>
      <c r="X593" s="29" t="n"/>
      <c r="Y593" s="29" t="n"/>
      <c r="Z593" s="29" t="n"/>
      <c r="AA593" s="29" t="n"/>
      <c r="AB593" s="29" t="n"/>
      <c r="AC593" s="29" t="n"/>
      <c r="AD593" s="29" t="n"/>
      <c r="AE593" s="29" t="n"/>
      <c r="AF593" s="29" t="n"/>
      <c r="AG593" s="29" t="n"/>
      <c r="AH593" s="29" t="n"/>
      <c r="AI593" s="29" t="n"/>
    </row>
    <row r="594">
      <c r="L594" s="29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29" t="n"/>
      <c r="W594" s="29" t="n"/>
      <c r="X594" s="29" t="n"/>
      <c r="Y594" s="29" t="n"/>
      <c r="Z594" s="29" t="n"/>
      <c r="AA594" s="29" t="n"/>
      <c r="AB594" s="29" t="n"/>
      <c r="AC594" s="29" t="n"/>
      <c r="AD594" s="29" t="n"/>
      <c r="AE594" s="29" t="n"/>
      <c r="AF594" s="29" t="n"/>
      <c r="AG594" s="29" t="n"/>
      <c r="AH594" s="29" t="n"/>
      <c r="AI594" s="29" t="n"/>
    </row>
    <row r="595">
      <c r="L595" s="29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29" t="n"/>
      <c r="W595" s="29" t="n"/>
      <c r="X595" s="29" t="n"/>
      <c r="Y595" s="29" t="n"/>
      <c r="Z595" s="29" t="n"/>
      <c r="AA595" s="29" t="n"/>
      <c r="AB595" s="29" t="n"/>
      <c r="AC595" s="29" t="n"/>
      <c r="AD595" s="29" t="n"/>
      <c r="AE595" s="29" t="n"/>
      <c r="AF595" s="29" t="n"/>
      <c r="AG595" s="29" t="n"/>
      <c r="AH595" s="29" t="n"/>
      <c r="AI595" s="29" t="n"/>
    </row>
    <row r="596">
      <c r="L596" s="29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29" t="n"/>
      <c r="W596" s="29" t="n"/>
      <c r="X596" s="29" t="n"/>
      <c r="Y596" s="29" t="n"/>
      <c r="Z596" s="29" t="n"/>
      <c r="AA596" s="29" t="n"/>
      <c r="AB596" s="29" t="n"/>
      <c r="AC596" s="29" t="n"/>
      <c r="AD596" s="29" t="n"/>
      <c r="AE596" s="29" t="n"/>
      <c r="AF596" s="29" t="n"/>
      <c r="AG596" s="29" t="n"/>
      <c r="AH596" s="29" t="n"/>
      <c r="AI596" s="29" t="n"/>
    </row>
    <row r="597">
      <c r="L597" s="29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29" t="n"/>
      <c r="W597" s="29" t="n"/>
      <c r="X597" s="29" t="n"/>
      <c r="Y597" s="29" t="n"/>
      <c r="Z597" s="29" t="n"/>
      <c r="AA597" s="29" t="n"/>
      <c r="AB597" s="29" t="n"/>
      <c r="AC597" s="29" t="n"/>
      <c r="AD597" s="29" t="n"/>
      <c r="AE597" s="29" t="n"/>
      <c r="AF597" s="29" t="n"/>
      <c r="AG597" s="29" t="n"/>
      <c r="AH597" s="29" t="n"/>
      <c r="AI597" s="29" t="n"/>
    </row>
    <row r="598">
      <c r="L598" s="29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29" t="n"/>
      <c r="W598" s="29" t="n"/>
      <c r="X598" s="29" t="n"/>
      <c r="Y598" s="29" t="n"/>
      <c r="Z598" s="29" t="n"/>
      <c r="AA598" s="29" t="n"/>
      <c r="AB598" s="29" t="n"/>
      <c r="AC598" s="29" t="n"/>
      <c r="AD598" s="29" t="n"/>
      <c r="AE598" s="29" t="n"/>
      <c r="AF598" s="29" t="n"/>
      <c r="AG598" s="29" t="n"/>
      <c r="AH598" s="29" t="n"/>
      <c r="AI598" s="29" t="n"/>
    </row>
    <row r="599">
      <c r="L599" s="29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29" t="n"/>
      <c r="W599" s="29" t="n"/>
      <c r="X599" s="29" t="n"/>
      <c r="Y599" s="29" t="n"/>
      <c r="Z599" s="29" t="n"/>
      <c r="AA599" s="29" t="n"/>
      <c r="AB599" s="29" t="n"/>
      <c r="AC599" s="29" t="n"/>
      <c r="AD599" s="29" t="n"/>
      <c r="AE599" s="29" t="n"/>
      <c r="AF599" s="29" t="n"/>
      <c r="AG599" s="29" t="n"/>
      <c r="AH599" s="29" t="n"/>
      <c r="AI599" s="29" t="n"/>
    </row>
    <row r="600">
      <c r="L600" s="29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29" t="n"/>
      <c r="W600" s="29" t="n"/>
      <c r="X600" s="29" t="n"/>
      <c r="Y600" s="29" t="n"/>
      <c r="Z600" s="29" t="n"/>
      <c r="AA600" s="29" t="n"/>
      <c r="AB600" s="29" t="n"/>
      <c r="AC600" s="29" t="n"/>
      <c r="AD600" s="29" t="n"/>
      <c r="AE600" s="29" t="n"/>
      <c r="AF600" s="29" t="n"/>
      <c r="AG600" s="29" t="n"/>
      <c r="AH600" s="29" t="n"/>
      <c r="AI600" s="29" t="n"/>
    </row>
    <row r="601">
      <c r="L601" s="29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29" t="n"/>
      <c r="W601" s="29" t="n"/>
      <c r="X601" s="29" t="n"/>
      <c r="Y601" s="29" t="n"/>
      <c r="Z601" s="29" t="n"/>
      <c r="AA601" s="29" t="n"/>
      <c r="AB601" s="29" t="n"/>
      <c r="AC601" s="29" t="n"/>
      <c r="AD601" s="29" t="n"/>
      <c r="AE601" s="29" t="n"/>
      <c r="AF601" s="29" t="n"/>
      <c r="AG601" s="29" t="n"/>
      <c r="AH601" s="29" t="n"/>
      <c r="AI601" s="29" t="n"/>
    </row>
    <row r="602">
      <c r="L602" s="29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29" t="n"/>
      <c r="W602" s="29" t="n"/>
      <c r="X602" s="29" t="n"/>
      <c r="Y602" s="29" t="n"/>
      <c r="Z602" s="29" t="n"/>
      <c r="AA602" s="29" t="n"/>
      <c r="AB602" s="29" t="n"/>
      <c r="AC602" s="29" t="n"/>
      <c r="AD602" s="29" t="n"/>
      <c r="AE602" s="29" t="n"/>
      <c r="AF602" s="29" t="n"/>
      <c r="AG602" s="29" t="n"/>
      <c r="AH602" s="29" t="n"/>
      <c r="AI602" s="29" t="n"/>
    </row>
    <row r="603">
      <c r="L603" s="29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29" t="n"/>
      <c r="W603" s="29" t="n"/>
      <c r="X603" s="29" t="n"/>
      <c r="Y603" s="29" t="n"/>
      <c r="Z603" s="29" t="n"/>
      <c r="AA603" s="29" t="n"/>
      <c r="AB603" s="29" t="n"/>
      <c r="AC603" s="29" t="n"/>
      <c r="AD603" s="29" t="n"/>
      <c r="AE603" s="29" t="n"/>
      <c r="AF603" s="29" t="n"/>
      <c r="AG603" s="29" t="n"/>
      <c r="AH603" s="29" t="n"/>
      <c r="AI603" s="29" t="n"/>
    </row>
    <row r="604">
      <c r="L604" s="29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29" t="n"/>
      <c r="W604" s="29" t="n"/>
      <c r="X604" s="29" t="n"/>
      <c r="Y604" s="29" t="n"/>
      <c r="Z604" s="29" t="n"/>
      <c r="AA604" s="29" t="n"/>
      <c r="AB604" s="29" t="n"/>
      <c r="AC604" s="29" t="n"/>
      <c r="AD604" s="29" t="n"/>
      <c r="AE604" s="29" t="n"/>
      <c r="AF604" s="29" t="n"/>
      <c r="AG604" s="29" t="n"/>
      <c r="AH604" s="29" t="n"/>
      <c r="AI604" s="29" t="n"/>
    </row>
    <row r="605">
      <c r="L605" s="29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29" t="n"/>
      <c r="W605" s="29" t="n"/>
      <c r="X605" s="29" t="n"/>
      <c r="Y605" s="29" t="n"/>
      <c r="Z605" s="29" t="n"/>
      <c r="AA605" s="29" t="n"/>
      <c r="AB605" s="29" t="n"/>
      <c r="AC605" s="29" t="n"/>
      <c r="AD605" s="29" t="n"/>
      <c r="AE605" s="29" t="n"/>
      <c r="AF605" s="29" t="n"/>
      <c r="AG605" s="29" t="n"/>
      <c r="AH605" s="29" t="n"/>
      <c r="AI605" s="29" t="n"/>
    </row>
    <row r="606">
      <c r="L606" s="29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29" t="n"/>
      <c r="W606" s="29" t="n"/>
      <c r="X606" s="29" t="n"/>
      <c r="Y606" s="29" t="n"/>
      <c r="Z606" s="29" t="n"/>
      <c r="AA606" s="29" t="n"/>
      <c r="AB606" s="29" t="n"/>
      <c r="AC606" s="29" t="n"/>
      <c r="AD606" s="29" t="n"/>
      <c r="AE606" s="29" t="n"/>
      <c r="AF606" s="29" t="n"/>
      <c r="AG606" s="29" t="n"/>
      <c r="AH606" s="29" t="n"/>
      <c r="AI606" s="29" t="n"/>
    </row>
    <row r="607">
      <c r="L607" s="29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29" t="n"/>
      <c r="W607" s="29" t="n"/>
      <c r="X607" s="29" t="n"/>
      <c r="Y607" s="29" t="n"/>
      <c r="Z607" s="29" t="n"/>
      <c r="AA607" s="29" t="n"/>
      <c r="AB607" s="29" t="n"/>
      <c r="AC607" s="29" t="n"/>
      <c r="AD607" s="29" t="n"/>
      <c r="AE607" s="29" t="n"/>
      <c r="AF607" s="29" t="n"/>
      <c r="AG607" s="29" t="n"/>
      <c r="AH607" s="29" t="n"/>
      <c r="AI607" s="29" t="n"/>
    </row>
    <row r="608">
      <c r="L608" s="29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29" t="n"/>
      <c r="W608" s="29" t="n"/>
      <c r="X608" s="29" t="n"/>
      <c r="Y608" s="29" t="n"/>
      <c r="Z608" s="29" t="n"/>
      <c r="AA608" s="29" t="n"/>
      <c r="AB608" s="29" t="n"/>
      <c r="AC608" s="29" t="n"/>
      <c r="AD608" s="29" t="n"/>
      <c r="AE608" s="29" t="n"/>
      <c r="AF608" s="29" t="n"/>
      <c r="AG608" s="29" t="n"/>
      <c r="AH608" s="29" t="n"/>
      <c r="AI608" s="29" t="n"/>
    </row>
    <row r="609">
      <c r="L609" s="29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29" t="n"/>
      <c r="W609" s="29" t="n"/>
      <c r="X609" s="29" t="n"/>
      <c r="Y609" s="29" t="n"/>
      <c r="Z609" s="29" t="n"/>
      <c r="AA609" s="29" t="n"/>
      <c r="AB609" s="29" t="n"/>
      <c r="AC609" s="29" t="n"/>
      <c r="AD609" s="29" t="n"/>
      <c r="AE609" s="29" t="n"/>
      <c r="AF609" s="29" t="n"/>
      <c r="AG609" s="29" t="n"/>
      <c r="AH609" s="29" t="n"/>
      <c r="AI609" s="29" t="n"/>
    </row>
    <row r="610">
      <c r="L610" s="29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29" t="n"/>
      <c r="W610" s="29" t="n"/>
      <c r="X610" s="29" t="n"/>
      <c r="Y610" s="29" t="n"/>
      <c r="Z610" s="29" t="n"/>
      <c r="AA610" s="29" t="n"/>
      <c r="AB610" s="29" t="n"/>
      <c r="AC610" s="29" t="n"/>
      <c r="AD610" s="29" t="n"/>
      <c r="AE610" s="29" t="n"/>
      <c r="AF610" s="29" t="n"/>
      <c r="AG610" s="29" t="n"/>
      <c r="AH610" s="29" t="n"/>
      <c r="AI610" s="29" t="n"/>
    </row>
    <row r="611">
      <c r="L611" s="29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29" t="n"/>
      <c r="W611" s="29" t="n"/>
      <c r="X611" s="29" t="n"/>
      <c r="Y611" s="29" t="n"/>
      <c r="Z611" s="29" t="n"/>
      <c r="AA611" s="29" t="n"/>
      <c r="AB611" s="29" t="n"/>
      <c r="AC611" s="29" t="n"/>
      <c r="AD611" s="29" t="n"/>
      <c r="AE611" s="29" t="n"/>
      <c r="AF611" s="29" t="n"/>
      <c r="AG611" s="29" t="n"/>
      <c r="AH611" s="29" t="n"/>
      <c r="AI611" s="29" t="n"/>
    </row>
    <row r="612">
      <c r="L612" s="29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29" t="n"/>
      <c r="W612" s="29" t="n"/>
      <c r="X612" s="29" t="n"/>
      <c r="Y612" s="29" t="n"/>
      <c r="Z612" s="29" t="n"/>
      <c r="AA612" s="29" t="n"/>
      <c r="AB612" s="29" t="n"/>
      <c r="AC612" s="29" t="n"/>
      <c r="AD612" s="29" t="n"/>
      <c r="AE612" s="29" t="n"/>
      <c r="AF612" s="29" t="n"/>
      <c r="AG612" s="29" t="n"/>
      <c r="AH612" s="29" t="n"/>
      <c r="AI612" s="29" t="n"/>
    </row>
    <row r="613">
      <c r="L613" s="29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29" t="n"/>
      <c r="W613" s="29" t="n"/>
      <c r="X613" s="29" t="n"/>
      <c r="Y613" s="29" t="n"/>
      <c r="Z613" s="29" t="n"/>
      <c r="AA613" s="29" t="n"/>
      <c r="AB613" s="29" t="n"/>
      <c r="AC613" s="29" t="n"/>
      <c r="AD613" s="29" t="n"/>
      <c r="AE613" s="29" t="n"/>
      <c r="AF613" s="29" t="n"/>
      <c r="AG613" s="29" t="n"/>
      <c r="AH613" s="29" t="n"/>
      <c r="AI613" s="29" t="n"/>
    </row>
    <row r="614">
      <c r="L614" s="29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29" t="n"/>
      <c r="W614" s="29" t="n"/>
      <c r="X614" s="29" t="n"/>
      <c r="Y614" s="29" t="n"/>
      <c r="Z614" s="29" t="n"/>
      <c r="AA614" s="29" t="n"/>
      <c r="AB614" s="29" t="n"/>
      <c r="AC614" s="29" t="n"/>
      <c r="AD614" s="29" t="n"/>
      <c r="AE614" s="29" t="n"/>
      <c r="AF614" s="29" t="n"/>
      <c r="AG614" s="29" t="n"/>
      <c r="AH614" s="29" t="n"/>
      <c r="AI614" s="29" t="n"/>
    </row>
    <row r="615">
      <c r="L615" s="29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29" t="n"/>
      <c r="W615" s="29" t="n"/>
      <c r="X615" s="29" t="n"/>
      <c r="Y615" s="29" t="n"/>
      <c r="Z615" s="29" t="n"/>
      <c r="AA615" s="29" t="n"/>
      <c r="AB615" s="29" t="n"/>
      <c r="AC615" s="29" t="n"/>
      <c r="AD615" s="29" t="n"/>
      <c r="AE615" s="29" t="n"/>
      <c r="AF615" s="29" t="n"/>
      <c r="AG615" s="29" t="n"/>
      <c r="AH615" s="29" t="n"/>
      <c r="AI615" s="29" t="n"/>
    </row>
    <row r="616">
      <c r="L616" s="29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29" t="n"/>
      <c r="W616" s="29" t="n"/>
      <c r="X616" s="29" t="n"/>
      <c r="Y616" s="29" t="n"/>
      <c r="Z616" s="29" t="n"/>
      <c r="AA616" s="29" t="n"/>
      <c r="AB616" s="29" t="n"/>
      <c r="AC616" s="29" t="n"/>
      <c r="AD616" s="29" t="n"/>
      <c r="AE616" s="29" t="n"/>
      <c r="AF616" s="29" t="n"/>
      <c r="AG616" s="29" t="n"/>
      <c r="AH616" s="29" t="n"/>
      <c r="AI616" s="29" t="n"/>
    </row>
    <row r="617">
      <c r="L617" s="29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29" t="n"/>
      <c r="W617" s="29" t="n"/>
      <c r="X617" s="29" t="n"/>
      <c r="Y617" s="29" t="n"/>
      <c r="Z617" s="29" t="n"/>
      <c r="AA617" s="29" t="n"/>
      <c r="AB617" s="29" t="n"/>
      <c r="AC617" s="29" t="n"/>
      <c r="AD617" s="29" t="n"/>
      <c r="AE617" s="29" t="n"/>
      <c r="AF617" s="29" t="n"/>
      <c r="AG617" s="29" t="n"/>
      <c r="AH617" s="29" t="n"/>
      <c r="AI617" s="29" t="n"/>
    </row>
    <row r="618">
      <c r="L618" s="29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29" t="n"/>
      <c r="W618" s="29" t="n"/>
      <c r="X618" s="29" t="n"/>
      <c r="Y618" s="29" t="n"/>
      <c r="Z618" s="29" t="n"/>
      <c r="AA618" s="29" t="n"/>
      <c r="AB618" s="29" t="n"/>
      <c r="AC618" s="29" t="n"/>
      <c r="AD618" s="29" t="n"/>
      <c r="AE618" s="29" t="n"/>
      <c r="AF618" s="29" t="n"/>
      <c r="AG618" s="29" t="n"/>
      <c r="AH618" s="29" t="n"/>
      <c r="AI618" s="29" t="n"/>
    </row>
    <row r="619">
      <c r="L619" s="29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29" t="n"/>
      <c r="W619" s="29" t="n"/>
      <c r="X619" s="29" t="n"/>
      <c r="Y619" s="29" t="n"/>
      <c r="Z619" s="29" t="n"/>
      <c r="AA619" s="29" t="n"/>
      <c r="AB619" s="29" t="n"/>
      <c r="AC619" s="29" t="n"/>
      <c r="AD619" s="29" t="n"/>
      <c r="AE619" s="29" t="n"/>
      <c r="AF619" s="29" t="n"/>
      <c r="AG619" s="29" t="n"/>
      <c r="AH619" s="29" t="n"/>
      <c r="AI619" s="29" t="n"/>
    </row>
    <row r="620">
      <c r="L620" s="29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29" t="n"/>
      <c r="W620" s="29" t="n"/>
      <c r="X620" s="29" t="n"/>
      <c r="Y620" s="29" t="n"/>
      <c r="Z620" s="29" t="n"/>
      <c r="AA620" s="29" t="n"/>
      <c r="AB620" s="29" t="n"/>
      <c r="AC620" s="29" t="n"/>
      <c r="AD620" s="29" t="n"/>
      <c r="AE620" s="29" t="n"/>
      <c r="AF620" s="29" t="n"/>
      <c r="AG620" s="29" t="n"/>
      <c r="AH620" s="29" t="n"/>
      <c r="AI620" s="29" t="n"/>
    </row>
    <row r="621">
      <c r="L621" s="29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29" t="n"/>
      <c r="W621" s="29" t="n"/>
      <c r="X621" s="29" t="n"/>
      <c r="Y621" s="29" t="n"/>
      <c r="Z621" s="29" t="n"/>
      <c r="AA621" s="29" t="n"/>
      <c r="AB621" s="29" t="n"/>
      <c r="AC621" s="29" t="n"/>
      <c r="AD621" s="29" t="n"/>
      <c r="AE621" s="29" t="n"/>
      <c r="AF621" s="29" t="n"/>
      <c r="AG621" s="29" t="n"/>
      <c r="AH621" s="29" t="n"/>
      <c r="AI621" s="29" t="n"/>
    </row>
    <row r="622">
      <c r="L622" s="29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29" t="n"/>
      <c r="W622" s="29" t="n"/>
      <c r="X622" s="29" t="n"/>
      <c r="Y622" s="29" t="n"/>
      <c r="Z622" s="29" t="n"/>
      <c r="AA622" s="29" t="n"/>
      <c r="AB622" s="29" t="n"/>
      <c r="AC622" s="29" t="n"/>
      <c r="AD622" s="29" t="n"/>
      <c r="AE622" s="29" t="n"/>
      <c r="AF622" s="29" t="n"/>
      <c r="AG622" s="29" t="n"/>
      <c r="AH622" s="29" t="n"/>
      <c r="AI622" s="29" t="n"/>
    </row>
    <row r="623">
      <c r="L623" s="29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29" t="n"/>
      <c r="W623" s="29" t="n"/>
      <c r="X623" s="29" t="n"/>
      <c r="Y623" s="29" t="n"/>
      <c r="Z623" s="29" t="n"/>
      <c r="AA623" s="29" t="n"/>
      <c r="AB623" s="29" t="n"/>
      <c r="AC623" s="29" t="n"/>
      <c r="AD623" s="29" t="n"/>
      <c r="AE623" s="29" t="n"/>
      <c r="AF623" s="29" t="n"/>
      <c r="AG623" s="29" t="n"/>
      <c r="AH623" s="29" t="n"/>
      <c r="AI623" s="29" t="n"/>
    </row>
    <row r="624">
      <c r="L624" s="29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29" t="n"/>
      <c r="W624" s="29" t="n"/>
      <c r="X624" s="29" t="n"/>
      <c r="Y624" s="29" t="n"/>
      <c r="Z624" s="29" t="n"/>
      <c r="AA624" s="29" t="n"/>
      <c r="AB624" s="29" t="n"/>
      <c r="AC624" s="29" t="n"/>
      <c r="AD624" s="29" t="n"/>
      <c r="AE624" s="29" t="n"/>
      <c r="AF624" s="29" t="n"/>
      <c r="AG624" s="29" t="n"/>
      <c r="AH624" s="29" t="n"/>
      <c r="AI624" s="29" t="n"/>
    </row>
    <row r="625">
      <c r="L625" s="29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29" t="n"/>
      <c r="W625" s="29" t="n"/>
      <c r="X625" s="29" t="n"/>
      <c r="Y625" s="29" t="n"/>
      <c r="Z625" s="29" t="n"/>
      <c r="AA625" s="29" t="n"/>
      <c r="AB625" s="29" t="n"/>
      <c r="AC625" s="29" t="n"/>
      <c r="AD625" s="29" t="n"/>
      <c r="AE625" s="29" t="n"/>
      <c r="AF625" s="29" t="n"/>
      <c r="AG625" s="29" t="n"/>
      <c r="AH625" s="29" t="n"/>
      <c r="AI625" s="29" t="n"/>
    </row>
    <row r="626">
      <c r="L626" s="29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29" t="n"/>
      <c r="W626" s="29" t="n"/>
      <c r="X626" s="29" t="n"/>
      <c r="Y626" s="29" t="n"/>
      <c r="Z626" s="29" t="n"/>
      <c r="AA626" s="29" t="n"/>
      <c r="AB626" s="29" t="n"/>
      <c r="AC626" s="29" t="n"/>
      <c r="AD626" s="29" t="n"/>
      <c r="AE626" s="29" t="n"/>
      <c r="AF626" s="29" t="n"/>
      <c r="AG626" s="29" t="n"/>
      <c r="AH626" s="29" t="n"/>
      <c r="AI626" s="29" t="n"/>
    </row>
    <row r="627">
      <c r="L627" s="29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29" t="n"/>
      <c r="W627" s="29" t="n"/>
      <c r="X627" s="29" t="n"/>
      <c r="Y627" s="29" t="n"/>
      <c r="Z627" s="29" t="n"/>
      <c r="AA627" s="29" t="n"/>
      <c r="AB627" s="29" t="n"/>
      <c r="AC627" s="29" t="n"/>
      <c r="AD627" s="29" t="n"/>
      <c r="AE627" s="29" t="n"/>
      <c r="AF627" s="29" t="n"/>
      <c r="AG627" s="29" t="n"/>
      <c r="AH627" s="29" t="n"/>
      <c r="AI627" s="29" t="n"/>
    </row>
    <row r="628">
      <c r="L628" s="29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29" t="n"/>
      <c r="W628" s="29" t="n"/>
      <c r="X628" s="29" t="n"/>
      <c r="Y628" s="29" t="n"/>
      <c r="Z628" s="29" t="n"/>
      <c r="AA628" s="29" t="n"/>
      <c r="AB628" s="29" t="n"/>
      <c r="AC628" s="29" t="n"/>
      <c r="AD628" s="29" t="n"/>
      <c r="AE628" s="29" t="n"/>
      <c r="AF628" s="29" t="n"/>
      <c r="AG628" s="29" t="n"/>
      <c r="AH628" s="29" t="n"/>
      <c r="AI628" s="29" t="n"/>
    </row>
    <row r="629">
      <c r="L629" s="29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29" t="n"/>
      <c r="W629" s="29" t="n"/>
      <c r="X629" s="29" t="n"/>
      <c r="Y629" s="29" t="n"/>
      <c r="Z629" s="29" t="n"/>
      <c r="AA629" s="29" t="n"/>
      <c r="AB629" s="29" t="n"/>
      <c r="AC629" s="29" t="n"/>
      <c r="AD629" s="29" t="n"/>
      <c r="AE629" s="29" t="n"/>
      <c r="AF629" s="29" t="n"/>
      <c r="AG629" s="29" t="n"/>
      <c r="AH629" s="29" t="n"/>
      <c r="AI629" s="29" t="n"/>
    </row>
    <row r="630">
      <c r="L630" s="29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29" t="n"/>
      <c r="W630" s="29" t="n"/>
      <c r="X630" s="29" t="n"/>
      <c r="Y630" s="29" t="n"/>
      <c r="Z630" s="29" t="n"/>
      <c r="AA630" s="29" t="n"/>
      <c r="AB630" s="29" t="n"/>
      <c r="AC630" s="29" t="n"/>
      <c r="AD630" s="29" t="n"/>
      <c r="AE630" s="29" t="n"/>
      <c r="AF630" s="29" t="n"/>
      <c r="AG630" s="29" t="n"/>
      <c r="AH630" s="29" t="n"/>
      <c r="AI630" s="29" t="n"/>
    </row>
    <row r="631">
      <c r="L631" s="29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29" t="n"/>
      <c r="W631" s="29" t="n"/>
      <c r="X631" s="29" t="n"/>
      <c r="Y631" s="29" t="n"/>
      <c r="Z631" s="29" t="n"/>
      <c r="AA631" s="29" t="n"/>
      <c r="AB631" s="29" t="n"/>
      <c r="AC631" s="29" t="n"/>
      <c r="AD631" s="29" t="n"/>
      <c r="AE631" s="29" t="n"/>
      <c r="AF631" s="29" t="n"/>
      <c r="AG631" s="29" t="n"/>
      <c r="AH631" s="29" t="n"/>
      <c r="AI631" s="29" t="n"/>
    </row>
    <row r="632">
      <c r="L632" s="29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29" t="n"/>
      <c r="W632" s="29" t="n"/>
      <c r="X632" s="29" t="n"/>
      <c r="Y632" s="29" t="n"/>
      <c r="Z632" s="29" t="n"/>
      <c r="AA632" s="29" t="n"/>
      <c r="AB632" s="29" t="n"/>
      <c r="AC632" s="29" t="n"/>
      <c r="AD632" s="29" t="n"/>
      <c r="AE632" s="29" t="n"/>
      <c r="AF632" s="29" t="n"/>
      <c r="AG632" s="29" t="n"/>
      <c r="AH632" s="29" t="n"/>
      <c r="AI632" s="29" t="n"/>
    </row>
    <row r="633">
      <c r="L633" s="29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29" t="n"/>
      <c r="W633" s="29" t="n"/>
      <c r="X633" s="29" t="n"/>
      <c r="Y633" s="29" t="n"/>
      <c r="Z633" s="29" t="n"/>
      <c r="AA633" s="29" t="n"/>
      <c r="AB633" s="29" t="n"/>
      <c r="AC633" s="29" t="n"/>
      <c r="AD633" s="29" t="n"/>
      <c r="AE633" s="29" t="n"/>
      <c r="AF633" s="29" t="n"/>
      <c r="AG633" s="29" t="n"/>
      <c r="AH633" s="29" t="n"/>
      <c r="AI633" s="29" t="n"/>
    </row>
    <row r="634">
      <c r="L634" s="29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29" t="n"/>
      <c r="W634" s="29" t="n"/>
      <c r="X634" s="29" t="n"/>
      <c r="Y634" s="29" t="n"/>
      <c r="Z634" s="29" t="n"/>
      <c r="AA634" s="29" t="n"/>
      <c r="AB634" s="29" t="n"/>
      <c r="AC634" s="29" t="n"/>
      <c r="AD634" s="29" t="n"/>
      <c r="AE634" s="29" t="n"/>
      <c r="AF634" s="29" t="n"/>
      <c r="AG634" s="29" t="n"/>
      <c r="AH634" s="29" t="n"/>
      <c r="AI634" s="29" t="n"/>
    </row>
    <row r="635">
      <c r="L635" s="29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29" t="n"/>
      <c r="W635" s="29" t="n"/>
      <c r="X635" s="29" t="n"/>
      <c r="Y635" s="29" t="n"/>
      <c r="Z635" s="29" t="n"/>
      <c r="AA635" s="29" t="n"/>
      <c r="AB635" s="29" t="n"/>
      <c r="AC635" s="29" t="n"/>
      <c r="AD635" s="29" t="n"/>
      <c r="AE635" s="29" t="n"/>
      <c r="AF635" s="29" t="n"/>
      <c r="AG635" s="29" t="n"/>
      <c r="AH635" s="29" t="n"/>
      <c r="AI635" s="29" t="n"/>
    </row>
    <row r="636">
      <c r="L636" s="29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29" t="n"/>
      <c r="W636" s="29" t="n"/>
      <c r="X636" s="29" t="n"/>
      <c r="Y636" s="29" t="n"/>
      <c r="Z636" s="29" t="n"/>
      <c r="AA636" s="29" t="n"/>
      <c r="AB636" s="29" t="n"/>
      <c r="AC636" s="29" t="n"/>
      <c r="AD636" s="29" t="n"/>
      <c r="AE636" s="29" t="n"/>
      <c r="AF636" s="29" t="n"/>
      <c r="AG636" s="29" t="n"/>
      <c r="AH636" s="29" t="n"/>
      <c r="AI636" s="29" t="n"/>
    </row>
    <row r="637">
      <c r="L637" s="29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29" t="n"/>
      <c r="W637" s="29" t="n"/>
      <c r="X637" s="29" t="n"/>
      <c r="Y637" s="29" t="n"/>
      <c r="Z637" s="29" t="n"/>
      <c r="AA637" s="29" t="n"/>
      <c r="AB637" s="29" t="n"/>
      <c r="AC637" s="29" t="n"/>
      <c r="AD637" s="29" t="n"/>
      <c r="AE637" s="29" t="n"/>
      <c r="AF637" s="29" t="n"/>
      <c r="AG637" s="29" t="n"/>
      <c r="AH637" s="29" t="n"/>
      <c r="AI637" s="29" t="n"/>
    </row>
    <row r="638">
      <c r="L638" s="29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29" t="n"/>
      <c r="W638" s="29" t="n"/>
      <c r="X638" s="29" t="n"/>
      <c r="Y638" s="29" t="n"/>
      <c r="Z638" s="29" t="n"/>
      <c r="AA638" s="29" t="n"/>
      <c r="AB638" s="29" t="n"/>
      <c r="AC638" s="29" t="n"/>
      <c r="AD638" s="29" t="n"/>
      <c r="AE638" s="29" t="n"/>
      <c r="AF638" s="29" t="n"/>
      <c r="AG638" s="29" t="n"/>
      <c r="AH638" s="29" t="n"/>
      <c r="AI638" s="29" t="n"/>
    </row>
    <row r="639">
      <c r="L639" s="29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29" t="n"/>
      <c r="W639" s="29" t="n"/>
      <c r="X639" s="29" t="n"/>
      <c r="Y639" s="29" t="n"/>
      <c r="Z639" s="29" t="n"/>
      <c r="AA639" s="29" t="n"/>
      <c r="AB639" s="29" t="n"/>
      <c r="AC639" s="29" t="n"/>
      <c r="AD639" s="29" t="n"/>
      <c r="AE639" s="29" t="n"/>
      <c r="AF639" s="29" t="n"/>
      <c r="AG639" s="29" t="n"/>
      <c r="AH639" s="29" t="n"/>
      <c r="AI639" s="29" t="n"/>
    </row>
    <row r="640">
      <c r="L640" s="29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29" t="n"/>
      <c r="W640" s="29" t="n"/>
      <c r="X640" s="29" t="n"/>
      <c r="Y640" s="29" t="n"/>
      <c r="Z640" s="29" t="n"/>
      <c r="AA640" s="29" t="n"/>
      <c r="AB640" s="29" t="n"/>
      <c r="AC640" s="29" t="n"/>
      <c r="AD640" s="29" t="n"/>
      <c r="AE640" s="29" t="n"/>
      <c r="AF640" s="29" t="n"/>
      <c r="AG640" s="29" t="n"/>
      <c r="AH640" s="29" t="n"/>
      <c r="AI640" s="29" t="n"/>
    </row>
    <row r="641">
      <c r="L641" s="29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29" t="n"/>
      <c r="W641" s="29" t="n"/>
      <c r="X641" s="29" t="n"/>
      <c r="Y641" s="29" t="n"/>
      <c r="Z641" s="29" t="n"/>
      <c r="AA641" s="29" t="n"/>
      <c r="AB641" s="29" t="n"/>
      <c r="AC641" s="29" t="n"/>
      <c r="AD641" s="29" t="n"/>
      <c r="AE641" s="29" t="n"/>
      <c r="AF641" s="29" t="n"/>
      <c r="AG641" s="29" t="n"/>
      <c r="AH641" s="29" t="n"/>
      <c r="AI641" s="29" t="n"/>
    </row>
    <row r="642"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29" t="n"/>
      <c r="W642" s="29" t="n"/>
      <c r="X642" s="29" t="n"/>
      <c r="Y642" s="29" t="n"/>
      <c r="Z642" s="29" t="n"/>
      <c r="AA642" s="29" t="n"/>
      <c r="AB642" s="29" t="n"/>
      <c r="AC642" s="29" t="n"/>
      <c r="AD642" s="29" t="n"/>
      <c r="AE642" s="29" t="n"/>
      <c r="AF642" s="29" t="n"/>
      <c r="AG642" s="29" t="n"/>
      <c r="AH642" s="29" t="n"/>
      <c r="AI642" s="29" t="n"/>
    </row>
    <row r="643"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29" t="n"/>
      <c r="W643" s="29" t="n"/>
      <c r="X643" s="29" t="n"/>
      <c r="Y643" s="29" t="n"/>
      <c r="Z643" s="29" t="n"/>
      <c r="AA643" s="29" t="n"/>
      <c r="AB643" s="29" t="n"/>
      <c r="AC643" s="29" t="n"/>
      <c r="AD643" s="29" t="n"/>
      <c r="AE643" s="29" t="n"/>
      <c r="AF643" s="29" t="n"/>
      <c r="AG643" s="29" t="n"/>
      <c r="AH643" s="29" t="n"/>
      <c r="AI643" s="29" t="n"/>
    </row>
    <row r="644"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29" t="n"/>
      <c r="W644" s="29" t="n"/>
      <c r="X644" s="29" t="n"/>
      <c r="Y644" s="29" t="n"/>
      <c r="Z644" s="29" t="n"/>
      <c r="AA644" s="29" t="n"/>
      <c r="AB644" s="29" t="n"/>
      <c r="AC644" s="29" t="n"/>
      <c r="AD644" s="29" t="n"/>
      <c r="AE644" s="29" t="n"/>
      <c r="AF644" s="29" t="n"/>
      <c r="AG644" s="29" t="n"/>
      <c r="AH644" s="29" t="n"/>
      <c r="AI644" s="29" t="n"/>
    </row>
    <row r="645"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29" t="n"/>
      <c r="W645" s="29" t="n"/>
      <c r="X645" s="29" t="n"/>
      <c r="Y645" s="29" t="n"/>
      <c r="Z645" s="29" t="n"/>
      <c r="AA645" s="29" t="n"/>
      <c r="AB645" s="29" t="n"/>
      <c r="AC645" s="29" t="n"/>
      <c r="AD645" s="29" t="n"/>
      <c r="AE645" s="29" t="n"/>
      <c r="AF645" s="29" t="n"/>
      <c r="AG645" s="29" t="n"/>
      <c r="AH645" s="29" t="n"/>
      <c r="AI645" s="29" t="n"/>
    </row>
    <row r="646"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29" t="n"/>
      <c r="W646" s="29" t="n"/>
      <c r="X646" s="29" t="n"/>
      <c r="Y646" s="29" t="n"/>
      <c r="Z646" s="29" t="n"/>
      <c r="AA646" s="29" t="n"/>
      <c r="AB646" s="29" t="n"/>
      <c r="AC646" s="29" t="n"/>
      <c r="AD646" s="29" t="n"/>
      <c r="AE646" s="29" t="n"/>
      <c r="AF646" s="29" t="n"/>
      <c r="AG646" s="29" t="n"/>
      <c r="AH646" s="29" t="n"/>
      <c r="AI646" s="29" t="n"/>
    </row>
    <row r="647"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29" t="n"/>
      <c r="W647" s="29" t="n"/>
      <c r="X647" s="29" t="n"/>
      <c r="Y647" s="29" t="n"/>
      <c r="Z647" s="29" t="n"/>
      <c r="AA647" s="29" t="n"/>
      <c r="AB647" s="29" t="n"/>
      <c r="AC647" s="29" t="n"/>
      <c r="AD647" s="29" t="n"/>
      <c r="AE647" s="29" t="n"/>
      <c r="AF647" s="29" t="n"/>
      <c r="AG647" s="29" t="n"/>
      <c r="AH647" s="29" t="n"/>
      <c r="AI647" s="29" t="n"/>
    </row>
    <row r="648"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29" t="n"/>
      <c r="W648" s="29" t="n"/>
      <c r="X648" s="29" t="n"/>
      <c r="Y648" s="29" t="n"/>
      <c r="Z648" s="29" t="n"/>
      <c r="AA648" s="29" t="n"/>
      <c r="AB648" s="29" t="n"/>
      <c r="AC648" s="29" t="n"/>
      <c r="AD648" s="29" t="n"/>
      <c r="AE648" s="29" t="n"/>
      <c r="AF648" s="29" t="n"/>
      <c r="AG648" s="29" t="n"/>
      <c r="AH648" s="29" t="n"/>
      <c r="AI648" s="29" t="n"/>
    </row>
    <row r="649"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29" t="n"/>
      <c r="W649" s="29" t="n"/>
      <c r="X649" s="29" t="n"/>
      <c r="Y649" s="29" t="n"/>
      <c r="Z649" s="29" t="n"/>
      <c r="AA649" s="29" t="n"/>
      <c r="AB649" s="29" t="n"/>
      <c r="AC649" s="29" t="n"/>
      <c r="AD649" s="29" t="n"/>
      <c r="AE649" s="29" t="n"/>
      <c r="AF649" s="29" t="n"/>
      <c r="AG649" s="29" t="n"/>
      <c r="AH649" s="29" t="n"/>
      <c r="AI649" s="29" t="n"/>
    </row>
    <row r="650"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29" t="n"/>
      <c r="W650" s="29" t="n"/>
      <c r="X650" s="29" t="n"/>
      <c r="Y650" s="29" t="n"/>
      <c r="Z650" s="29" t="n"/>
      <c r="AA650" s="29" t="n"/>
      <c r="AB650" s="29" t="n"/>
      <c r="AC650" s="29" t="n"/>
      <c r="AD650" s="29" t="n"/>
      <c r="AE650" s="29" t="n"/>
      <c r="AF650" s="29" t="n"/>
      <c r="AG650" s="29" t="n"/>
      <c r="AH650" s="29" t="n"/>
      <c r="AI650" s="29" t="n"/>
    </row>
    <row r="651"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29" t="n"/>
      <c r="W651" s="29" t="n"/>
      <c r="X651" s="29" t="n"/>
      <c r="Y651" s="29" t="n"/>
      <c r="Z651" s="29" t="n"/>
      <c r="AA651" s="29" t="n"/>
      <c r="AB651" s="29" t="n"/>
      <c r="AC651" s="29" t="n"/>
      <c r="AD651" s="29" t="n"/>
      <c r="AE651" s="29" t="n"/>
      <c r="AF651" s="29" t="n"/>
      <c r="AG651" s="29" t="n"/>
      <c r="AH651" s="29" t="n"/>
      <c r="AI651" s="29" t="n"/>
    </row>
    <row r="652"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29" t="n"/>
      <c r="W652" s="29" t="n"/>
      <c r="X652" s="29" t="n"/>
      <c r="Y652" s="29" t="n"/>
      <c r="Z652" s="29" t="n"/>
      <c r="AA652" s="29" t="n"/>
      <c r="AB652" s="29" t="n"/>
      <c r="AC652" s="29" t="n"/>
      <c r="AD652" s="29" t="n"/>
      <c r="AE652" s="29" t="n"/>
      <c r="AF652" s="29" t="n"/>
      <c r="AG652" s="29" t="n"/>
      <c r="AH652" s="29" t="n"/>
      <c r="AI652" s="29" t="n"/>
    </row>
    <row r="653"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29" t="n"/>
      <c r="W653" s="29" t="n"/>
      <c r="X653" s="29" t="n"/>
      <c r="Y653" s="29" t="n"/>
      <c r="Z653" s="29" t="n"/>
      <c r="AA653" s="29" t="n"/>
      <c r="AB653" s="29" t="n"/>
      <c r="AC653" s="29" t="n"/>
      <c r="AD653" s="29" t="n"/>
      <c r="AE653" s="29" t="n"/>
      <c r="AF653" s="29" t="n"/>
      <c r="AG653" s="29" t="n"/>
      <c r="AH653" s="29" t="n"/>
      <c r="AI653" s="29" t="n"/>
    </row>
    <row r="654"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29" t="n"/>
      <c r="W654" s="29" t="n"/>
      <c r="X654" s="29" t="n"/>
      <c r="Y654" s="29" t="n"/>
      <c r="Z654" s="29" t="n"/>
      <c r="AA654" s="29" t="n"/>
      <c r="AB654" s="29" t="n"/>
      <c r="AC654" s="29" t="n"/>
      <c r="AD654" s="29" t="n"/>
      <c r="AE654" s="29" t="n"/>
      <c r="AF654" s="29" t="n"/>
      <c r="AG654" s="29" t="n"/>
      <c r="AH654" s="29" t="n"/>
      <c r="AI654" s="29" t="n"/>
    </row>
    <row r="655"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29" t="n"/>
      <c r="W655" s="29" t="n"/>
      <c r="X655" s="29" t="n"/>
      <c r="Y655" s="29" t="n"/>
      <c r="Z655" s="29" t="n"/>
      <c r="AA655" s="29" t="n"/>
      <c r="AB655" s="29" t="n"/>
      <c r="AC655" s="29" t="n"/>
      <c r="AD655" s="29" t="n"/>
      <c r="AE655" s="29" t="n"/>
      <c r="AF655" s="29" t="n"/>
      <c r="AG655" s="29" t="n"/>
      <c r="AH655" s="29" t="n"/>
      <c r="AI655" s="29" t="n"/>
    </row>
    <row r="656"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29" t="n"/>
      <c r="W656" s="29" t="n"/>
      <c r="X656" s="29" t="n"/>
      <c r="Y656" s="29" t="n"/>
      <c r="Z656" s="29" t="n"/>
      <c r="AA656" s="29" t="n"/>
      <c r="AB656" s="29" t="n"/>
      <c r="AC656" s="29" t="n"/>
      <c r="AD656" s="29" t="n"/>
      <c r="AE656" s="29" t="n"/>
      <c r="AF656" s="29" t="n"/>
      <c r="AG656" s="29" t="n"/>
      <c r="AH656" s="29" t="n"/>
      <c r="AI656" s="29" t="n"/>
    </row>
    <row r="657"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29" t="n"/>
      <c r="W657" s="29" t="n"/>
      <c r="X657" s="29" t="n"/>
      <c r="Y657" s="29" t="n"/>
      <c r="Z657" s="29" t="n"/>
      <c r="AA657" s="29" t="n"/>
      <c r="AB657" s="29" t="n"/>
      <c r="AC657" s="29" t="n"/>
      <c r="AD657" s="29" t="n"/>
      <c r="AE657" s="29" t="n"/>
      <c r="AF657" s="29" t="n"/>
      <c r="AG657" s="29" t="n"/>
      <c r="AH657" s="29" t="n"/>
      <c r="AI657" s="29" t="n"/>
    </row>
    <row r="658"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29" t="n"/>
      <c r="W658" s="29" t="n"/>
      <c r="X658" s="29" t="n"/>
      <c r="Y658" s="29" t="n"/>
      <c r="Z658" s="29" t="n"/>
      <c r="AA658" s="29" t="n"/>
      <c r="AB658" s="29" t="n"/>
      <c r="AC658" s="29" t="n"/>
      <c r="AD658" s="29" t="n"/>
      <c r="AE658" s="29" t="n"/>
      <c r="AF658" s="29" t="n"/>
      <c r="AG658" s="29" t="n"/>
      <c r="AH658" s="29" t="n"/>
      <c r="AI658" s="29" t="n"/>
    </row>
    <row r="659"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29" t="n"/>
      <c r="W659" s="29" t="n"/>
      <c r="X659" s="29" t="n"/>
      <c r="Y659" s="29" t="n"/>
      <c r="Z659" s="29" t="n"/>
      <c r="AA659" s="29" t="n"/>
      <c r="AB659" s="29" t="n"/>
      <c r="AC659" s="29" t="n"/>
      <c r="AD659" s="29" t="n"/>
      <c r="AE659" s="29" t="n"/>
      <c r="AF659" s="29" t="n"/>
      <c r="AG659" s="29" t="n"/>
      <c r="AH659" s="29" t="n"/>
      <c r="AI659" s="29" t="n"/>
    </row>
    <row r="660"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29" t="n"/>
      <c r="W660" s="29" t="n"/>
      <c r="X660" s="29" t="n"/>
      <c r="Y660" s="29" t="n"/>
      <c r="Z660" s="29" t="n"/>
      <c r="AA660" s="29" t="n"/>
      <c r="AB660" s="29" t="n"/>
      <c r="AC660" s="29" t="n"/>
      <c r="AD660" s="29" t="n"/>
      <c r="AE660" s="29" t="n"/>
      <c r="AF660" s="29" t="n"/>
      <c r="AG660" s="29" t="n"/>
      <c r="AH660" s="29" t="n"/>
      <c r="AI660" s="29" t="n"/>
    </row>
    <row r="661"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29" t="n"/>
      <c r="W661" s="29" t="n"/>
      <c r="X661" s="29" t="n"/>
      <c r="Y661" s="29" t="n"/>
      <c r="Z661" s="29" t="n"/>
      <c r="AA661" s="29" t="n"/>
      <c r="AB661" s="29" t="n"/>
      <c r="AC661" s="29" t="n"/>
      <c r="AD661" s="29" t="n"/>
      <c r="AE661" s="29" t="n"/>
      <c r="AF661" s="29" t="n"/>
      <c r="AG661" s="29" t="n"/>
      <c r="AH661" s="29" t="n"/>
      <c r="AI661" s="29" t="n"/>
    </row>
    <row r="662"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29" t="n"/>
      <c r="W662" s="29" t="n"/>
      <c r="X662" s="29" t="n"/>
      <c r="Y662" s="29" t="n"/>
      <c r="Z662" s="29" t="n"/>
      <c r="AA662" s="29" t="n"/>
      <c r="AB662" s="29" t="n"/>
      <c r="AC662" s="29" t="n"/>
      <c r="AD662" s="29" t="n"/>
      <c r="AE662" s="29" t="n"/>
      <c r="AF662" s="29" t="n"/>
      <c r="AG662" s="29" t="n"/>
      <c r="AH662" s="29" t="n"/>
      <c r="AI662" s="29" t="n"/>
    </row>
    <row r="663"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29" t="n"/>
      <c r="W663" s="29" t="n"/>
      <c r="X663" s="29" t="n"/>
      <c r="Y663" s="29" t="n"/>
      <c r="Z663" s="29" t="n"/>
      <c r="AA663" s="29" t="n"/>
      <c r="AB663" s="29" t="n"/>
      <c r="AC663" s="29" t="n"/>
      <c r="AD663" s="29" t="n"/>
      <c r="AE663" s="29" t="n"/>
      <c r="AF663" s="29" t="n"/>
      <c r="AG663" s="29" t="n"/>
      <c r="AH663" s="29" t="n"/>
      <c r="AI663" s="29" t="n"/>
    </row>
    <row r="664"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29" t="n"/>
      <c r="W664" s="29" t="n"/>
      <c r="X664" s="29" t="n"/>
      <c r="Y664" s="29" t="n"/>
      <c r="Z664" s="29" t="n"/>
      <c r="AA664" s="29" t="n"/>
      <c r="AB664" s="29" t="n"/>
      <c r="AC664" s="29" t="n"/>
      <c r="AD664" s="29" t="n"/>
      <c r="AE664" s="29" t="n"/>
      <c r="AF664" s="29" t="n"/>
      <c r="AG664" s="29" t="n"/>
      <c r="AH664" s="29" t="n"/>
      <c r="AI664" s="29" t="n"/>
    </row>
    <row r="665"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29" t="n"/>
      <c r="W665" s="29" t="n"/>
      <c r="X665" s="29" t="n"/>
      <c r="Y665" s="29" t="n"/>
      <c r="Z665" s="29" t="n"/>
      <c r="AA665" s="29" t="n"/>
      <c r="AB665" s="29" t="n"/>
      <c r="AC665" s="29" t="n"/>
      <c r="AD665" s="29" t="n"/>
      <c r="AE665" s="29" t="n"/>
      <c r="AF665" s="29" t="n"/>
      <c r="AG665" s="29" t="n"/>
      <c r="AH665" s="29" t="n"/>
      <c r="AI665" s="29" t="n"/>
    </row>
    <row r="666"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29" t="n"/>
      <c r="W666" s="29" t="n"/>
      <c r="X666" s="29" t="n"/>
      <c r="Y666" s="29" t="n"/>
      <c r="Z666" s="29" t="n"/>
      <c r="AA666" s="29" t="n"/>
      <c r="AB666" s="29" t="n"/>
      <c r="AC666" s="29" t="n"/>
      <c r="AD666" s="29" t="n"/>
      <c r="AE666" s="29" t="n"/>
      <c r="AF666" s="29" t="n"/>
      <c r="AG666" s="29" t="n"/>
      <c r="AH666" s="29" t="n"/>
      <c r="AI666" s="29" t="n"/>
    </row>
    <row r="667"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29" t="n"/>
      <c r="W667" s="29" t="n"/>
      <c r="X667" s="29" t="n"/>
      <c r="Y667" s="29" t="n"/>
      <c r="Z667" s="29" t="n"/>
      <c r="AA667" s="29" t="n"/>
      <c r="AB667" s="29" t="n"/>
      <c r="AC667" s="29" t="n"/>
      <c r="AD667" s="29" t="n"/>
      <c r="AE667" s="29" t="n"/>
      <c r="AF667" s="29" t="n"/>
      <c r="AG667" s="29" t="n"/>
      <c r="AH667" s="29" t="n"/>
      <c r="AI667" s="29" t="n"/>
    </row>
    <row r="668"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29" t="n"/>
      <c r="W668" s="29" t="n"/>
      <c r="X668" s="29" t="n"/>
      <c r="Y668" s="29" t="n"/>
      <c r="Z668" s="29" t="n"/>
      <c r="AA668" s="29" t="n"/>
      <c r="AB668" s="29" t="n"/>
      <c r="AC668" s="29" t="n"/>
      <c r="AD668" s="29" t="n"/>
      <c r="AE668" s="29" t="n"/>
      <c r="AF668" s="29" t="n"/>
      <c r="AG668" s="29" t="n"/>
      <c r="AH668" s="29" t="n"/>
      <c r="AI668" s="29" t="n"/>
    </row>
    <row r="669"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29" t="n"/>
      <c r="W669" s="29" t="n"/>
      <c r="X669" s="29" t="n"/>
      <c r="Y669" s="29" t="n"/>
      <c r="Z669" s="29" t="n"/>
      <c r="AA669" s="29" t="n"/>
      <c r="AB669" s="29" t="n"/>
      <c r="AC669" s="29" t="n"/>
      <c r="AD669" s="29" t="n"/>
      <c r="AE669" s="29" t="n"/>
      <c r="AF669" s="29" t="n"/>
      <c r="AG669" s="29" t="n"/>
      <c r="AH669" s="29" t="n"/>
      <c r="AI669" s="29" t="n"/>
    </row>
    <row r="670"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29" t="n"/>
      <c r="W670" s="29" t="n"/>
      <c r="X670" s="29" t="n"/>
      <c r="Y670" s="29" t="n"/>
      <c r="Z670" s="29" t="n"/>
      <c r="AA670" s="29" t="n"/>
      <c r="AB670" s="29" t="n"/>
      <c r="AC670" s="29" t="n"/>
      <c r="AD670" s="29" t="n"/>
      <c r="AE670" s="29" t="n"/>
      <c r="AF670" s="29" t="n"/>
      <c r="AG670" s="29" t="n"/>
      <c r="AH670" s="29" t="n"/>
      <c r="AI670" s="29" t="n"/>
    </row>
    <row r="671"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29" t="n"/>
      <c r="W671" s="29" t="n"/>
      <c r="X671" s="29" t="n"/>
      <c r="Y671" s="29" t="n"/>
      <c r="Z671" s="29" t="n"/>
      <c r="AA671" s="29" t="n"/>
      <c r="AB671" s="29" t="n"/>
      <c r="AC671" s="29" t="n"/>
      <c r="AD671" s="29" t="n"/>
      <c r="AE671" s="29" t="n"/>
      <c r="AF671" s="29" t="n"/>
      <c r="AG671" s="29" t="n"/>
      <c r="AH671" s="29" t="n"/>
      <c r="AI671" s="29" t="n"/>
    </row>
    <row r="672"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29" t="n"/>
      <c r="W672" s="29" t="n"/>
      <c r="X672" s="29" t="n"/>
      <c r="Y672" s="29" t="n"/>
      <c r="Z672" s="29" t="n"/>
      <c r="AA672" s="29" t="n"/>
      <c r="AB672" s="29" t="n"/>
      <c r="AC672" s="29" t="n"/>
      <c r="AD672" s="29" t="n"/>
      <c r="AE672" s="29" t="n"/>
      <c r="AF672" s="29" t="n"/>
      <c r="AG672" s="29" t="n"/>
      <c r="AH672" s="29" t="n"/>
      <c r="AI672" s="29" t="n"/>
    </row>
    <row r="673"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29" t="n"/>
      <c r="W673" s="29" t="n"/>
      <c r="X673" s="29" t="n"/>
      <c r="Y673" s="29" t="n"/>
      <c r="Z673" s="29" t="n"/>
      <c r="AA673" s="29" t="n"/>
      <c r="AB673" s="29" t="n"/>
      <c r="AC673" s="29" t="n"/>
      <c r="AD673" s="29" t="n"/>
      <c r="AE673" s="29" t="n"/>
      <c r="AF673" s="29" t="n"/>
      <c r="AG673" s="29" t="n"/>
      <c r="AH673" s="29" t="n"/>
      <c r="AI673" s="29" t="n"/>
    </row>
    <row r="674"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29" t="n"/>
      <c r="W674" s="29" t="n"/>
      <c r="X674" s="29" t="n"/>
      <c r="Y674" s="29" t="n"/>
      <c r="Z674" s="29" t="n"/>
      <c r="AA674" s="29" t="n"/>
      <c r="AB674" s="29" t="n"/>
      <c r="AC674" s="29" t="n"/>
      <c r="AD674" s="29" t="n"/>
      <c r="AE674" s="29" t="n"/>
      <c r="AF674" s="29" t="n"/>
      <c r="AG674" s="29" t="n"/>
      <c r="AH674" s="29" t="n"/>
      <c r="AI674" s="29" t="n"/>
    </row>
    <row r="675"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29" t="n"/>
      <c r="W675" s="29" t="n"/>
      <c r="X675" s="29" t="n"/>
      <c r="Y675" s="29" t="n"/>
      <c r="Z675" s="29" t="n"/>
      <c r="AA675" s="29" t="n"/>
      <c r="AB675" s="29" t="n"/>
      <c r="AC675" s="29" t="n"/>
      <c r="AD675" s="29" t="n"/>
      <c r="AE675" s="29" t="n"/>
      <c r="AF675" s="29" t="n"/>
      <c r="AG675" s="29" t="n"/>
      <c r="AH675" s="29" t="n"/>
      <c r="AI675" s="29" t="n"/>
    </row>
    <row r="676"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29" t="n"/>
      <c r="W676" s="29" t="n"/>
      <c r="X676" s="29" t="n"/>
      <c r="Y676" s="29" t="n"/>
      <c r="Z676" s="29" t="n"/>
      <c r="AA676" s="29" t="n"/>
      <c r="AB676" s="29" t="n"/>
      <c r="AC676" s="29" t="n"/>
      <c r="AD676" s="29" t="n"/>
      <c r="AE676" s="29" t="n"/>
      <c r="AF676" s="29" t="n"/>
      <c r="AG676" s="29" t="n"/>
      <c r="AH676" s="29" t="n"/>
      <c r="AI676" s="29" t="n"/>
    </row>
    <row r="677"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29" t="n"/>
      <c r="W677" s="29" t="n"/>
      <c r="X677" s="29" t="n"/>
      <c r="Y677" s="29" t="n"/>
      <c r="Z677" s="29" t="n"/>
      <c r="AA677" s="29" t="n"/>
      <c r="AB677" s="29" t="n"/>
      <c r="AC677" s="29" t="n"/>
      <c r="AD677" s="29" t="n"/>
      <c r="AE677" s="29" t="n"/>
      <c r="AF677" s="29" t="n"/>
      <c r="AG677" s="29" t="n"/>
      <c r="AH677" s="29" t="n"/>
      <c r="AI677" s="29" t="n"/>
    </row>
    <row r="678"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29" t="n"/>
      <c r="W678" s="29" t="n"/>
      <c r="X678" s="29" t="n"/>
      <c r="Y678" s="29" t="n"/>
      <c r="Z678" s="29" t="n"/>
      <c r="AA678" s="29" t="n"/>
      <c r="AB678" s="29" t="n"/>
      <c r="AC678" s="29" t="n"/>
      <c r="AD678" s="29" t="n"/>
      <c r="AE678" s="29" t="n"/>
      <c r="AF678" s="29" t="n"/>
      <c r="AG678" s="29" t="n"/>
      <c r="AH678" s="29" t="n"/>
      <c r="AI678" s="29" t="n"/>
    </row>
    <row r="679"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29" t="n"/>
      <c r="W679" s="29" t="n"/>
      <c r="X679" s="29" t="n"/>
      <c r="Y679" s="29" t="n"/>
      <c r="Z679" s="29" t="n"/>
      <c r="AA679" s="29" t="n"/>
      <c r="AB679" s="29" t="n"/>
      <c r="AC679" s="29" t="n"/>
      <c r="AD679" s="29" t="n"/>
      <c r="AE679" s="29" t="n"/>
      <c r="AF679" s="29" t="n"/>
      <c r="AG679" s="29" t="n"/>
      <c r="AH679" s="29" t="n"/>
      <c r="AI679" s="29" t="n"/>
    </row>
    <row r="680"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29" t="n"/>
      <c r="W680" s="29" t="n"/>
      <c r="X680" s="29" t="n"/>
      <c r="Y680" s="29" t="n"/>
      <c r="Z680" s="29" t="n"/>
      <c r="AA680" s="29" t="n"/>
      <c r="AB680" s="29" t="n"/>
      <c r="AC680" s="29" t="n"/>
      <c r="AD680" s="29" t="n"/>
      <c r="AE680" s="29" t="n"/>
      <c r="AF680" s="29" t="n"/>
      <c r="AG680" s="29" t="n"/>
      <c r="AH680" s="29" t="n"/>
      <c r="AI680" s="29" t="n"/>
    </row>
    <row r="681"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29" t="n"/>
      <c r="W681" s="29" t="n"/>
      <c r="X681" s="29" t="n"/>
      <c r="Y681" s="29" t="n"/>
      <c r="Z681" s="29" t="n"/>
      <c r="AA681" s="29" t="n"/>
      <c r="AB681" s="29" t="n"/>
      <c r="AC681" s="29" t="n"/>
      <c r="AD681" s="29" t="n"/>
      <c r="AE681" s="29" t="n"/>
      <c r="AF681" s="29" t="n"/>
      <c r="AG681" s="29" t="n"/>
      <c r="AH681" s="29" t="n"/>
      <c r="AI681" s="29" t="n"/>
    </row>
    <row r="682"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29" t="n"/>
      <c r="W682" s="29" t="n"/>
      <c r="X682" s="29" t="n"/>
      <c r="Y682" s="29" t="n"/>
      <c r="Z682" s="29" t="n"/>
      <c r="AA682" s="29" t="n"/>
      <c r="AB682" s="29" t="n"/>
      <c r="AC682" s="29" t="n"/>
      <c r="AD682" s="29" t="n"/>
      <c r="AE682" s="29" t="n"/>
      <c r="AF682" s="29" t="n"/>
      <c r="AG682" s="29" t="n"/>
      <c r="AH682" s="29" t="n"/>
      <c r="AI682" s="29" t="n"/>
    </row>
    <row r="683"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29" t="n"/>
      <c r="W683" s="29" t="n"/>
      <c r="X683" s="29" t="n"/>
      <c r="Y683" s="29" t="n"/>
      <c r="Z683" s="29" t="n"/>
      <c r="AA683" s="29" t="n"/>
      <c r="AB683" s="29" t="n"/>
      <c r="AC683" s="29" t="n"/>
      <c r="AD683" s="29" t="n"/>
      <c r="AE683" s="29" t="n"/>
      <c r="AF683" s="29" t="n"/>
      <c r="AG683" s="29" t="n"/>
      <c r="AH683" s="29" t="n"/>
      <c r="AI683" s="29" t="n"/>
    </row>
    <row r="684"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29" t="n"/>
      <c r="W684" s="29" t="n"/>
      <c r="X684" s="29" t="n"/>
      <c r="Y684" s="29" t="n"/>
      <c r="Z684" s="29" t="n"/>
      <c r="AA684" s="29" t="n"/>
      <c r="AB684" s="29" t="n"/>
      <c r="AC684" s="29" t="n"/>
      <c r="AD684" s="29" t="n"/>
      <c r="AE684" s="29" t="n"/>
      <c r="AF684" s="29" t="n"/>
      <c r="AG684" s="29" t="n"/>
      <c r="AH684" s="29" t="n"/>
      <c r="AI684" s="29" t="n"/>
    </row>
    <row r="685"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29" t="n"/>
      <c r="W685" s="29" t="n"/>
      <c r="X685" s="29" t="n"/>
      <c r="Y685" s="29" t="n"/>
      <c r="Z685" s="29" t="n"/>
      <c r="AA685" s="29" t="n"/>
      <c r="AB685" s="29" t="n"/>
      <c r="AC685" s="29" t="n"/>
      <c r="AD685" s="29" t="n"/>
      <c r="AE685" s="29" t="n"/>
      <c r="AF685" s="29" t="n"/>
      <c r="AG685" s="29" t="n"/>
      <c r="AH685" s="29" t="n"/>
      <c r="AI685" s="29" t="n"/>
    </row>
    <row r="686"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29" t="n"/>
      <c r="W686" s="29" t="n"/>
      <c r="X686" s="29" t="n"/>
      <c r="Y686" s="29" t="n"/>
      <c r="Z686" s="29" t="n"/>
      <c r="AA686" s="29" t="n"/>
      <c r="AB686" s="29" t="n"/>
      <c r="AC686" s="29" t="n"/>
      <c r="AD686" s="29" t="n"/>
      <c r="AE686" s="29" t="n"/>
      <c r="AF686" s="29" t="n"/>
      <c r="AG686" s="29" t="n"/>
      <c r="AH686" s="29" t="n"/>
      <c r="AI686" s="29" t="n"/>
    </row>
    <row r="687"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29" t="n"/>
      <c r="W687" s="29" t="n"/>
      <c r="X687" s="29" t="n"/>
      <c r="Y687" s="29" t="n"/>
      <c r="Z687" s="29" t="n"/>
      <c r="AA687" s="29" t="n"/>
      <c r="AB687" s="29" t="n"/>
      <c r="AC687" s="29" t="n"/>
      <c r="AD687" s="29" t="n"/>
      <c r="AE687" s="29" t="n"/>
      <c r="AF687" s="29" t="n"/>
      <c r="AG687" s="29" t="n"/>
      <c r="AH687" s="29" t="n"/>
      <c r="AI687" s="29" t="n"/>
    </row>
    <row r="688"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29" t="n"/>
      <c r="W688" s="29" t="n"/>
      <c r="X688" s="29" t="n"/>
      <c r="Y688" s="29" t="n"/>
      <c r="Z688" s="29" t="n"/>
      <c r="AA688" s="29" t="n"/>
      <c r="AB688" s="29" t="n"/>
      <c r="AC688" s="29" t="n"/>
      <c r="AD688" s="29" t="n"/>
      <c r="AE688" s="29" t="n"/>
      <c r="AF688" s="29" t="n"/>
      <c r="AG688" s="29" t="n"/>
      <c r="AH688" s="29" t="n"/>
      <c r="AI688" s="29" t="n"/>
    </row>
    <row r="689"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29" t="n"/>
      <c r="W689" s="29" t="n"/>
      <c r="X689" s="29" t="n"/>
      <c r="Y689" s="29" t="n"/>
      <c r="Z689" s="29" t="n"/>
      <c r="AA689" s="29" t="n"/>
      <c r="AB689" s="29" t="n"/>
      <c r="AC689" s="29" t="n"/>
      <c r="AD689" s="29" t="n"/>
      <c r="AE689" s="29" t="n"/>
      <c r="AF689" s="29" t="n"/>
      <c r="AG689" s="29" t="n"/>
      <c r="AH689" s="29" t="n"/>
      <c r="AI689" s="29" t="n"/>
    </row>
    <row r="690"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29" t="n"/>
      <c r="W690" s="29" t="n"/>
      <c r="X690" s="29" t="n"/>
      <c r="Y690" s="29" t="n"/>
      <c r="Z690" s="29" t="n"/>
      <c r="AA690" s="29" t="n"/>
      <c r="AB690" s="29" t="n"/>
      <c r="AC690" s="29" t="n"/>
      <c r="AD690" s="29" t="n"/>
      <c r="AE690" s="29" t="n"/>
      <c r="AF690" s="29" t="n"/>
      <c r="AG690" s="29" t="n"/>
      <c r="AH690" s="29" t="n"/>
      <c r="AI690" s="29" t="n"/>
    </row>
    <row r="691"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29" t="n"/>
      <c r="W691" s="29" t="n"/>
      <c r="X691" s="29" t="n"/>
      <c r="Y691" s="29" t="n"/>
      <c r="Z691" s="29" t="n"/>
      <c r="AA691" s="29" t="n"/>
      <c r="AB691" s="29" t="n"/>
      <c r="AC691" s="29" t="n"/>
      <c r="AD691" s="29" t="n"/>
      <c r="AE691" s="29" t="n"/>
      <c r="AF691" s="29" t="n"/>
      <c r="AG691" s="29" t="n"/>
      <c r="AH691" s="29" t="n"/>
      <c r="AI691" s="29" t="n"/>
    </row>
    <row r="692"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29" t="n"/>
      <c r="W692" s="29" t="n"/>
      <c r="X692" s="29" t="n"/>
      <c r="Y692" s="29" t="n"/>
      <c r="Z692" s="29" t="n"/>
      <c r="AA692" s="29" t="n"/>
      <c r="AB692" s="29" t="n"/>
      <c r="AC692" s="29" t="n"/>
      <c r="AD692" s="29" t="n"/>
      <c r="AE692" s="29" t="n"/>
      <c r="AF692" s="29" t="n"/>
      <c r="AG692" s="29" t="n"/>
      <c r="AH692" s="29" t="n"/>
      <c r="AI692" s="29" t="n"/>
    </row>
    <row r="693"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29" t="n"/>
      <c r="W693" s="29" t="n"/>
      <c r="X693" s="29" t="n"/>
      <c r="Y693" s="29" t="n"/>
      <c r="Z693" s="29" t="n"/>
      <c r="AA693" s="29" t="n"/>
      <c r="AB693" s="29" t="n"/>
      <c r="AC693" s="29" t="n"/>
      <c r="AD693" s="29" t="n"/>
      <c r="AE693" s="29" t="n"/>
      <c r="AF693" s="29" t="n"/>
      <c r="AG693" s="29" t="n"/>
      <c r="AH693" s="29" t="n"/>
      <c r="AI693" s="29" t="n"/>
    </row>
    <row r="694"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29" t="n"/>
      <c r="W694" s="29" t="n"/>
      <c r="X694" s="29" t="n"/>
      <c r="Y694" s="29" t="n"/>
      <c r="Z694" s="29" t="n"/>
      <c r="AA694" s="29" t="n"/>
      <c r="AB694" s="29" t="n"/>
      <c r="AC694" s="29" t="n"/>
      <c r="AD694" s="29" t="n"/>
      <c r="AE694" s="29" t="n"/>
      <c r="AF694" s="29" t="n"/>
      <c r="AG694" s="29" t="n"/>
      <c r="AH694" s="29" t="n"/>
      <c r="AI694" s="29" t="n"/>
    </row>
    <row r="695"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29" t="n"/>
      <c r="W695" s="29" t="n"/>
      <c r="X695" s="29" t="n"/>
      <c r="Y695" s="29" t="n"/>
      <c r="Z695" s="29" t="n"/>
      <c r="AA695" s="29" t="n"/>
      <c r="AB695" s="29" t="n"/>
      <c r="AC695" s="29" t="n"/>
      <c r="AD695" s="29" t="n"/>
      <c r="AE695" s="29" t="n"/>
      <c r="AF695" s="29" t="n"/>
      <c r="AG695" s="29" t="n"/>
      <c r="AH695" s="29" t="n"/>
      <c r="AI695" s="29" t="n"/>
    </row>
    <row r="696"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29" t="n"/>
      <c r="W696" s="29" t="n"/>
      <c r="X696" s="29" t="n"/>
      <c r="Y696" s="29" t="n"/>
      <c r="Z696" s="29" t="n"/>
      <c r="AA696" s="29" t="n"/>
      <c r="AB696" s="29" t="n"/>
      <c r="AC696" s="29" t="n"/>
      <c r="AD696" s="29" t="n"/>
      <c r="AE696" s="29" t="n"/>
      <c r="AF696" s="29" t="n"/>
      <c r="AG696" s="29" t="n"/>
      <c r="AH696" s="29" t="n"/>
      <c r="AI696" s="29" t="n"/>
    </row>
    <row r="697"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29" t="n"/>
      <c r="W697" s="29" t="n"/>
      <c r="X697" s="29" t="n"/>
      <c r="Y697" s="29" t="n"/>
      <c r="Z697" s="29" t="n"/>
      <c r="AA697" s="29" t="n"/>
      <c r="AB697" s="29" t="n"/>
      <c r="AC697" s="29" t="n"/>
      <c r="AD697" s="29" t="n"/>
      <c r="AE697" s="29" t="n"/>
      <c r="AF697" s="29" t="n"/>
      <c r="AG697" s="29" t="n"/>
      <c r="AH697" s="29" t="n"/>
      <c r="AI697" s="29" t="n"/>
    </row>
    <row r="698"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29" t="n"/>
      <c r="W698" s="29" t="n"/>
      <c r="X698" s="29" t="n"/>
      <c r="Y698" s="29" t="n"/>
      <c r="Z698" s="29" t="n"/>
      <c r="AA698" s="29" t="n"/>
      <c r="AB698" s="29" t="n"/>
      <c r="AC698" s="29" t="n"/>
      <c r="AD698" s="29" t="n"/>
      <c r="AE698" s="29" t="n"/>
      <c r="AF698" s="29" t="n"/>
      <c r="AG698" s="29" t="n"/>
      <c r="AH698" s="29" t="n"/>
      <c r="AI698" s="29" t="n"/>
    </row>
    <row r="699"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29" t="n"/>
      <c r="W699" s="29" t="n"/>
      <c r="X699" s="29" t="n"/>
      <c r="Y699" s="29" t="n"/>
      <c r="Z699" s="29" t="n"/>
      <c r="AA699" s="29" t="n"/>
      <c r="AB699" s="29" t="n"/>
      <c r="AC699" s="29" t="n"/>
      <c r="AD699" s="29" t="n"/>
      <c r="AE699" s="29" t="n"/>
      <c r="AF699" s="29" t="n"/>
      <c r="AG699" s="29" t="n"/>
      <c r="AH699" s="29" t="n"/>
      <c r="AI699" s="29" t="n"/>
    </row>
    <row r="700"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29" t="n"/>
      <c r="W700" s="29" t="n"/>
      <c r="X700" s="29" t="n"/>
      <c r="Y700" s="29" t="n"/>
      <c r="Z700" s="29" t="n"/>
      <c r="AA700" s="29" t="n"/>
      <c r="AB700" s="29" t="n"/>
      <c r="AC700" s="29" t="n"/>
      <c r="AD700" s="29" t="n"/>
      <c r="AE700" s="29" t="n"/>
      <c r="AF700" s="29" t="n"/>
      <c r="AG700" s="29" t="n"/>
      <c r="AH700" s="29" t="n"/>
      <c r="AI700" s="29" t="n"/>
    </row>
    <row r="701"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29" t="n"/>
      <c r="W701" s="29" t="n"/>
      <c r="X701" s="29" t="n"/>
      <c r="Y701" s="29" t="n"/>
      <c r="Z701" s="29" t="n"/>
      <c r="AA701" s="29" t="n"/>
      <c r="AB701" s="29" t="n"/>
      <c r="AC701" s="29" t="n"/>
      <c r="AD701" s="29" t="n"/>
      <c r="AE701" s="29" t="n"/>
      <c r="AF701" s="29" t="n"/>
      <c r="AG701" s="29" t="n"/>
      <c r="AH701" s="29" t="n"/>
      <c r="AI701" s="29" t="n"/>
    </row>
    <row r="702"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29" t="n"/>
      <c r="W702" s="29" t="n"/>
      <c r="X702" s="29" t="n"/>
      <c r="Y702" s="29" t="n"/>
      <c r="Z702" s="29" t="n"/>
      <c r="AA702" s="29" t="n"/>
      <c r="AB702" s="29" t="n"/>
      <c r="AC702" s="29" t="n"/>
      <c r="AD702" s="29" t="n"/>
      <c r="AE702" s="29" t="n"/>
      <c r="AF702" s="29" t="n"/>
      <c r="AG702" s="29" t="n"/>
      <c r="AH702" s="29" t="n"/>
      <c r="AI702" s="29" t="n"/>
    </row>
    <row r="703"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29" t="n"/>
      <c r="W703" s="29" t="n"/>
      <c r="X703" s="29" t="n"/>
      <c r="Y703" s="29" t="n"/>
      <c r="Z703" s="29" t="n"/>
      <c r="AA703" s="29" t="n"/>
      <c r="AB703" s="29" t="n"/>
      <c r="AC703" s="29" t="n"/>
      <c r="AD703" s="29" t="n"/>
      <c r="AE703" s="29" t="n"/>
      <c r="AF703" s="29" t="n"/>
      <c r="AG703" s="29" t="n"/>
      <c r="AH703" s="29" t="n"/>
      <c r="AI703" s="29" t="n"/>
    </row>
    <row r="704"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29" t="n"/>
      <c r="W704" s="29" t="n"/>
      <c r="X704" s="29" t="n"/>
      <c r="Y704" s="29" t="n"/>
      <c r="Z704" s="29" t="n"/>
      <c r="AA704" s="29" t="n"/>
      <c r="AB704" s="29" t="n"/>
      <c r="AC704" s="29" t="n"/>
      <c r="AD704" s="29" t="n"/>
      <c r="AE704" s="29" t="n"/>
      <c r="AF704" s="29" t="n"/>
      <c r="AG704" s="29" t="n"/>
      <c r="AH704" s="29" t="n"/>
      <c r="AI704" s="29" t="n"/>
    </row>
    <row r="705"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29" t="n"/>
      <c r="W705" s="29" t="n"/>
      <c r="X705" s="29" t="n"/>
      <c r="Y705" s="29" t="n"/>
      <c r="Z705" s="29" t="n"/>
      <c r="AA705" s="29" t="n"/>
      <c r="AB705" s="29" t="n"/>
      <c r="AC705" s="29" t="n"/>
      <c r="AD705" s="29" t="n"/>
      <c r="AE705" s="29" t="n"/>
      <c r="AF705" s="29" t="n"/>
      <c r="AG705" s="29" t="n"/>
      <c r="AH705" s="29" t="n"/>
      <c r="AI705" s="29" t="n"/>
    </row>
    <row r="706"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29" t="n"/>
      <c r="W706" s="29" t="n"/>
      <c r="X706" s="29" t="n"/>
      <c r="Y706" s="29" t="n"/>
      <c r="Z706" s="29" t="n"/>
      <c r="AA706" s="29" t="n"/>
      <c r="AB706" s="29" t="n"/>
      <c r="AC706" s="29" t="n"/>
      <c r="AD706" s="29" t="n"/>
      <c r="AE706" s="29" t="n"/>
      <c r="AF706" s="29" t="n"/>
      <c r="AG706" s="29" t="n"/>
      <c r="AH706" s="29" t="n"/>
      <c r="AI706" s="29" t="n"/>
    </row>
    <row r="707"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29" t="n"/>
      <c r="W707" s="29" t="n"/>
      <c r="X707" s="29" t="n"/>
      <c r="Y707" s="29" t="n"/>
      <c r="Z707" s="29" t="n"/>
      <c r="AA707" s="29" t="n"/>
      <c r="AB707" s="29" t="n"/>
      <c r="AC707" s="29" t="n"/>
      <c r="AD707" s="29" t="n"/>
      <c r="AE707" s="29" t="n"/>
      <c r="AF707" s="29" t="n"/>
      <c r="AG707" s="29" t="n"/>
      <c r="AH707" s="29" t="n"/>
      <c r="AI707" s="29" t="n"/>
    </row>
    <row r="708"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29" t="n"/>
      <c r="W708" s="29" t="n"/>
      <c r="X708" s="29" t="n"/>
      <c r="Y708" s="29" t="n"/>
      <c r="Z708" s="29" t="n"/>
      <c r="AA708" s="29" t="n"/>
      <c r="AB708" s="29" t="n"/>
      <c r="AC708" s="29" t="n"/>
      <c r="AD708" s="29" t="n"/>
      <c r="AE708" s="29" t="n"/>
      <c r="AF708" s="29" t="n"/>
      <c r="AG708" s="29" t="n"/>
      <c r="AH708" s="29" t="n"/>
      <c r="AI708" s="29" t="n"/>
    </row>
    <row r="709"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29" t="n"/>
      <c r="W709" s="29" t="n"/>
      <c r="X709" s="29" t="n"/>
      <c r="Y709" s="29" t="n"/>
      <c r="Z709" s="29" t="n"/>
      <c r="AA709" s="29" t="n"/>
      <c r="AB709" s="29" t="n"/>
      <c r="AC709" s="29" t="n"/>
      <c r="AD709" s="29" t="n"/>
      <c r="AE709" s="29" t="n"/>
      <c r="AF709" s="29" t="n"/>
      <c r="AG709" s="29" t="n"/>
      <c r="AH709" s="29" t="n"/>
      <c r="AI709" s="29" t="n"/>
    </row>
    <row r="710"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29" t="n"/>
      <c r="W710" s="29" t="n"/>
      <c r="X710" s="29" t="n"/>
      <c r="Y710" s="29" t="n"/>
      <c r="Z710" s="29" t="n"/>
      <c r="AA710" s="29" t="n"/>
      <c r="AB710" s="29" t="n"/>
      <c r="AC710" s="29" t="n"/>
      <c r="AD710" s="29" t="n"/>
      <c r="AE710" s="29" t="n"/>
      <c r="AF710" s="29" t="n"/>
      <c r="AG710" s="29" t="n"/>
      <c r="AH710" s="29" t="n"/>
      <c r="AI710" s="29" t="n"/>
    </row>
    <row r="711"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29" t="n"/>
      <c r="W711" s="29" t="n"/>
      <c r="X711" s="29" t="n"/>
      <c r="Y711" s="29" t="n"/>
      <c r="Z711" s="29" t="n"/>
      <c r="AA711" s="29" t="n"/>
      <c r="AB711" s="29" t="n"/>
      <c r="AC711" s="29" t="n"/>
      <c r="AD711" s="29" t="n"/>
      <c r="AE711" s="29" t="n"/>
      <c r="AF711" s="29" t="n"/>
      <c r="AG711" s="29" t="n"/>
      <c r="AH711" s="29" t="n"/>
      <c r="AI711" s="29" t="n"/>
    </row>
    <row r="712"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29" t="n"/>
      <c r="W712" s="29" t="n"/>
      <c r="X712" s="29" t="n"/>
      <c r="Y712" s="29" t="n"/>
      <c r="Z712" s="29" t="n"/>
      <c r="AA712" s="29" t="n"/>
      <c r="AB712" s="29" t="n"/>
      <c r="AC712" s="29" t="n"/>
      <c r="AD712" s="29" t="n"/>
      <c r="AE712" s="29" t="n"/>
      <c r="AF712" s="29" t="n"/>
      <c r="AG712" s="29" t="n"/>
      <c r="AH712" s="29" t="n"/>
      <c r="AI712" s="29" t="n"/>
    </row>
    <row r="713"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29" t="n"/>
      <c r="W713" s="29" t="n"/>
      <c r="X713" s="29" t="n"/>
      <c r="Y713" s="29" t="n"/>
      <c r="Z713" s="29" t="n"/>
      <c r="AA713" s="29" t="n"/>
      <c r="AB713" s="29" t="n"/>
      <c r="AC713" s="29" t="n"/>
      <c r="AD713" s="29" t="n"/>
      <c r="AE713" s="29" t="n"/>
      <c r="AF713" s="29" t="n"/>
      <c r="AG713" s="29" t="n"/>
      <c r="AH713" s="29" t="n"/>
      <c r="AI713" s="29" t="n"/>
    </row>
    <row r="714"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29" t="n"/>
      <c r="W714" s="29" t="n"/>
      <c r="X714" s="29" t="n"/>
      <c r="Y714" s="29" t="n"/>
      <c r="Z714" s="29" t="n"/>
      <c r="AA714" s="29" t="n"/>
      <c r="AB714" s="29" t="n"/>
      <c r="AC714" s="29" t="n"/>
      <c r="AD714" s="29" t="n"/>
      <c r="AE714" s="29" t="n"/>
      <c r="AF714" s="29" t="n"/>
      <c r="AG714" s="29" t="n"/>
      <c r="AH714" s="29" t="n"/>
      <c r="AI714" s="29" t="n"/>
    </row>
    <row r="715"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29" t="n"/>
      <c r="W715" s="29" t="n"/>
      <c r="X715" s="29" t="n"/>
      <c r="Y715" s="29" t="n"/>
      <c r="Z715" s="29" t="n"/>
      <c r="AA715" s="29" t="n"/>
      <c r="AB715" s="29" t="n"/>
      <c r="AC715" s="29" t="n"/>
      <c r="AD715" s="29" t="n"/>
      <c r="AE715" s="29" t="n"/>
      <c r="AF715" s="29" t="n"/>
      <c r="AG715" s="29" t="n"/>
      <c r="AH715" s="29" t="n"/>
      <c r="AI715" s="29" t="n"/>
    </row>
    <row r="716"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29" t="n"/>
      <c r="W716" s="29" t="n"/>
      <c r="X716" s="29" t="n"/>
      <c r="Y716" s="29" t="n"/>
      <c r="Z716" s="29" t="n"/>
      <c r="AA716" s="29" t="n"/>
      <c r="AB716" s="29" t="n"/>
      <c r="AC716" s="29" t="n"/>
      <c r="AD716" s="29" t="n"/>
      <c r="AE716" s="29" t="n"/>
      <c r="AF716" s="29" t="n"/>
      <c r="AG716" s="29" t="n"/>
      <c r="AH716" s="29" t="n"/>
      <c r="AI716" s="29" t="n"/>
    </row>
    <row r="717"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29" t="n"/>
      <c r="W717" s="29" t="n"/>
      <c r="X717" s="29" t="n"/>
      <c r="Y717" s="29" t="n"/>
      <c r="Z717" s="29" t="n"/>
      <c r="AA717" s="29" t="n"/>
      <c r="AB717" s="29" t="n"/>
      <c r="AC717" s="29" t="n"/>
      <c r="AD717" s="29" t="n"/>
      <c r="AE717" s="29" t="n"/>
      <c r="AF717" s="29" t="n"/>
      <c r="AG717" s="29" t="n"/>
      <c r="AH717" s="29" t="n"/>
      <c r="AI717" s="29" t="n"/>
    </row>
    <row r="718"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29" t="n"/>
      <c r="W718" s="29" t="n"/>
      <c r="X718" s="29" t="n"/>
      <c r="Y718" s="29" t="n"/>
      <c r="Z718" s="29" t="n"/>
      <c r="AA718" s="29" t="n"/>
      <c r="AB718" s="29" t="n"/>
      <c r="AC718" s="29" t="n"/>
      <c r="AD718" s="29" t="n"/>
      <c r="AE718" s="29" t="n"/>
      <c r="AF718" s="29" t="n"/>
      <c r="AG718" s="29" t="n"/>
      <c r="AH718" s="29" t="n"/>
      <c r="AI718" s="29" t="n"/>
    </row>
    <row r="719"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29" t="n"/>
      <c r="W719" s="29" t="n"/>
      <c r="X719" s="29" t="n"/>
      <c r="Y719" s="29" t="n"/>
      <c r="Z719" s="29" t="n"/>
      <c r="AA719" s="29" t="n"/>
      <c r="AB719" s="29" t="n"/>
      <c r="AC719" s="29" t="n"/>
      <c r="AD719" s="29" t="n"/>
      <c r="AE719" s="29" t="n"/>
      <c r="AF719" s="29" t="n"/>
      <c r="AG719" s="29" t="n"/>
      <c r="AH719" s="29" t="n"/>
      <c r="AI719" s="29" t="n"/>
    </row>
    <row r="720"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29" t="n"/>
      <c r="W720" s="29" t="n"/>
      <c r="X720" s="29" t="n"/>
      <c r="Y720" s="29" t="n"/>
      <c r="Z720" s="29" t="n"/>
      <c r="AA720" s="29" t="n"/>
      <c r="AB720" s="29" t="n"/>
      <c r="AC720" s="29" t="n"/>
      <c r="AD720" s="29" t="n"/>
      <c r="AE720" s="29" t="n"/>
      <c r="AF720" s="29" t="n"/>
      <c r="AG720" s="29" t="n"/>
      <c r="AH720" s="29" t="n"/>
      <c r="AI720" s="29" t="n"/>
    </row>
    <row r="721"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29" t="n"/>
      <c r="W721" s="29" t="n"/>
      <c r="X721" s="29" t="n"/>
      <c r="Y721" s="29" t="n"/>
      <c r="Z721" s="29" t="n"/>
      <c r="AA721" s="29" t="n"/>
      <c r="AB721" s="29" t="n"/>
      <c r="AC721" s="29" t="n"/>
      <c r="AD721" s="29" t="n"/>
      <c r="AE721" s="29" t="n"/>
      <c r="AF721" s="29" t="n"/>
      <c r="AG721" s="29" t="n"/>
      <c r="AH721" s="29" t="n"/>
      <c r="AI721" s="29" t="n"/>
    </row>
    <row r="722"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29" t="n"/>
      <c r="W722" s="29" t="n"/>
      <c r="X722" s="29" t="n"/>
      <c r="Y722" s="29" t="n"/>
      <c r="Z722" s="29" t="n"/>
      <c r="AA722" s="29" t="n"/>
      <c r="AB722" s="29" t="n"/>
      <c r="AC722" s="29" t="n"/>
      <c r="AD722" s="29" t="n"/>
      <c r="AE722" s="29" t="n"/>
      <c r="AF722" s="29" t="n"/>
      <c r="AG722" s="29" t="n"/>
      <c r="AH722" s="29" t="n"/>
      <c r="AI722" s="29" t="n"/>
    </row>
    <row r="723"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29" t="n"/>
      <c r="W723" s="29" t="n"/>
      <c r="X723" s="29" t="n"/>
      <c r="Y723" s="29" t="n"/>
      <c r="Z723" s="29" t="n"/>
      <c r="AA723" s="29" t="n"/>
      <c r="AB723" s="29" t="n"/>
      <c r="AC723" s="29" t="n"/>
      <c r="AD723" s="29" t="n"/>
      <c r="AE723" s="29" t="n"/>
      <c r="AF723" s="29" t="n"/>
      <c r="AG723" s="29" t="n"/>
      <c r="AH723" s="29" t="n"/>
      <c r="AI723" s="29" t="n"/>
    </row>
    <row r="724"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29" t="n"/>
      <c r="W724" s="29" t="n"/>
      <c r="X724" s="29" t="n"/>
      <c r="Y724" s="29" t="n"/>
      <c r="Z724" s="29" t="n"/>
      <c r="AA724" s="29" t="n"/>
      <c r="AB724" s="29" t="n"/>
      <c r="AC724" s="29" t="n"/>
      <c r="AD724" s="29" t="n"/>
      <c r="AE724" s="29" t="n"/>
      <c r="AF724" s="29" t="n"/>
      <c r="AG724" s="29" t="n"/>
      <c r="AH724" s="29" t="n"/>
      <c r="AI724" s="29" t="n"/>
    </row>
    <row r="725"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29" t="n"/>
      <c r="W725" s="29" t="n"/>
      <c r="X725" s="29" t="n"/>
      <c r="Y725" s="29" t="n"/>
      <c r="Z725" s="29" t="n"/>
      <c r="AA725" s="29" t="n"/>
      <c r="AB725" s="29" t="n"/>
      <c r="AC725" s="29" t="n"/>
      <c r="AD725" s="29" t="n"/>
      <c r="AE725" s="29" t="n"/>
      <c r="AF725" s="29" t="n"/>
      <c r="AG725" s="29" t="n"/>
      <c r="AH725" s="29" t="n"/>
      <c r="AI725" s="29" t="n"/>
    </row>
    <row r="726"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29" t="n"/>
      <c r="W726" s="29" t="n"/>
      <c r="X726" s="29" t="n"/>
      <c r="Y726" s="29" t="n"/>
      <c r="Z726" s="29" t="n"/>
      <c r="AA726" s="29" t="n"/>
      <c r="AB726" s="29" t="n"/>
      <c r="AC726" s="29" t="n"/>
      <c r="AD726" s="29" t="n"/>
      <c r="AE726" s="29" t="n"/>
      <c r="AF726" s="29" t="n"/>
      <c r="AG726" s="29" t="n"/>
      <c r="AH726" s="29" t="n"/>
      <c r="AI726" s="29" t="n"/>
    </row>
    <row r="727"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29" t="n"/>
      <c r="W727" s="29" t="n"/>
      <c r="X727" s="29" t="n"/>
      <c r="Y727" s="29" t="n"/>
      <c r="Z727" s="29" t="n"/>
      <c r="AA727" s="29" t="n"/>
      <c r="AB727" s="29" t="n"/>
      <c r="AC727" s="29" t="n"/>
      <c r="AD727" s="29" t="n"/>
      <c r="AE727" s="29" t="n"/>
      <c r="AF727" s="29" t="n"/>
      <c r="AG727" s="29" t="n"/>
      <c r="AH727" s="29" t="n"/>
      <c r="AI727" s="29" t="n"/>
    </row>
    <row r="728"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29" t="n"/>
      <c r="W728" s="29" t="n"/>
      <c r="X728" s="29" t="n"/>
      <c r="Y728" s="29" t="n"/>
      <c r="Z728" s="29" t="n"/>
      <c r="AA728" s="29" t="n"/>
      <c r="AB728" s="29" t="n"/>
      <c r="AC728" s="29" t="n"/>
      <c r="AD728" s="29" t="n"/>
      <c r="AE728" s="29" t="n"/>
      <c r="AF728" s="29" t="n"/>
      <c r="AG728" s="29" t="n"/>
      <c r="AH728" s="29" t="n"/>
      <c r="AI728" s="29" t="n"/>
    </row>
    <row r="729"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29" t="n"/>
      <c r="W729" s="29" t="n"/>
      <c r="X729" s="29" t="n"/>
      <c r="Y729" s="29" t="n"/>
      <c r="Z729" s="29" t="n"/>
      <c r="AA729" s="29" t="n"/>
      <c r="AB729" s="29" t="n"/>
      <c r="AC729" s="29" t="n"/>
      <c r="AD729" s="29" t="n"/>
      <c r="AE729" s="29" t="n"/>
      <c r="AF729" s="29" t="n"/>
      <c r="AG729" s="29" t="n"/>
      <c r="AH729" s="29" t="n"/>
      <c r="AI729" s="29" t="n"/>
    </row>
    <row r="730"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29" t="n"/>
      <c r="W730" s="29" t="n"/>
      <c r="X730" s="29" t="n"/>
      <c r="Y730" s="29" t="n"/>
      <c r="Z730" s="29" t="n"/>
      <c r="AA730" s="29" t="n"/>
      <c r="AB730" s="29" t="n"/>
      <c r="AC730" s="29" t="n"/>
      <c r="AD730" s="29" t="n"/>
      <c r="AE730" s="29" t="n"/>
      <c r="AF730" s="29" t="n"/>
      <c r="AG730" s="29" t="n"/>
      <c r="AH730" s="29" t="n"/>
      <c r="AI730" s="29" t="n"/>
    </row>
    <row r="731"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29" t="n"/>
      <c r="W731" s="29" t="n"/>
      <c r="X731" s="29" t="n"/>
      <c r="Y731" s="29" t="n"/>
      <c r="Z731" s="29" t="n"/>
      <c r="AA731" s="29" t="n"/>
      <c r="AB731" s="29" t="n"/>
      <c r="AC731" s="29" t="n"/>
      <c r="AD731" s="29" t="n"/>
      <c r="AE731" s="29" t="n"/>
      <c r="AF731" s="29" t="n"/>
      <c r="AG731" s="29" t="n"/>
      <c r="AH731" s="29" t="n"/>
      <c r="AI731" s="29" t="n"/>
    </row>
    <row r="732"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29" t="n"/>
      <c r="W732" s="29" t="n"/>
      <c r="X732" s="29" t="n"/>
      <c r="Y732" s="29" t="n"/>
      <c r="Z732" s="29" t="n"/>
      <c r="AA732" s="29" t="n"/>
      <c r="AB732" s="29" t="n"/>
      <c r="AC732" s="29" t="n"/>
      <c r="AD732" s="29" t="n"/>
      <c r="AE732" s="29" t="n"/>
      <c r="AF732" s="29" t="n"/>
      <c r="AG732" s="29" t="n"/>
      <c r="AH732" s="29" t="n"/>
      <c r="AI732" s="29" t="n"/>
    </row>
    <row r="733"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29" t="n"/>
      <c r="W733" s="29" t="n"/>
      <c r="X733" s="29" t="n"/>
      <c r="Y733" s="29" t="n"/>
      <c r="Z733" s="29" t="n"/>
      <c r="AA733" s="29" t="n"/>
      <c r="AB733" s="29" t="n"/>
      <c r="AC733" s="29" t="n"/>
      <c r="AD733" s="29" t="n"/>
      <c r="AE733" s="29" t="n"/>
      <c r="AF733" s="29" t="n"/>
      <c r="AG733" s="29" t="n"/>
      <c r="AH733" s="29" t="n"/>
      <c r="AI733" s="29" t="n"/>
    </row>
    <row r="734"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29" t="n"/>
      <c r="W734" s="29" t="n"/>
      <c r="X734" s="29" t="n"/>
      <c r="Y734" s="29" t="n"/>
      <c r="Z734" s="29" t="n"/>
      <c r="AA734" s="29" t="n"/>
      <c r="AB734" s="29" t="n"/>
      <c r="AC734" s="29" t="n"/>
      <c r="AD734" s="29" t="n"/>
      <c r="AE734" s="29" t="n"/>
      <c r="AF734" s="29" t="n"/>
      <c r="AG734" s="29" t="n"/>
      <c r="AH734" s="29" t="n"/>
      <c r="AI734" s="29" t="n"/>
    </row>
    <row r="735"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29" t="n"/>
      <c r="W735" s="29" t="n"/>
      <c r="X735" s="29" t="n"/>
      <c r="Y735" s="29" t="n"/>
      <c r="Z735" s="29" t="n"/>
      <c r="AA735" s="29" t="n"/>
      <c r="AB735" s="29" t="n"/>
      <c r="AC735" s="29" t="n"/>
      <c r="AD735" s="29" t="n"/>
      <c r="AE735" s="29" t="n"/>
      <c r="AF735" s="29" t="n"/>
      <c r="AG735" s="29" t="n"/>
      <c r="AH735" s="29" t="n"/>
      <c r="AI735" s="29" t="n"/>
    </row>
    <row r="736"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29" t="n"/>
      <c r="W736" s="29" t="n"/>
      <c r="X736" s="29" t="n"/>
      <c r="Y736" s="29" t="n"/>
      <c r="Z736" s="29" t="n"/>
      <c r="AA736" s="29" t="n"/>
      <c r="AB736" s="29" t="n"/>
      <c r="AC736" s="29" t="n"/>
      <c r="AD736" s="29" t="n"/>
      <c r="AE736" s="29" t="n"/>
      <c r="AF736" s="29" t="n"/>
      <c r="AG736" s="29" t="n"/>
      <c r="AH736" s="29" t="n"/>
      <c r="AI736" s="29" t="n"/>
    </row>
    <row r="737"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29" t="n"/>
      <c r="W737" s="29" t="n"/>
      <c r="X737" s="29" t="n"/>
      <c r="Y737" s="29" t="n"/>
      <c r="Z737" s="29" t="n"/>
      <c r="AA737" s="29" t="n"/>
      <c r="AB737" s="29" t="n"/>
      <c r="AC737" s="29" t="n"/>
      <c r="AD737" s="29" t="n"/>
      <c r="AE737" s="29" t="n"/>
      <c r="AF737" s="29" t="n"/>
      <c r="AG737" s="29" t="n"/>
      <c r="AH737" s="29" t="n"/>
      <c r="AI737" s="29" t="n"/>
    </row>
    <row r="738"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29" t="n"/>
      <c r="W738" s="29" t="n"/>
      <c r="X738" s="29" t="n"/>
      <c r="Y738" s="29" t="n"/>
      <c r="Z738" s="29" t="n"/>
      <c r="AA738" s="29" t="n"/>
      <c r="AB738" s="29" t="n"/>
      <c r="AC738" s="29" t="n"/>
      <c r="AD738" s="29" t="n"/>
      <c r="AE738" s="29" t="n"/>
      <c r="AF738" s="29" t="n"/>
      <c r="AG738" s="29" t="n"/>
      <c r="AH738" s="29" t="n"/>
      <c r="AI738" s="29" t="n"/>
    </row>
    <row r="739"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29" t="n"/>
      <c r="W739" s="29" t="n"/>
      <c r="X739" s="29" t="n"/>
      <c r="Y739" s="29" t="n"/>
      <c r="Z739" s="29" t="n"/>
      <c r="AA739" s="29" t="n"/>
      <c r="AB739" s="29" t="n"/>
      <c r="AC739" s="29" t="n"/>
      <c r="AD739" s="29" t="n"/>
      <c r="AE739" s="29" t="n"/>
      <c r="AF739" s="29" t="n"/>
      <c r="AG739" s="29" t="n"/>
      <c r="AH739" s="29" t="n"/>
      <c r="AI739" s="29" t="n"/>
    </row>
    <row r="740"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29" t="n"/>
      <c r="W740" s="29" t="n"/>
      <c r="X740" s="29" t="n"/>
      <c r="Y740" s="29" t="n"/>
      <c r="Z740" s="29" t="n"/>
      <c r="AA740" s="29" t="n"/>
      <c r="AB740" s="29" t="n"/>
      <c r="AC740" s="29" t="n"/>
      <c r="AD740" s="29" t="n"/>
      <c r="AE740" s="29" t="n"/>
      <c r="AF740" s="29" t="n"/>
      <c r="AG740" s="29" t="n"/>
      <c r="AH740" s="29" t="n"/>
      <c r="AI740" s="29" t="n"/>
    </row>
    <row r="741"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29" t="n"/>
      <c r="W741" s="29" t="n"/>
      <c r="X741" s="29" t="n"/>
      <c r="Y741" s="29" t="n"/>
      <c r="Z741" s="29" t="n"/>
      <c r="AA741" s="29" t="n"/>
      <c r="AB741" s="29" t="n"/>
      <c r="AC741" s="29" t="n"/>
      <c r="AD741" s="29" t="n"/>
      <c r="AE741" s="29" t="n"/>
      <c r="AF741" s="29" t="n"/>
      <c r="AG741" s="29" t="n"/>
      <c r="AH741" s="29" t="n"/>
      <c r="AI741" s="29" t="n"/>
    </row>
    <row r="742"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29" t="n"/>
      <c r="W742" s="29" t="n"/>
      <c r="X742" s="29" t="n"/>
      <c r="Y742" s="29" t="n"/>
      <c r="Z742" s="29" t="n"/>
      <c r="AA742" s="29" t="n"/>
      <c r="AB742" s="29" t="n"/>
      <c r="AC742" s="29" t="n"/>
      <c r="AD742" s="29" t="n"/>
      <c r="AE742" s="29" t="n"/>
      <c r="AF742" s="29" t="n"/>
      <c r="AG742" s="29" t="n"/>
      <c r="AH742" s="29" t="n"/>
      <c r="AI742" s="29" t="n"/>
    </row>
    <row r="743"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29" t="n"/>
      <c r="W743" s="29" t="n"/>
      <c r="X743" s="29" t="n"/>
      <c r="Y743" s="29" t="n"/>
      <c r="Z743" s="29" t="n"/>
      <c r="AA743" s="29" t="n"/>
      <c r="AB743" s="29" t="n"/>
      <c r="AC743" s="29" t="n"/>
      <c r="AD743" s="29" t="n"/>
      <c r="AE743" s="29" t="n"/>
      <c r="AF743" s="29" t="n"/>
      <c r="AG743" s="29" t="n"/>
      <c r="AH743" s="29" t="n"/>
      <c r="AI743" s="29" t="n"/>
    </row>
    <row r="744"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29" t="n"/>
      <c r="W744" s="29" t="n"/>
      <c r="X744" s="29" t="n"/>
      <c r="Y744" s="29" t="n"/>
      <c r="Z744" s="29" t="n"/>
      <c r="AA744" s="29" t="n"/>
      <c r="AB744" s="29" t="n"/>
      <c r="AC744" s="29" t="n"/>
      <c r="AD744" s="29" t="n"/>
      <c r="AE744" s="29" t="n"/>
      <c r="AF744" s="29" t="n"/>
      <c r="AG744" s="29" t="n"/>
      <c r="AH744" s="29" t="n"/>
      <c r="AI744" s="29" t="n"/>
    </row>
    <row r="745"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29" t="n"/>
      <c r="W745" s="29" t="n"/>
      <c r="X745" s="29" t="n"/>
      <c r="Y745" s="29" t="n"/>
      <c r="Z745" s="29" t="n"/>
      <c r="AA745" s="29" t="n"/>
      <c r="AB745" s="29" t="n"/>
      <c r="AC745" s="29" t="n"/>
      <c r="AD745" s="29" t="n"/>
      <c r="AE745" s="29" t="n"/>
      <c r="AF745" s="29" t="n"/>
      <c r="AG745" s="29" t="n"/>
      <c r="AH745" s="29" t="n"/>
      <c r="AI745" s="29" t="n"/>
    </row>
    <row r="746"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29" t="n"/>
      <c r="W746" s="29" t="n"/>
      <c r="X746" s="29" t="n"/>
      <c r="Y746" s="29" t="n"/>
      <c r="Z746" s="29" t="n"/>
      <c r="AA746" s="29" t="n"/>
      <c r="AB746" s="29" t="n"/>
      <c r="AC746" s="29" t="n"/>
      <c r="AD746" s="29" t="n"/>
      <c r="AE746" s="29" t="n"/>
      <c r="AF746" s="29" t="n"/>
      <c r="AG746" s="29" t="n"/>
      <c r="AH746" s="29" t="n"/>
      <c r="AI746" s="29" t="n"/>
    </row>
    <row r="747"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29" t="n"/>
      <c r="W747" s="29" t="n"/>
      <c r="X747" s="29" t="n"/>
      <c r="Y747" s="29" t="n"/>
      <c r="Z747" s="29" t="n"/>
      <c r="AA747" s="29" t="n"/>
      <c r="AB747" s="29" t="n"/>
      <c r="AC747" s="29" t="n"/>
      <c r="AD747" s="29" t="n"/>
      <c r="AE747" s="29" t="n"/>
      <c r="AF747" s="29" t="n"/>
      <c r="AG747" s="29" t="n"/>
      <c r="AH747" s="29" t="n"/>
      <c r="AI747" s="29" t="n"/>
    </row>
    <row r="748"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29" t="n"/>
      <c r="W748" s="29" t="n"/>
      <c r="X748" s="29" t="n"/>
      <c r="Y748" s="29" t="n"/>
      <c r="Z748" s="29" t="n"/>
      <c r="AA748" s="29" t="n"/>
      <c r="AB748" s="29" t="n"/>
      <c r="AC748" s="29" t="n"/>
      <c r="AD748" s="29" t="n"/>
      <c r="AE748" s="29" t="n"/>
      <c r="AF748" s="29" t="n"/>
      <c r="AG748" s="29" t="n"/>
      <c r="AH748" s="29" t="n"/>
      <c r="AI748" s="29" t="n"/>
    </row>
    <row r="749"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29" t="n"/>
      <c r="W749" s="29" t="n"/>
      <c r="X749" s="29" t="n"/>
      <c r="Y749" s="29" t="n"/>
      <c r="Z749" s="29" t="n"/>
      <c r="AA749" s="29" t="n"/>
      <c r="AB749" s="29" t="n"/>
      <c r="AC749" s="29" t="n"/>
      <c r="AD749" s="29" t="n"/>
      <c r="AE749" s="29" t="n"/>
      <c r="AF749" s="29" t="n"/>
      <c r="AG749" s="29" t="n"/>
      <c r="AH749" s="29" t="n"/>
      <c r="AI749" s="29" t="n"/>
    </row>
    <row r="750">
      <c r="L750" s="29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29" t="n"/>
      <c r="W750" s="29" t="n"/>
      <c r="X750" s="29" t="n"/>
      <c r="Y750" s="29" t="n"/>
      <c r="Z750" s="29" t="n"/>
      <c r="AA750" s="29" t="n"/>
      <c r="AB750" s="29" t="n"/>
      <c r="AC750" s="29" t="n"/>
      <c r="AD750" s="29" t="n"/>
      <c r="AE750" s="29" t="n"/>
      <c r="AF750" s="29" t="n"/>
      <c r="AG750" s="29" t="n"/>
      <c r="AH750" s="29" t="n"/>
      <c r="AI750" s="29" t="n"/>
    </row>
    <row r="751"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29" t="n"/>
      <c r="W751" s="29" t="n"/>
      <c r="X751" s="29" t="n"/>
      <c r="Y751" s="29" t="n"/>
      <c r="Z751" s="29" t="n"/>
      <c r="AA751" s="29" t="n"/>
      <c r="AB751" s="29" t="n"/>
      <c r="AC751" s="29" t="n"/>
      <c r="AD751" s="29" t="n"/>
      <c r="AE751" s="29" t="n"/>
      <c r="AF751" s="29" t="n"/>
      <c r="AG751" s="29" t="n"/>
      <c r="AH751" s="29" t="n"/>
      <c r="AI751" s="29" t="n"/>
    </row>
    <row r="752"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29" t="n"/>
      <c r="W752" s="29" t="n"/>
      <c r="X752" s="29" t="n"/>
      <c r="Y752" s="29" t="n"/>
      <c r="Z752" s="29" t="n"/>
      <c r="AA752" s="29" t="n"/>
      <c r="AB752" s="29" t="n"/>
      <c r="AC752" s="29" t="n"/>
      <c r="AD752" s="29" t="n"/>
      <c r="AE752" s="29" t="n"/>
      <c r="AF752" s="29" t="n"/>
      <c r="AG752" s="29" t="n"/>
      <c r="AH752" s="29" t="n"/>
      <c r="AI752" s="29" t="n"/>
    </row>
    <row r="753"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29" t="n"/>
      <c r="W753" s="29" t="n"/>
      <c r="X753" s="29" t="n"/>
      <c r="Y753" s="29" t="n"/>
      <c r="Z753" s="29" t="n"/>
      <c r="AA753" s="29" t="n"/>
      <c r="AB753" s="29" t="n"/>
      <c r="AC753" s="29" t="n"/>
      <c r="AD753" s="29" t="n"/>
      <c r="AE753" s="29" t="n"/>
      <c r="AF753" s="29" t="n"/>
      <c r="AG753" s="29" t="n"/>
      <c r="AH753" s="29" t="n"/>
      <c r="AI753" s="29" t="n"/>
    </row>
    <row r="754"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29" t="n"/>
      <c r="W754" s="29" t="n"/>
      <c r="X754" s="29" t="n"/>
      <c r="Y754" s="29" t="n"/>
      <c r="Z754" s="29" t="n"/>
      <c r="AA754" s="29" t="n"/>
      <c r="AB754" s="29" t="n"/>
      <c r="AC754" s="29" t="n"/>
      <c r="AD754" s="29" t="n"/>
      <c r="AE754" s="29" t="n"/>
      <c r="AF754" s="29" t="n"/>
      <c r="AG754" s="29" t="n"/>
      <c r="AH754" s="29" t="n"/>
      <c r="AI754" s="29" t="n"/>
    </row>
    <row r="755"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29" t="n"/>
      <c r="W755" s="29" t="n"/>
      <c r="X755" s="29" t="n"/>
      <c r="Y755" s="29" t="n"/>
      <c r="Z755" s="29" t="n"/>
      <c r="AA755" s="29" t="n"/>
      <c r="AB755" s="29" t="n"/>
      <c r="AC755" s="29" t="n"/>
      <c r="AD755" s="29" t="n"/>
      <c r="AE755" s="29" t="n"/>
      <c r="AF755" s="29" t="n"/>
      <c r="AG755" s="29" t="n"/>
      <c r="AH755" s="29" t="n"/>
      <c r="AI755" s="29" t="n"/>
    </row>
    <row r="756"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29" t="n"/>
      <c r="W756" s="29" t="n"/>
      <c r="X756" s="29" t="n"/>
      <c r="Y756" s="29" t="n"/>
      <c r="Z756" s="29" t="n"/>
      <c r="AA756" s="29" t="n"/>
      <c r="AB756" s="29" t="n"/>
      <c r="AC756" s="29" t="n"/>
      <c r="AD756" s="29" t="n"/>
      <c r="AE756" s="29" t="n"/>
      <c r="AF756" s="29" t="n"/>
      <c r="AG756" s="29" t="n"/>
      <c r="AH756" s="29" t="n"/>
      <c r="AI756" s="29" t="n"/>
    </row>
    <row r="757"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29" t="n"/>
      <c r="W757" s="29" t="n"/>
      <c r="X757" s="29" t="n"/>
      <c r="Y757" s="29" t="n"/>
      <c r="Z757" s="29" t="n"/>
      <c r="AA757" s="29" t="n"/>
      <c r="AB757" s="29" t="n"/>
      <c r="AC757" s="29" t="n"/>
      <c r="AD757" s="29" t="n"/>
      <c r="AE757" s="29" t="n"/>
      <c r="AF757" s="29" t="n"/>
      <c r="AG757" s="29" t="n"/>
      <c r="AH757" s="29" t="n"/>
      <c r="AI757" s="29" t="n"/>
    </row>
    <row r="758"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29" t="n"/>
      <c r="W758" s="29" t="n"/>
      <c r="X758" s="29" t="n"/>
      <c r="Y758" s="29" t="n"/>
      <c r="Z758" s="29" t="n"/>
      <c r="AA758" s="29" t="n"/>
      <c r="AB758" s="29" t="n"/>
      <c r="AC758" s="29" t="n"/>
      <c r="AD758" s="29" t="n"/>
      <c r="AE758" s="29" t="n"/>
      <c r="AF758" s="29" t="n"/>
      <c r="AG758" s="29" t="n"/>
      <c r="AH758" s="29" t="n"/>
      <c r="AI758" s="29" t="n"/>
    </row>
    <row r="759"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29" t="n"/>
      <c r="W759" s="29" t="n"/>
      <c r="X759" s="29" t="n"/>
      <c r="Y759" s="29" t="n"/>
      <c r="Z759" s="29" t="n"/>
      <c r="AA759" s="29" t="n"/>
      <c r="AB759" s="29" t="n"/>
      <c r="AC759" s="29" t="n"/>
      <c r="AD759" s="29" t="n"/>
      <c r="AE759" s="29" t="n"/>
      <c r="AF759" s="29" t="n"/>
      <c r="AG759" s="29" t="n"/>
      <c r="AH759" s="29" t="n"/>
      <c r="AI759" s="29" t="n"/>
    </row>
    <row r="760"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29" t="n"/>
      <c r="W760" s="29" t="n"/>
      <c r="X760" s="29" t="n"/>
      <c r="Y760" s="29" t="n"/>
      <c r="Z760" s="29" t="n"/>
      <c r="AA760" s="29" t="n"/>
      <c r="AB760" s="29" t="n"/>
      <c r="AC760" s="29" t="n"/>
      <c r="AD760" s="29" t="n"/>
      <c r="AE760" s="29" t="n"/>
      <c r="AF760" s="29" t="n"/>
      <c r="AG760" s="29" t="n"/>
      <c r="AH760" s="29" t="n"/>
      <c r="AI760" s="29" t="n"/>
    </row>
    <row r="761"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29" t="n"/>
      <c r="W761" s="29" t="n"/>
      <c r="X761" s="29" t="n"/>
      <c r="Y761" s="29" t="n"/>
      <c r="Z761" s="29" t="n"/>
      <c r="AA761" s="29" t="n"/>
      <c r="AB761" s="29" t="n"/>
      <c r="AC761" s="29" t="n"/>
      <c r="AD761" s="29" t="n"/>
      <c r="AE761" s="29" t="n"/>
      <c r="AF761" s="29" t="n"/>
      <c r="AG761" s="29" t="n"/>
      <c r="AH761" s="29" t="n"/>
      <c r="AI761" s="29" t="n"/>
    </row>
    <row r="762"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29" t="n"/>
      <c r="W762" s="29" t="n"/>
      <c r="X762" s="29" t="n"/>
      <c r="Y762" s="29" t="n"/>
      <c r="Z762" s="29" t="n"/>
      <c r="AA762" s="29" t="n"/>
      <c r="AB762" s="29" t="n"/>
      <c r="AC762" s="29" t="n"/>
      <c r="AD762" s="29" t="n"/>
      <c r="AE762" s="29" t="n"/>
      <c r="AF762" s="29" t="n"/>
      <c r="AG762" s="29" t="n"/>
      <c r="AH762" s="29" t="n"/>
      <c r="AI762" s="29" t="n"/>
    </row>
    <row r="763"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29" t="n"/>
      <c r="W763" s="29" t="n"/>
      <c r="X763" s="29" t="n"/>
      <c r="Y763" s="29" t="n"/>
      <c r="Z763" s="29" t="n"/>
      <c r="AA763" s="29" t="n"/>
      <c r="AB763" s="29" t="n"/>
      <c r="AC763" s="29" t="n"/>
      <c r="AD763" s="29" t="n"/>
      <c r="AE763" s="29" t="n"/>
      <c r="AF763" s="29" t="n"/>
      <c r="AG763" s="29" t="n"/>
      <c r="AH763" s="29" t="n"/>
      <c r="AI763" s="29" t="n"/>
    </row>
    <row r="764"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29" t="n"/>
      <c r="W764" s="29" t="n"/>
      <c r="X764" s="29" t="n"/>
      <c r="Y764" s="29" t="n"/>
      <c r="Z764" s="29" t="n"/>
      <c r="AA764" s="29" t="n"/>
      <c r="AB764" s="29" t="n"/>
      <c r="AC764" s="29" t="n"/>
      <c r="AD764" s="29" t="n"/>
      <c r="AE764" s="29" t="n"/>
      <c r="AF764" s="29" t="n"/>
      <c r="AG764" s="29" t="n"/>
      <c r="AH764" s="29" t="n"/>
      <c r="AI764" s="29" t="n"/>
    </row>
    <row r="765"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29" t="n"/>
      <c r="W765" s="29" t="n"/>
      <c r="X765" s="29" t="n"/>
      <c r="Y765" s="29" t="n"/>
      <c r="Z765" s="29" t="n"/>
      <c r="AA765" s="29" t="n"/>
      <c r="AB765" s="29" t="n"/>
      <c r="AC765" s="29" t="n"/>
      <c r="AD765" s="29" t="n"/>
      <c r="AE765" s="29" t="n"/>
      <c r="AF765" s="29" t="n"/>
      <c r="AG765" s="29" t="n"/>
      <c r="AH765" s="29" t="n"/>
      <c r="AI765" s="29" t="n"/>
    </row>
    <row r="766"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29" t="n"/>
      <c r="W766" s="29" t="n"/>
      <c r="X766" s="29" t="n"/>
      <c r="Y766" s="29" t="n"/>
      <c r="Z766" s="29" t="n"/>
      <c r="AA766" s="29" t="n"/>
      <c r="AB766" s="29" t="n"/>
      <c r="AC766" s="29" t="n"/>
      <c r="AD766" s="29" t="n"/>
      <c r="AE766" s="29" t="n"/>
      <c r="AF766" s="29" t="n"/>
      <c r="AG766" s="29" t="n"/>
      <c r="AH766" s="29" t="n"/>
      <c r="AI766" s="29" t="n"/>
    </row>
    <row r="767"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29" t="n"/>
      <c r="W767" s="29" t="n"/>
      <c r="X767" s="29" t="n"/>
      <c r="Y767" s="29" t="n"/>
      <c r="Z767" s="29" t="n"/>
      <c r="AA767" s="29" t="n"/>
      <c r="AB767" s="29" t="n"/>
      <c r="AC767" s="29" t="n"/>
      <c r="AD767" s="29" t="n"/>
      <c r="AE767" s="29" t="n"/>
      <c r="AF767" s="29" t="n"/>
      <c r="AG767" s="29" t="n"/>
      <c r="AH767" s="29" t="n"/>
      <c r="AI767" s="29" t="n"/>
    </row>
    <row r="768"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29" t="n"/>
      <c r="W768" s="29" t="n"/>
      <c r="X768" s="29" t="n"/>
      <c r="Y768" s="29" t="n"/>
      <c r="Z768" s="29" t="n"/>
      <c r="AA768" s="29" t="n"/>
      <c r="AB768" s="29" t="n"/>
      <c r="AC768" s="29" t="n"/>
      <c r="AD768" s="29" t="n"/>
      <c r="AE768" s="29" t="n"/>
      <c r="AF768" s="29" t="n"/>
      <c r="AG768" s="29" t="n"/>
      <c r="AH768" s="29" t="n"/>
      <c r="AI768" s="29" t="n"/>
    </row>
    <row r="769"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29" t="n"/>
      <c r="W769" s="29" t="n"/>
      <c r="X769" s="29" t="n"/>
      <c r="Y769" s="29" t="n"/>
      <c r="Z769" s="29" t="n"/>
      <c r="AA769" s="29" t="n"/>
      <c r="AB769" s="29" t="n"/>
      <c r="AC769" s="29" t="n"/>
      <c r="AD769" s="29" t="n"/>
      <c r="AE769" s="29" t="n"/>
      <c r="AF769" s="29" t="n"/>
      <c r="AG769" s="29" t="n"/>
      <c r="AH769" s="29" t="n"/>
      <c r="AI769" s="29" t="n"/>
    </row>
    <row r="770"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29" t="n"/>
      <c r="W770" s="29" t="n"/>
      <c r="X770" s="29" t="n"/>
      <c r="Y770" s="29" t="n"/>
      <c r="Z770" s="29" t="n"/>
      <c r="AA770" s="29" t="n"/>
      <c r="AB770" s="29" t="n"/>
      <c r="AC770" s="29" t="n"/>
      <c r="AD770" s="29" t="n"/>
      <c r="AE770" s="29" t="n"/>
      <c r="AF770" s="29" t="n"/>
      <c r="AG770" s="29" t="n"/>
      <c r="AH770" s="29" t="n"/>
      <c r="AI770" s="29" t="n"/>
    </row>
    <row r="771"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29" t="n"/>
      <c r="W771" s="29" t="n"/>
      <c r="X771" s="29" t="n"/>
      <c r="Y771" s="29" t="n"/>
      <c r="Z771" s="29" t="n"/>
      <c r="AA771" s="29" t="n"/>
      <c r="AB771" s="29" t="n"/>
      <c r="AC771" s="29" t="n"/>
      <c r="AD771" s="29" t="n"/>
      <c r="AE771" s="29" t="n"/>
      <c r="AF771" s="29" t="n"/>
      <c r="AG771" s="29" t="n"/>
      <c r="AH771" s="29" t="n"/>
      <c r="AI771" s="29" t="n"/>
    </row>
    <row r="772"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29" t="n"/>
      <c r="W772" s="29" t="n"/>
      <c r="X772" s="29" t="n"/>
      <c r="Y772" s="29" t="n"/>
      <c r="Z772" s="29" t="n"/>
      <c r="AA772" s="29" t="n"/>
      <c r="AB772" s="29" t="n"/>
      <c r="AC772" s="29" t="n"/>
      <c r="AD772" s="29" t="n"/>
      <c r="AE772" s="29" t="n"/>
      <c r="AF772" s="29" t="n"/>
      <c r="AG772" s="29" t="n"/>
      <c r="AH772" s="29" t="n"/>
      <c r="AI772" s="29" t="n"/>
    </row>
    <row r="773"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29" t="n"/>
      <c r="W773" s="29" t="n"/>
      <c r="X773" s="29" t="n"/>
      <c r="Y773" s="29" t="n"/>
      <c r="Z773" s="29" t="n"/>
      <c r="AA773" s="29" t="n"/>
      <c r="AB773" s="29" t="n"/>
      <c r="AC773" s="29" t="n"/>
      <c r="AD773" s="29" t="n"/>
      <c r="AE773" s="29" t="n"/>
      <c r="AF773" s="29" t="n"/>
      <c r="AG773" s="29" t="n"/>
      <c r="AH773" s="29" t="n"/>
      <c r="AI773" s="29" t="n"/>
    </row>
    <row r="774"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29" t="n"/>
      <c r="W774" s="29" t="n"/>
      <c r="X774" s="29" t="n"/>
      <c r="Y774" s="29" t="n"/>
      <c r="Z774" s="29" t="n"/>
      <c r="AA774" s="29" t="n"/>
      <c r="AB774" s="29" t="n"/>
      <c r="AC774" s="29" t="n"/>
      <c r="AD774" s="29" t="n"/>
      <c r="AE774" s="29" t="n"/>
      <c r="AF774" s="29" t="n"/>
      <c r="AG774" s="29" t="n"/>
      <c r="AH774" s="29" t="n"/>
      <c r="AI774" s="29" t="n"/>
    </row>
    <row r="775"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29" t="n"/>
      <c r="W775" s="29" t="n"/>
      <c r="X775" s="29" t="n"/>
      <c r="Y775" s="29" t="n"/>
      <c r="Z775" s="29" t="n"/>
      <c r="AA775" s="29" t="n"/>
      <c r="AB775" s="29" t="n"/>
      <c r="AC775" s="29" t="n"/>
      <c r="AD775" s="29" t="n"/>
      <c r="AE775" s="29" t="n"/>
      <c r="AF775" s="29" t="n"/>
      <c r="AG775" s="29" t="n"/>
      <c r="AH775" s="29" t="n"/>
      <c r="AI775" s="29" t="n"/>
    </row>
    <row r="776"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29" t="n"/>
      <c r="W776" s="29" t="n"/>
      <c r="X776" s="29" t="n"/>
      <c r="Y776" s="29" t="n"/>
      <c r="Z776" s="29" t="n"/>
      <c r="AA776" s="29" t="n"/>
      <c r="AB776" s="29" t="n"/>
      <c r="AC776" s="29" t="n"/>
      <c r="AD776" s="29" t="n"/>
      <c r="AE776" s="29" t="n"/>
      <c r="AF776" s="29" t="n"/>
      <c r="AG776" s="29" t="n"/>
      <c r="AH776" s="29" t="n"/>
      <c r="AI776" s="29" t="n"/>
    </row>
    <row r="777"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29" t="n"/>
      <c r="W777" s="29" t="n"/>
      <c r="X777" s="29" t="n"/>
      <c r="Y777" s="29" t="n"/>
      <c r="Z777" s="29" t="n"/>
      <c r="AA777" s="29" t="n"/>
      <c r="AB777" s="29" t="n"/>
      <c r="AC777" s="29" t="n"/>
      <c r="AD777" s="29" t="n"/>
      <c r="AE777" s="29" t="n"/>
      <c r="AF777" s="29" t="n"/>
      <c r="AG777" s="29" t="n"/>
      <c r="AH777" s="29" t="n"/>
      <c r="AI777" s="29" t="n"/>
    </row>
    <row r="778"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29" t="n"/>
      <c r="W778" s="29" t="n"/>
      <c r="X778" s="29" t="n"/>
      <c r="Y778" s="29" t="n"/>
      <c r="Z778" s="29" t="n"/>
      <c r="AA778" s="29" t="n"/>
      <c r="AB778" s="29" t="n"/>
      <c r="AC778" s="29" t="n"/>
      <c r="AD778" s="29" t="n"/>
      <c r="AE778" s="29" t="n"/>
      <c r="AF778" s="29" t="n"/>
      <c r="AG778" s="29" t="n"/>
      <c r="AH778" s="29" t="n"/>
      <c r="AI778" s="29" t="n"/>
    </row>
    <row r="779"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29" t="n"/>
      <c r="W779" s="29" t="n"/>
      <c r="X779" s="29" t="n"/>
      <c r="Y779" s="29" t="n"/>
      <c r="Z779" s="29" t="n"/>
      <c r="AA779" s="29" t="n"/>
      <c r="AB779" s="29" t="n"/>
      <c r="AC779" s="29" t="n"/>
      <c r="AD779" s="29" t="n"/>
      <c r="AE779" s="29" t="n"/>
      <c r="AF779" s="29" t="n"/>
      <c r="AG779" s="29" t="n"/>
      <c r="AH779" s="29" t="n"/>
      <c r="AI779" s="29" t="n"/>
    </row>
    <row r="780"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29" t="n"/>
      <c r="W780" s="29" t="n"/>
      <c r="X780" s="29" t="n"/>
      <c r="Y780" s="29" t="n"/>
      <c r="Z780" s="29" t="n"/>
      <c r="AA780" s="29" t="n"/>
      <c r="AB780" s="29" t="n"/>
      <c r="AC780" s="29" t="n"/>
      <c r="AD780" s="29" t="n"/>
      <c r="AE780" s="29" t="n"/>
      <c r="AF780" s="29" t="n"/>
      <c r="AG780" s="29" t="n"/>
      <c r="AH780" s="29" t="n"/>
      <c r="AI780" s="29" t="n"/>
    </row>
    <row r="781"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29" t="n"/>
      <c r="W781" s="29" t="n"/>
      <c r="X781" s="29" t="n"/>
      <c r="Y781" s="29" t="n"/>
      <c r="Z781" s="29" t="n"/>
      <c r="AA781" s="29" t="n"/>
      <c r="AB781" s="29" t="n"/>
      <c r="AC781" s="29" t="n"/>
      <c r="AD781" s="29" t="n"/>
      <c r="AE781" s="29" t="n"/>
      <c r="AF781" s="29" t="n"/>
      <c r="AG781" s="29" t="n"/>
      <c r="AH781" s="29" t="n"/>
      <c r="AI781" s="29" t="n"/>
    </row>
    <row r="782"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29" t="n"/>
      <c r="W782" s="29" t="n"/>
      <c r="X782" s="29" t="n"/>
      <c r="Y782" s="29" t="n"/>
      <c r="Z782" s="29" t="n"/>
      <c r="AA782" s="29" t="n"/>
      <c r="AB782" s="29" t="n"/>
      <c r="AC782" s="29" t="n"/>
      <c r="AD782" s="29" t="n"/>
      <c r="AE782" s="29" t="n"/>
      <c r="AF782" s="29" t="n"/>
      <c r="AG782" s="29" t="n"/>
      <c r="AH782" s="29" t="n"/>
      <c r="AI782" s="29" t="n"/>
    </row>
    <row r="783"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29" t="n"/>
      <c r="W783" s="29" t="n"/>
      <c r="X783" s="29" t="n"/>
      <c r="Y783" s="29" t="n"/>
      <c r="Z783" s="29" t="n"/>
      <c r="AA783" s="29" t="n"/>
      <c r="AB783" s="29" t="n"/>
      <c r="AC783" s="29" t="n"/>
      <c r="AD783" s="29" t="n"/>
      <c r="AE783" s="29" t="n"/>
      <c r="AF783" s="29" t="n"/>
      <c r="AG783" s="29" t="n"/>
      <c r="AH783" s="29" t="n"/>
      <c r="AI783" s="29" t="n"/>
    </row>
    <row r="784"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29" t="n"/>
      <c r="W784" s="29" t="n"/>
      <c r="X784" s="29" t="n"/>
      <c r="Y784" s="29" t="n"/>
      <c r="Z784" s="29" t="n"/>
      <c r="AA784" s="29" t="n"/>
      <c r="AB784" s="29" t="n"/>
      <c r="AC784" s="29" t="n"/>
      <c r="AD784" s="29" t="n"/>
      <c r="AE784" s="29" t="n"/>
      <c r="AF784" s="29" t="n"/>
      <c r="AG784" s="29" t="n"/>
      <c r="AH784" s="29" t="n"/>
      <c r="AI784" s="29" t="n"/>
    </row>
    <row r="785"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29" t="n"/>
      <c r="W785" s="29" t="n"/>
      <c r="X785" s="29" t="n"/>
      <c r="Y785" s="29" t="n"/>
      <c r="Z785" s="29" t="n"/>
      <c r="AA785" s="29" t="n"/>
      <c r="AB785" s="29" t="n"/>
      <c r="AC785" s="29" t="n"/>
      <c r="AD785" s="29" t="n"/>
      <c r="AE785" s="29" t="n"/>
      <c r="AF785" s="29" t="n"/>
      <c r="AG785" s="29" t="n"/>
      <c r="AH785" s="29" t="n"/>
      <c r="AI785" s="29" t="n"/>
    </row>
    <row r="786"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29" t="n"/>
      <c r="W786" s="29" t="n"/>
      <c r="X786" s="29" t="n"/>
      <c r="Y786" s="29" t="n"/>
      <c r="Z786" s="29" t="n"/>
      <c r="AA786" s="29" t="n"/>
      <c r="AB786" s="29" t="n"/>
      <c r="AC786" s="29" t="n"/>
      <c r="AD786" s="29" t="n"/>
      <c r="AE786" s="29" t="n"/>
      <c r="AF786" s="29" t="n"/>
      <c r="AG786" s="29" t="n"/>
      <c r="AH786" s="29" t="n"/>
      <c r="AI786" s="29" t="n"/>
    </row>
    <row r="787"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29" t="n"/>
      <c r="W787" s="29" t="n"/>
      <c r="X787" s="29" t="n"/>
      <c r="Y787" s="29" t="n"/>
      <c r="Z787" s="29" t="n"/>
      <c r="AA787" s="29" t="n"/>
      <c r="AB787" s="29" t="n"/>
      <c r="AC787" s="29" t="n"/>
      <c r="AD787" s="29" t="n"/>
      <c r="AE787" s="29" t="n"/>
      <c r="AF787" s="29" t="n"/>
      <c r="AG787" s="29" t="n"/>
      <c r="AH787" s="29" t="n"/>
      <c r="AI787" s="29" t="n"/>
    </row>
    <row r="788"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29" t="n"/>
      <c r="W788" s="29" t="n"/>
      <c r="X788" s="29" t="n"/>
      <c r="Y788" s="29" t="n"/>
      <c r="Z788" s="29" t="n"/>
      <c r="AA788" s="29" t="n"/>
      <c r="AB788" s="29" t="n"/>
      <c r="AC788" s="29" t="n"/>
      <c r="AD788" s="29" t="n"/>
      <c r="AE788" s="29" t="n"/>
      <c r="AF788" s="29" t="n"/>
      <c r="AG788" s="29" t="n"/>
      <c r="AH788" s="29" t="n"/>
      <c r="AI788" s="29" t="n"/>
    </row>
    <row r="789"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29" t="n"/>
      <c r="W789" s="29" t="n"/>
      <c r="X789" s="29" t="n"/>
      <c r="Y789" s="29" t="n"/>
      <c r="Z789" s="29" t="n"/>
      <c r="AA789" s="29" t="n"/>
      <c r="AB789" s="29" t="n"/>
      <c r="AC789" s="29" t="n"/>
      <c r="AD789" s="29" t="n"/>
      <c r="AE789" s="29" t="n"/>
      <c r="AF789" s="29" t="n"/>
      <c r="AG789" s="29" t="n"/>
      <c r="AH789" s="29" t="n"/>
      <c r="AI789" s="29" t="n"/>
    </row>
    <row r="790"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29" t="n"/>
      <c r="W790" s="29" t="n"/>
      <c r="X790" s="29" t="n"/>
      <c r="Y790" s="29" t="n"/>
      <c r="Z790" s="29" t="n"/>
      <c r="AA790" s="29" t="n"/>
      <c r="AB790" s="29" t="n"/>
      <c r="AC790" s="29" t="n"/>
      <c r="AD790" s="29" t="n"/>
      <c r="AE790" s="29" t="n"/>
      <c r="AF790" s="29" t="n"/>
      <c r="AG790" s="29" t="n"/>
      <c r="AH790" s="29" t="n"/>
      <c r="AI790" s="29" t="n"/>
    </row>
    <row r="791"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29" t="n"/>
      <c r="W791" s="29" t="n"/>
      <c r="X791" s="29" t="n"/>
      <c r="Y791" s="29" t="n"/>
      <c r="Z791" s="29" t="n"/>
      <c r="AA791" s="29" t="n"/>
      <c r="AB791" s="29" t="n"/>
      <c r="AC791" s="29" t="n"/>
      <c r="AD791" s="29" t="n"/>
      <c r="AE791" s="29" t="n"/>
      <c r="AF791" s="29" t="n"/>
      <c r="AG791" s="29" t="n"/>
      <c r="AH791" s="29" t="n"/>
      <c r="AI791" s="29" t="n"/>
    </row>
    <row r="792"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29" t="n"/>
      <c r="W792" s="29" t="n"/>
      <c r="X792" s="29" t="n"/>
      <c r="Y792" s="29" t="n"/>
      <c r="Z792" s="29" t="n"/>
      <c r="AA792" s="29" t="n"/>
      <c r="AB792" s="29" t="n"/>
      <c r="AC792" s="29" t="n"/>
      <c r="AD792" s="29" t="n"/>
      <c r="AE792" s="29" t="n"/>
      <c r="AF792" s="29" t="n"/>
      <c r="AG792" s="29" t="n"/>
      <c r="AH792" s="29" t="n"/>
      <c r="AI792" s="29" t="n"/>
    </row>
    <row r="793"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29" t="n"/>
      <c r="W793" s="29" t="n"/>
      <c r="X793" s="29" t="n"/>
      <c r="Y793" s="29" t="n"/>
      <c r="Z793" s="29" t="n"/>
      <c r="AA793" s="29" t="n"/>
      <c r="AB793" s="29" t="n"/>
      <c r="AC793" s="29" t="n"/>
      <c r="AD793" s="29" t="n"/>
      <c r="AE793" s="29" t="n"/>
      <c r="AF793" s="29" t="n"/>
      <c r="AG793" s="29" t="n"/>
      <c r="AH793" s="29" t="n"/>
      <c r="AI793" s="29" t="n"/>
    </row>
    <row r="794"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29" t="n"/>
      <c r="W794" s="29" t="n"/>
      <c r="X794" s="29" t="n"/>
      <c r="Y794" s="29" t="n"/>
      <c r="Z794" s="29" t="n"/>
      <c r="AA794" s="29" t="n"/>
      <c r="AB794" s="29" t="n"/>
      <c r="AC794" s="29" t="n"/>
      <c r="AD794" s="29" t="n"/>
      <c r="AE794" s="29" t="n"/>
      <c r="AF794" s="29" t="n"/>
      <c r="AG794" s="29" t="n"/>
      <c r="AH794" s="29" t="n"/>
      <c r="AI794" s="29" t="n"/>
    </row>
    <row r="795"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29" t="n"/>
      <c r="W795" s="29" t="n"/>
      <c r="X795" s="29" t="n"/>
      <c r="Y795" s="29" t="n"/>
      <c r="Z795" s="29" t="n"/>
      <c r="AA795" s="29" t="n"/>
      <c r="AB795" s="29" t="n"/>
      <c r="AC795" s="29" t="n"/>
      <c r="AD795" s="29" t="n"/>
      <c r="AE795" s="29" t="n"/>
      <c r="AF795" s="29" t="n"/>
      <c r="AG795" s="29" t="n"/>
      <c r="AH795" s="29" t="n"/>
      <c r="AI795" s="29" t="n"/>
    </row>
    <row r="796"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29" t="n"/>
      <c r="W796" s="29" t="n"/>
      <c r="X796" s="29" t="n"/>
      <c r="Y796" s="29" t="n"/>
      <c r="Z796" s="29" t="n"/>
      <c r="AA796" s="29" t="n"/>
      <c r="AB796" s="29" t="n"/>
      <c r="AC796" s="29" t="n"/>
      <c r="AD796" s="29" t="n"/>
      <c r="AE796" s="29" t="n"/>
      <c r="AF796" s="29" t="n"/>
      <c r="AG796" s="29" t="n"/>
      <c r="AH796" s="29" t="n"/>
      <c r="AI796" s="29" t="n"/>
    </row>
    <row r="797"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29" t="n"/>
      <c r="W797" s="29" t="n"/>
      <c r="X797" s="29" t="n"/>
      <c r="Y797" s="29" t="n"/>
      <c r="Z797" s="29" t="n"/>
      <c r="AA797" s="29" t="n"/>
      <c r="AB797" s="29" t="n"/>
      <c r="AC797" s="29" t="n"/>
      <c r="AD797" s="29" t="n"/>
      <c r="AE797" s="29" t="n"/>
      <c r="AF797" s="29" t="n"/>
      <c r="AG797" s="29" t="n"/>
      <c r="AH797" s="29" t="n"/>
      <c r="AI797" s="29" t="n"/>
    </row>
    <row r="798"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29" t="n"/>
      <c r="W798" s="29" t="n"/>
      <c r="X798" s="29" t="n"/>
      <c r="Y798" s="29" t="n"/>
      <c r="Z798" s="29" t="n"/>
      <c r="AA798" s="29" t="n"/>
      <c r="AB798" s="29" t="n"/>
      <c r="AC798" s="29" t="n"/>
      <c r="AD798" s="29" t="n"/>
      <c r="AE798" s="29" t="n"/>
      <c r="AF798" s="29" t="n"/>
      <c r="AG798" s="29" t="n"/>
      <c r="AH798" s="29" t="n"/>
      <c r="AI798" s="29" t="n"/>
    </row>
    <row r="799"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29" t="n"/>
      <c r="W799" s="29" t="n"/>
      <c r="X799" s="29" t="n"/>
      <c r="Y799" s="29" t="n"/>
      <c r="Z799" s="29" t="n"/>
      <c r="AA799" s="29" t="n"/>
      <c r="AB799" s="29" t="n"/>
      <c r="AC799" s="29" t="n"/>
      <c r="AD799" s="29" t="n"/>
      <c r="AE799" s="29" t="n"/>
      <c r="AF799" s="29" t="n"/>
      <c r="AG799" s="29" t="n"/>
      <c r="AH799" s="29" t="n"/>
      <c r="AI799" s="29" t="n"/>
    </row>
    <row r="800"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29" t="n"/>
      <c r="W800" s="29" t="n"/>
      <c r="X800" s="29" t="n"/>
      <c r="Y800" s="29" t="n"/>
      <c r="Z800" s="29" t="n"/>
      <c r="AA800" s="29" t="n"/>
      <c r="AB800" s="29" t="n"/>
      <c r="AC800" s="29" t="n"/>
      <c r="AD800" s="29" t="n"/>
      <c r="AE800" s="29" t="n"/>
      <c r="AF800" s="29" t="n"/>
      <c r="AG800" s="29" t="n"/>
      <c r="AH800" s="29" t="n"/>
      <c r="AI800" s="29" t="n"/>
    </row>
    <row r="801"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29" t="n"/>
      <c r="W801" s="29" t="n"/>
      <c r="X801" s="29" t="n"/>
      <c r="Y801" s="29" t="n"/>
      <c r="Z801" s="29" t="n"/>
      <c r="AA801" s="29" t="n"/>
      <c r="AB801" s="29" t="n"/>
      <c r="AC801" s="29" t="n"/>
      <c r="AD801" s="29" t="n"/>
      <c r="AE801" s="29" t="n"/>
      <c r="AF801" s="29" t="n"/>
      <c r="AG801" s="29" t="n"/>
      <c r="AH801" s="29" t="n"/>
      <c r="AI801" s="29" t="n"/>
    </row>
    <row r="802"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29" t="n"/>
      <c r="W802" s="29" t="n"/>
      <c r="X802" s="29" t="n"/>
      <c r="Y802" s="29" t="n"/>
      <c r="Z802" s="29" t="n"/>
      <c r="AA802" s="29" t="n"/>
      <c r="AB802" s="29" t="n"/>
      <c r="AC802" s="29" t="n"/>
      <c r="AD802" s="29" t="n"/>
      <c r="AE802" s="29" t="n"/>
      <c r="AF802" s="29" t="n"/>
      <c r="AG802" s="29" t="n"/>
      <c r="AH802" s="29" t="n"/>
      <c r="AI802" s="29" t="n"/>
    </row>
    <row r="803"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29" t="n"/>
      <c r="W803" s="29" t="n"/>
      <c r="X803" s="29" t="n"/>
      <c r="Y803" s="29" t="n"/>
      <c r="Z803" s="29" t="n"/>
      <c r="AA803" s="29" t="n"/>
      <c r="AB803" s="29" t="n"/>
      <c r="AC803" s="29" t="n"/>
      <c r="AD803" s="29" t="n"/>
      <c r="AE803" s="29" t="n"/>
      <c r="AF803" s="29" t="n"/>
      <c r="AG803" s="29" t="n"/>
      <c r="AH803" s="29" t="n"/>
      <c r="AI803" s="29" t="n"/>
    </row>
    <row r="804"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29" t="n"/>
      <c r="W804" s="29" t="n"/>
      <c r="X804" s="29" t="n"/>
      <c r="Y804" s="29" t="n"/>
      <c r="Z804" s="29" t="n"/>
      <c r="AA804" s="29" t="n"/>
      <c r="AB804" s="29" t="n"/>
      <c r="AC804" s="29" t="n"/>
      <c r="AD804" s="29" t="n"/>
      <c r="AE804" s="29" t="n"/>
      <c r="AF804" s="29" t="n"/>
      <c r="AG804" s="29" t="n"/>
      <c r="AH804" s="29" t="n"/>
      <c r="AI804" s="29" t="n"/>
    </row>
    <row r="805"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29" t="n"/>
      <c r="W805" s="29" t="n"/>
      <c r="X805" s="29" t="n"/>
      <c r="Y805" s="29" t="n"/>
      <c r="Z805" s="29" t="n"/>
      <c r="AA805" s="29" t="n"/>
      <c r="AB805" s="29" t="n"/>
      <c r="AC805" s="29" t="n"/>
      <c r="AD805" s="29" t="n"/>
      <c r="AE805" s="29" t="n"/>
      <c r="AF805" s="29" t="n"/>
      <c r="AG805" s="29" t="n"/>
      <c r="AH805" s="29" t="n"/>
      <c r="AI805" s="29" t="n"/>
    </row>
    <row r="806"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29" t="n"/>
      <c r="W806" s="29" t="n"/>
      <c r="X806" s="29" t="n"/>
      <c r="Y806" s="29" t="n"/>
      <c r="Z806" s="29" t="n"/>
      <c r="AA806" s="29" t="n"/>
      <c r="AB806" s="29" t="n"/>
      <c r="AC806" s="29" t="n"/>
      <c r="AD806" s="29" t="n"/>
      <c r="AE806" s="29" t="n"/>
      <c r="AF806" s="29" t="n"/>
      <c r="AG806" s="29" t="n"/>
      <c r="AH806" s="29" t="n"/>
      <c r="AI806" s="29" t="n"/>
    </row>
    <row r="807"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29" t="n"/>
      <c r="W807" s="29" t="n"/>
      <c r="X807" s="29" t="n"/>
      <c r="Y807" s="29" t="n"/>
      <c r="Z807" s="29" t="n"/>
      <c r="AA807" s="29" t="n"/>
      <c r="AB807" s="29" t="n"/>
      <c r="AC807" s="29" t="n"/>
      <c r="AD807" s="29" t="n"/>
      <c r="AE807" s="29" t="n"/>
      <c r="AF807" s="29" t="n"/>
      <c r="AG807" s="29" t="n"/>
      <c r="AH807" s="29" t="n"/>
      <c r="AI807" s="29" t="n"/>
    </row>
    <row r="808"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29" t="n"/>
      <c r="W808" s="29" t="n"/>
      <c r="X808" s="29" t="n"/>
      <c r="Y808" s="29" t="n"/>
      <c r="Z808" s="29" t="n"/>
      <c r="AA808" s="29" t="n"/>
      <c r="AB808" s="29" t="n"/>
      <c r="AC808" s="29" t="n"/>
      <c r="AD808" s="29" t="n"/>
      <c r="AE808" s="29" t="n"/>
      <c r="AF808" s="29" t="n"/>
      <c r="AG808" s="29" t="n"/>
      <c r="AH808" s="29" t="n"/>
      <c r="AI808" s="29" t="n"/>
    </row>
    <row r="809"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29" t="n"/>
      <c r="W809" s="29" t="n"/>
      <c r="X809" s="29" t="n"/>
      <c r="Y809" s="29" t="n"/>
      <c r="Z809" s="29" t="n"/>
      <c r="AA809" s="29" t="n"/>
      <c r="AB809" s="29" t="n"/>
      <c r="AC809" s="29" t="n"/>
      <c r="AD809" s="29" t="n"/>
      <c r="AE809" s="29" t="n"/>
      <c r="AF809" s="29" t="n"/>
      <c r="AG809" s="29" t="n"/>
      <c r="AH809" s="29" t="n"/>
      <c r="AI809" s="29" t="n"/>
    </row>
    <row r="810"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29" t="n"/>
      <c r="W810" s="29" t="n"/>
      <c r="X810" s="29" t="n"/>
      <c r="Y810" s="29" t="n"/>
      <c r="Z810" s="29" t="n"/>
      <c r="AA810" s="29" t="n"/>
      <c r="AB810" s="29" t="n"/>
      <c r="AC810" s="29" t="n"/>
      <c r="AD810" s="29" t="n"/>
      <c r="AE810" s="29" t="n"/>
      <c r="AF810" s="29" t="n"/>
      <c r="AG810" s="29" t="n"/>
      <c r="AH810" s="29" t="n"/>
      <c r="AI810" s="29" t="n"/>
    </row>
    <row r="811"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29" t="n"/>
      <c r="W811" s="29" t="n"/>
      <c r="X811" s="29" t="n"/>
      <c r="Y811" s="29" t="n"/>
      <c r="Z811" s="29" t="n"/>
      <c r="AA811" s="29" t="n"/>
      <c r="AB811" s="29" t="n"/>
      <c r="AC811" s="29" t="n"/>
      <c r="AD811" s="29" t="n"/>
      <c r="AE811" s="29" t="n"/>
      <c r="AF811" s="29" t="n"/>
      <c r="AG811" s="29" t="n"/>
      <c r="AH811" s="29" t="n"/>
      <c r="AI811" s="29" t="n"/>
    </row>
    <row r="812"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29" t="n"/>
      <c r="W812" s="29" t="n"/>
      <c r="X812" s="29" t="n"/>
      <c r="Y812" s="29" t="n"/>
      <c r="Z812" s="29" t="n"/>
      <c r="AA812" s="29" t="n"/>
      <c r="AB812" s="29" t="n"/>
      <c r="AC812" s="29" t="n"/>
      <c r="AD812" s="29" t="n"/>
      <c r="AE812" s="29" t="n"/>
      <c r="AF812" s="29" t="n"/>
      <c r="AG812" s="29" t="n"/>
      <c r="AH812" s="29" t="n"/>
      <c r="AI812" s="29" t="n"/>
    </row>
    <row r="813"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29" t="n"/>
      <c r="W813" s="29" t="n"/>
      <c r="X813" s="29" t="n"/>
      <c r="Y813" s="29" t="n"/>
      <c r="Z813" s="29" t="n"/>
      <c r="AA813" s="29" t="n"/>
      <c r="AB813" s="29" t="n"/>
      <c r="AC813" s="29" t="n"/>
      <c r="AD813" s="29" t="n"/>
      <c r="AE813" s="29" t="n"/>
      <c r="AF813" s="29" t="n"/>
      <c r="AG813" s="29" t="n"/>
      <c r="AH813" s="29" t="n"/>
      <c r="AI813" s="29" t="n"/>
    </row>
    <row r="814"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29" t="n"/>
      <c r="W814" s="29" t="n"/>
      <c r="X814" s="29" t="n"/>
      <c r="Y814" s="29" t="n"/>
      <c r="Z814" s="29" t="n"/>
      <c r="AA814" s="29" t="n"/>
      <c r="AB814" s="29" t="n"/>
      <c r="AC814" s="29" t="n"/>
      <c r="AD814" s="29" t="n"/>
      <c r="AE814" s="29" t="n"/>
      <c r="AF814" s="29" t="n"/>
      <c r="AG814" s="29" t="n"/>
      <c r="AH814" s="29" t="n"/>
      <c r="AI814" s="29" t="n"/>
    </row>
    <row r="815"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29" t="n"/>
      <c r="W815" s="29" t="n"/>
      <c r="X815" s="29" t="n"/>
      <c r="Y815" s="29" t="n"/>
      <c r="Z815" s="29" t="n"/>
      <c r="AA815" s="29" t="n"/>
      <c r="AB815" s="29" t="n"/>
      <c r="AC815" s="29" t="n"/>
      <c r="AD815" s="29" t="n"/>
      <c r="AE815" s="29" t="n"/>
      <c r="AF815" s="29" t="n"/>
      <c r="AG815" s="29" t="n"/>
      <c r="AH815" s="29" t="n"/>
      <c r="AI815" s="29" t="n"/>
    </row>
    <row r="816"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29" t="n"/>
      <c r="W816" s="29" t="n"/>
      <c r="X816" s="29" t="n"/>
      <c r="Y816" s="29" t="n"/>
      <c r="Z816" s="29" t="n"/>
      <c r="AA816" s="29" t="n"/>
      <c r="AB816" s="29" t="n"/>
      <c r="AC816" s="29" t="n"/>
      <c r="AD816" s="29" t="n"/>
      <c r="AE816" s="29" t="n"/>
      <c r="AF816" s="29" t="n"/>
      <c r="AG816" s="29" t="n"/>
      <c r="AH816" s="29" t="n"/>
      <c r="AI816" s="29" t="n"/>
    </row>
    <row r="817"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29" t="n"/>
      <c r="W817" s="29" t="n"/>
      <c r="X817" s="29" t="n"/>
      <c r="Y817" s="29" t="n"/>
      <c r="Z817" s="29" t="n"/>
      <c r="AA817" s="29" t="n"/>
      <c r="AB817" s="29" t="n"/>
      <c r="AC817" s="29" t="n"/>
      <c r="AD817" s="29" t="n"/>
      <c r="AE817" s="29" t="n"/>
      <c r="AF817" s="29" t="n"/>
      <c r="AG817" s="29" t="n"/>
      <c r="AH817" s="29" t="n"/>
      <c r="AI817" s="29" t="n"/>
    </row>
    <row r="818"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29" t="n"/>
      <c r="W818" s="29" t="n"/>
      <c r="X818" s="29" t="n"/>
      <c r="Y818" s="29" t="n"/>
      <c r="Z818" s="29" t="n"/>
      <c r="AA818" s="29" t="n"/>
      <c r="AB818" s="29" t="n"/>
      <c r="AC818" s="29" t="n"/>
      <c r="AD818" s="29" t="n"/>
      <c r="AE818" s="29" t="n"/>
      <c r="AF818" s="29" t="n"/>
      <c r="AG818" s="29" t="n"/>
      <c r="AH818" s="29" t="n"/>
      <c r="AI818" s="29" t="n"/>
    </row>
    <row r="819"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29" t="n"/>
      <c r="W819" s="29" t="n"/>
      <c r="X819" s="29" t="n"/>
      <c r="Y819" s="29" t="n"/>
      <c r="Z819" s="29" t="n"/>
      <c r="AA819" s="29" t="n"/>
      <c r="AB819" s="29" t="n"/>
      <c r="AC819" s="29" t="n"/>
      <c r="AD819" s="29" t="n"/>
      <c r="AE819" s="29" t="n"/>
      <c r="AF819" s="29" t="n"/>
      <c r="AG819" s="29" t="n"/>
      <c r="AH819" s="29" t="n"/>
      <c r="AI819" s="29" t="n"/>
    </row>
    <row r="820"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29" t="n"/>
      <c r="W820" s="29" t="n"/>
      <c r="X820" s="29" t="n"/>
      <c r="Y820" s="29" t="n"/>
      <c r="Z820" s="29" t="n"/>
      <c r="AA820" s="29" t="n"/>
      <c r="AB820" s="29" t="n"/>
      <c r="AC820" s="29" t="n"/>
      <c r="AD820" s="29" t="n"/>
      <c r="AE820" s="29" t="n"/>
      <c r="AF820" s="29" t="n"/>
      <c r="AG820" s="29" t="n"/>
      <c r="AH820" s="29" t="n"/>
      <c r="AI820" s="29" t="n"/>
    </row>
    <row r="821"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29" t="n"/>
      <c r="W821" s="29" t="n"/>
      <c r="X821" s="29" t="n"/>
      <c r="Y821" s="29" t="n"/>
      <c r="Z821" s="29" t="n"/>
      <c r="AA821" s="29" t="n"/>
      <c r="AB821" s="29" t="n"/>
      <c r="AC821" s="29" t="n"/>
      <c r="AD821" s="29" t="n"/>
      <c r="AE821" s="29" t="n"/>
      <c r="AF821" s="29" t="n"/>
      <c r="AG821" s="29" t="n"/>
      <c r="AH821" s="29" t="n"/>
      <c r="AI821" s="29" t="n"/>
    </row>
    <row r="822"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29" t="n"/>
      <c r="W822" s="29" t="n"/>
      <c r="X822" s="29" t="n"/>
      <c r="Y822" s="29" t="n"/>
      <c r="Z822" s="29" t="n"/>
      <c r="AA822" s="29" t="n"/>
      <c r="AB822" s="29" t="n"/>
      <c r="AC822" s="29" t="n"/>
      <c r="AD822" s="29" t="n"/>
      <c r="AE822" s="29" t="n"/>
      <c r="AF822" s="29" t="n"/>
      <c r="AG822" s="29" t="n"/>
      <c r="AH822" s="29" t="n"/>
      <c r="AI822" s="29" t="n"/>
    </row>
    <row r="823"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29" t="n"/>
      <c r="W823" s="29" t="n"/>
      <c r="X823" s="29" t="n"/>
      <c r="Y823" s="29" t="n"/>
      <c r="Z823" s="29" t="n"/>
      <c r="AA823" s="29" t="n"/>
      <c r="AB823" s="29" t="n"/>
      <c r="AC823" s="29" t="n"/>
      <c r="AD823" s="29" t="n"/>
      <c r="AE823" s="29" t="n"/>
      <c r="AF823" s="29" t="n"/>
      <c r="AG823" s="29" t="n"/>
      <c r="AH823" s="29" t="n"/>
      <c r="AI823" s="29" t="n"/>
    </row>
    <row r="824"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29" t="n"/>
      <c r="W824" s="29" t="n"/>
      <c r="X824" s="29" t="n"/>
      <c r="Y824" s="29" t="n"/>
      <c r="Z824" s="29" t="n"/>
      <c r="AA824" s="29" t="n"/>
      <c r="AB824" s="29" t="n"/>
      <c r="AC824" s="29" t="n"/>
      <c r="AD824" s="29" t="n"/>
      <c r="AE824" s="29" t="n"/>
      <c r="AF824" s="29" t="n"/>
      <c r="AG824" s="29" t="n"/>
      <c r="AH824" s="29" t="n"/>
      <c r="AI824" s="29" t="n"/>
    </row>
    <row r="825"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29" t="n"/>
      <c r="W825" s="29" t="n"/>
      <c r="X825" s="29" t="n"/>
      <c r="Y825" s="29" t="n"/>
      <c r="Z825" s="29" t="n"/>
      <c r="AA825" s="29" t="n"/>
      <c r="AB825" s="29" t="n"/>
      <c r="AC825" s="29" t="n"/>
      <c r="AD825" s="29" t="n"/>
      <c r="AE825" s="29" t="n"/>
      <c r="AF825" s="29" t="n"/>
      <c r="AG825" s="29" t="n"/>
      <c r="AH825" s="29" t="n"/>
      <c r="AI825" s="29" t="n"/>
    </row>
    <row r="826"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29" t="n"/>
      <c r="W826" s="29" t="n"/>
      <c r="X826" s="29" t="n"/>
      <c r="Y826" s="29" t="n"/>
      <c r="Z826" s="29" t="n"/>
      <c r="AA826" s="29" t="n"/>
      <c r="AB826" s="29" t="n"/>
      <c r="AC826" s="29" t="n"/>
      <c r="AD826" s="29" t="n"/>
      <c r="AE826" s="29" t="n"/>
      <c r="AF826" s="29" t="n"/>
      <c r="AG826" s="29" t="n"/>
      <c r="AH826" s="29" t="n"/>
      <c r="AI826" s="29" t="n"/>
    </row>
    <row r="827"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29" t="n"/>
      <c r="W827" s="29" t="n"/>
      <c r="X827" s="29" t="n"/>
      <c r="Y827" s="29" t="n"/>
      <c r="Z827" s="29" t="n"/>
      <c r="AA827" s="29" t="n"/>
      <c r="AB827" s="29" t="n"/>
      <c r="AC827" s="29" t="n"/>
      <c r="AD827" s="29" t="n"/>
      <c r="AE827" s="29" t="n"/>
      <c r="AF827" s="29" t="n"/>
      <c r="AG827" s="29" t="n"/>
      <c r="AH827" s="29" t="n"/>
      <c r="AI827" s="29" t="n"/>
    </row>
    <row r="828"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29" t="n"/>
      <c r="W828" s="29" t="n"/>
      <c r="X828" s="29" t="n"/>
      <c r="Y828" s="29" t="n"/>
      <c r="Z828" s="29" t="n"/>
      <c r="AA828" s="29" t="n"/>
      <c r="AB828" s="29" t="n"/>
      <c r="AC828" s="29" t="n"/>
      <c r="AD828" s="29" t="n"/>
      <c r="AE828" s="29" t="n"/>
      <c r="AF828" s="29" t="n"/>
      <c r="AG828" s="29" t="n"/>
      <c r="AH828" s="29" t="n"/>
      <c r="AI828" s="29" t="n"/>
    </row>
    <row r="829"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29" t="n"/>
      <c r="W829" s="29" t="n"/>
      <c r="X829" s="29" t="n"/>
      <c r="Y829" s="29" t="n"/>
      <c r="Z829" s="29" t="n"/>
      <c r="AA829" s="29" t="n"/>
      <c r="AB829" s="29" t="n"/>
      <c r="AC829" s="29" t="n"/>
      <c r="AD829" s="29" t="n"/>
      <c r="AE829" s="29" t="n"/>
      <c r="AF829" s="29" t="n"/>
      <c r="AG829" s="29" t="n"/>
      <c r="AH829" s="29" t="n"/>
      <c r="AI829" s="29" t="n"/>
    </row>
    <row r="830"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29" t="n"/>
      <c r="W830" s="29" t="n"/>
      <c r="X830" s="29" t="n"/>
      <c r="Y830" s="29" t="n"/>
      <c r="Z830" s="29" t="n"/>
      <c r="AA830" s="29" t="n"/>
      <c r="AB830" s="29" t="n"/>
      <c r="AC830" s="29" t="n"/>
      <c r="AD830" s="29" t="n"/>
      <c r="AE830" s="29" t="n"/>
      <c r="AF830" s="29" t="n"/>
      <c r="AG830" s="29" t="n"/>
      <c r="AH830" s="29" t="n"/>
      <c r="AI830" s="29" t="n"/>
    </row>
    <row r="831"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29" t="n"/>
      <c r="W831" s="29" t="n"/>
      <c r="X831" s="29" t="n"/>
      <c r="Y831" s="29" t="n"/>
      <c r="Z831" s="29" t="n"/>
      <c r="AA831" s="29" t="n"/>
      <c r="AB831" s="29" t="n"/>
      <c r="AC831" s="29" t="n"/>
      <c r="AD831" s="29" t="n"/>
      <c r="AE831" s="29" t="n"/>
      <c r="AF831" s="29" t="n"/>
      <c r="AG831" s="29" t="n"/>
      <c r="AH831" s="29" t="n"/>
      <c r="AI831" s="29" t="n"/>
    </row>
    <row r="832"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29" t="n"/>
      <c r="W832" s="29" t="n"/>
      <c r="X832" s="29" t="n"/>
      <c r="Y832" s="29" t="n"/>
      <c r="Z832" s="29" t="n"/>
      <c r="AA832" s="29" t="n"/>
      <c r="AB832" s="29" t="n"/>
      <c r="AC832" s="29" t="n"/>
      <c r="AD832" s="29" t="n"/>
      <c r="AE832" s="29" t="n"/>
      <c r="AF832" s="29" t="n"/>
      <c r="AG832" s="29" t="n"/>
      <c r="AH832" s="29" t="n"/>
      <c r="AI832" s="29" t="n"/>
    </row>
    <row r="833"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29" t="n"/>
      <c r="W833" s="29" t="n"/>
      <c r="X833" s="29" t="n"/>
      <c r="Y833" s="29" t="n"/>
      <c r="Z833" s="29" t="n"/>
      <c r="AA833" s="29" t="n"/>
      <c r="AB833" s="29" t="n"/>
      <c r="AC833" s="29" t="n"/>
      <c r="AD833" s="29" t="n"/>
      <c r="AE833" s="29" t="n"/>
      <c r="AF833" s="29" t="n"/>
      <c r="AG833" s="29" t="n"/>
      <c r="AH833" s="29" t="n"/>
      <c r="AI833" s="29" t="n"/>
    </row>
    <row r="834"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29" t="n"/>
      <c r="W834" s="29" t="n"/>
      <c r="X834" s="29" t="n"/>
      <c r="Y834" s="29" t="n"/>
      <c r="Z834" s="29" t="n"/>
      <c r="AA834" s="29" t="n"/>
      <c r="AB834" s="29" t="n"/>
      <c r="AC834" s="29" t="n"/>
      <c r="AD834" s="29" t="n"/>
      <c r="AE834" s="29" t="n"/>
      <c r="AF834" s="29" t="n"/>
      <c r="AG834" s="29" t="n"/>
      <c r="AH834" s="29" t="n"/>
      <c r="AI834" s="29" t="n"/>
    </row>
    <row r="835"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29" t="n"/>
      <c r="W835" s="29" t="n"/>
      <c r="X835" s="29" t="n"/>
      <c r="Y835" s="29" t="n"/>
      <c r="Z835" s="29" t="n"/>
      <c r="AA835" s="29" t="n"/>
      <c r="AB835" s="29" t="n"/>
      <c r="AC835" s="29" t="n"/>
      <c r="AD835" s="29" t="n"/>
      <c r="AE835" s="29" t="n"/>
      <c r="AF835" s="29" t="n"/>
      <c r="AG835" s="29" t="n"/>
      <c r="AH835" s="29" t="n"/>
      <c r="AI835" s="29" t="n"/>
    </row>
    <row r="836"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29" t="n"/>
      <c r="W836" s="29" t="n"/>
      <c r="X836" s="29" t="n"/>
      <c r="Y836" s="29" t="n"/>
      <c r="Z836" s="29" t="n"/>
      <c r="AA836" s="29" t="n"/>
      <c r="AB836" s="29" t="n"/>
      <c r="AC836" s="29" t="n"/>
      <c r="AD836" s="29" t="n"/>
      <c r="AE836" s="29" t="n"/>
      <c r="AF836" s="29" t="n"/>
      <c r="AG836" s="29" t="n"/>
      <c r="AH836" s="29" t="n"/>
      <c r="AI836" s="29" t="n"/>
    </row>
    <row r="837"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29" t="n"/>
      <c r="W837" s="29" t="n"/>
      <c r="X837" s="29" t="n"/>
      <c r="Y837" s="29" t="n"/>
      <c r="Z837" s="29" t="n"/>
      <c r="AA837" s="29" t="n"/>
      <c r="AB837" s="29" t="n"/>
      <c r="AC837" s="29" t="n"/>
      <c r="AD837" s="29" t="n"/>
      <c r="AE837" s="29" t="n"/>
      <c r="AF837" s="29" t="n"/>
      <c r="AG837" s="29" t="n"/>
      <c r="AH837" s="29" t="n"/>
      <c r="AI837" s="29" t="n"/>
    </row>
    <row r="838"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29" t="n"/>
      <c r="W838" s="29" t="n"/>
      <c r="X838" s="29" t="n"/>
      <c r="Y838" s="29" t="n"/>
      <c r="Z838" s="29" t="n"/>
      <c r="AA838" s="29" t="n"/>
      <c r="AB838" s="29" t="n"/>
      <c r="AC838" s="29" t="n"/>
      <c r="AD838" s="29" t="n"/>
      <c r="AE838" s="29" t="n"/>
      <c r="AF838" s="29" t="n"/>
      <c r="AG838" s="29" t="n"/>
      <c r="AH838" s="29" t="n"/>
      <c r="AI838" s="29" t="n"/>
    </row>
    <row r="839"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29" t="n"/>
      <c r="W839" s="29" t="n"/>
      <c r="X839" s="29" t="n"/>
      <c r="Y839" s="29" t="n"/>
      <c r="Z839" s="29" t="n"/>
      <c r="AA839" s="29" t="n"/>
      <c r="AB839" s="29" t="n"/>
      <c r="AC839" s="29" t="n"/>
      <c r="AD839" s="29" t="n"/>
      <c r="AE839" s="29" t="n"/>
      <c r="AF839" s="29" t="n"/>
      <c r="AG839" s="29" t="n"/>
      <c r="AH839" s="29" t="n"/>
      <c r="AI839" s="29" t="n"/>
    </row>
    <row r="840"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29" t="n"/>
      <c r="W840" s="29" t="n"/>
      <c r="X840" s="29" t="n"/>
      <c r="Y840" s="29" t="n"/>
      <c r="Z840" s="29" t="n"/>
      <c r="AA840" s="29" t="n"/>
      <c r="AB840" s="29" t="n"/>
      <c r="AC840" s="29" t="n"/>
      <c r="AD840" s="29" t="n"/>
      <c r="AE840" s="29" t="n"/>
      <c r="AF840" s="29" t="n"/>
      <c r="AG840" s="29" t="n"/>
      <c r="AH840" s="29" t="n"/>
      <c r="AI840" s="29" t="n"/>
    </row>
    <row r="841"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29" t="n"/>
      <c r="W841" s="29" t="n"/>
      <c r="X841" s="29" t="n"/>
      <c r="Y841" s="29" t="n"/>
      <c r="Z841" s="29" t="n"/>
      <c r="AA841" s="29" t="n"/>
      <c r="AB841" s="29" t="n"/>
      <c r="AC841" s="29" t="n"/>
      <c r="AD841" s="29" t="n"/>
      <c r="AE841" s="29" t="n"/>
      <c r="AF841" s="29" t="n"/>
      <c r="AG841" s="29" t="n"/>
      <c r="AH841" s="29" t="n"/>
      <c r="AI841" s="29" t="n"/>
    </row>
    <row r="842"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29" t="n"/>
      <c r="W842" s="29" t="n"/>
      <c r="X842" s="29" t="n"/>
      <c r="Y842" s="29" t="n"/>
      <c r="Z842" s="29" t="n"/>
      <c r="AA842" s="29" t="n"/>
      <c r="AB842" s="29" t="n"/>
      <c r="AC842" s="29" t="n"/>
      <c r="AD842" s="29" t="n"/>
      <c r="AE842" s="29" t="n"/>
      <c r="AF842" s="29" t="n"/>
      <c r="AG842" s="29" t="n"/>
      <c r="AH842" s="29" t="n"/>
      <c r="AI842" s="29" t="n"/>
    </row>
    <row r="843"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29" t="n"/>
      <c r="W843" s="29" t="n"/>
      <c r="X843" s="29" t="n"/>
      <c r="Y843" s="29" t="n"/>
      <c r="Z843" s="29" t="n"/>
      <c r="AA843" s="29" t="n"/>
      <c r="AB843" s="29" t="n"/>
      <c r="AC843" s="29" t="n"/>
      <c r="AD843" s="29" t="n"/>
      <c r="AE843" s="29" t="n"/>
      <c r="AF843" s="29" t="n"/>
      <c r="AG843" s="29" t="n"/>
      <c r="AH843" s="29" t="n"/>
      <c r="AI843" s="29" t="n"/>
    </row>
    <row r="844"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29" t="n"/>
      <c r="W844" s="29" t="n"/>
      <c r="X844" s="29" t="n"/>
      <c r="Y844" s="29" t="n"/>
      <c r="Z844" s="29" t="n"/>
      <c r="AA844" s="29" t="n"/>
      <c r="AB844" s="29" t="n"/>
      <c r="AC844" s="29" t="n"/>
      <c r="AD844" s="29" t="n"/>
      <c r="AE844" s="29" t="n"/>
      <c r="AF844" s="29" t="n"/>
      <c r="AG844" s="29" t="n"/>
      <c r="AH844" s="29" t="n"/>
      <c r="AI844" s="29" t="n"/>
    </row>
    <row r="845"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29" t="n"/>
      <c r="W845" s="29" t="n"/>
      <c r="X845" s="29" t="n"/>
      <c r="Y845" s="29" t="n"/>
      <c r="Z845" s="29" t="n"/>
      <c r="AA845" s="29" t="n"/>
      <c r="AB845" s="29" t="n"/>
      <c r="AC845" s="29" t="n"/>
      <c r="AD845" s="29" t="n"/>
      <c r="AE845" s="29" t="n"/>
      <c r="AF845" s="29" t="n"/>
      <c r="AG845" s="29" t="n"/>
      <c r="AH845" s="29" t="n"/>
      <c r="AI845" s="29" t="n"/>
    </row>
    <row r="846"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29" t="n"/>
      <c r="W846" s="29" t="n"/>
      <c r="X846" s="29" t="n"/>
      <c r="Y846" s="29" t="n"/>
      <c r="Z846" s="29" t="n"/>
      <c r="AA846" s="29" t="n"/>
      <c r="AB846" s="29" t="n"/>
      <c r="AC846" s="29" t="n"/>
      <c r="AD846" s="29" t="n"/>
      <c r="AE846" s="29" t="n"/>
      <c r="AF846" s="29" t="n"/>
      <c r="AG846" s="29" t="n"/>
      <c r="AH846" s="29" t="n"/>
      <c r="AI846" s="29" t="n"/>
    </row>
    <row r="847"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29" t="n"/>
      <c r="W847" s="29" t="n"/>
      <c r="X847" s="29" t="n"/>
      <c r="Y847" s="29" t="n"/>
      <c r="Z847" s="29" t="n"/>
      <c r="AA847" s="29" t="n"/>
      <c r="AB847" s="29" t="n"/>
      <c r="AC847" s="29" t="n"/>
      <c r="AD847" s="29" t="n"/>
      <c r="AE847" s="29" t="n"/>
      <c r="AF847" s="29" t="n"/>
      <c r="AG847" s="29" t="n"/>
      <c r="AH847" s="29" t="n"/>
      <c r="AI847" s="29" t="n"/>
    </row>
    <row r="848"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29" t="n"/>
      <c r="W848" s="29" t="n"/>
      <c r="X848" s="29" t="n"/>
      <c r="Y848" s="29" t="n"/>
      <c r="Z848" s="29" t="n"/>
      <c r="AA848" s="29" t="n"/>
      <c r="AB848" s="29" t="n"/>
      <c r="AC848" s="29" t="n"/>
      <c r="AD848" s="29" t="n"/>
      <c r="AE848" s="29" t="n"/>
      <c r="AF848" s="29" t="n"/>
      <c r="AG848" s="29" t="n"/>
      <c r="AH848" s="29" t="n"/>
      <c r="AI848" s="29" t="n"/>
    </row>
    <row r="849"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29" t="n"/>
      <c r="W849" s="29" t="n"/>
      <c r="X849" s="29" t="n"/>
      <c r="Y849" s="29" t="n"/>
      <c r="Z849" s="29" t="n"/>
      <c r="AA849" s="29" t="n"/>
      <c r="AB849" s="29" t="n"/>
      <c r="AC849" s="29" t="n"/>
      <c r="AD849" s="29" t="n"/>
      <c r="AE849" s="29" t="n"/>
      <c r="AF849" s="29" t="n"/>
      <c r="AG849" s="29" t="n"/>
      <c r="AH849" s="29" t="n"/>
      <c r="AI849" s="29" t="n"/>
    </row>
    <row r="850"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29" t="n"/>
      <c r="W850" s="29" t="n"/>
      <c r="X850" s="29" t="n"/>
      <c r="Y850" s="29" t="n"/>
      <c r="Z850" s="29" t="n"/>
      <c r="AA850" s="29" t="n"/>
      <c r="AB850" s="29" t="n"/>
      <c r="AC850" s="29" t="n"/>
      <c r="AD850" s="29" t="n"/>
      <c r="AE850" s="29" t="n"/>
      <c r="AF850" s="29" t="n"/>
      <c r="AG850" s="29" t="n"/>
      <c r="AH850" s="29" t="n"/>
      <c r="AI850" s="29" t="n"/>
    </row>
    <row r="851"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29" t="n"/>
      <c r="W851" s="29" t="n"/>
      <c r="X851" s="29" t="n"/>
      <c r="Y851" s="29" t="n"/>
      <c r="Z851" s="29" t="n"/>
      <c r="AA851" s="29" t="n"/>
      <c r="AB851" s="29" t="n"/>
      <c r="AC851" s="29" t="n"/>
      <c r="AD851" s="29" t="n"/>
      <c r="AE851" s="29" t="n"/>
      <c r="AF851" s="29" t="n"/>
      <c r="AG851" s="29" t="n"/>
      <c r="AH851" s="29" t="n"/>
      <c r="AI851" s="29" t="n"/>
    </row>
    <row r="852"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29" t="n"/>
      <c r="W852" s="29" t="n"/>
      <c r="X852" s="29" t="n"/>
      <c r="Y852" s="29" t="n"/>
      <c r="Z852" s="29" t="n"/>
      <c r="AA852" s="29" t="n"/>
      <c r="AB852" s="29" t="n"/>
      <c r="AC852" s="29" t="n"/>
      <c r="AD852" s="29" t="n"/>
      <c r="AE852" s="29" t="n"/>
      <c r="AF852" s="29" t="n"/>
      <c r="AG852" s="29" t="n"/>
      <c r="AH852" s="29" t="n"/>
      <c r="AI852" s="29" t="n"/>
    </row>
    <row r="853"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29" t="n"/>
      <c r="W853" s="29" t="n"/>
      <c r="X853" s="29" t="n"/>
      <c r="Y853" s="29" t="n"/>
      <c r="Z853" s="29" t="n"/>
      <c r="AA853" s="29" t="n"/>
      <c r="AB853" s="29" t="n"/>
      <c r="AC853" s="29" t="n"/>
      <c r="AD853" s="29" t="n"/>
      <c r="AE853" s="29" t="n"/>
      <c r="AF853" s="29" t="n"/>
      <c r="AG853" s="29" t="n"/>
      <c r="AH853" s="29" t="n"/>
      <c r="AI853" s="29" t="n"/>
    </row>
    <row r="854"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29" t="n"/>
      <c r="W854" s="29" t="n"/>
      <c r="X854" s="29" t="n"/>
      <c r="Y854" s="29" t="n"/>
      <c r="Z854" s="29" t="n"/>
      <c r="AA854" s="29" t="n"/>
      <c r="AB854" s="29" t="n"/>
      <c r="AC854" s="29" t="n"/>
      <c r="AD854" s="29" t="n"/>
      <c r="AE854" s="29" t="n"/>
      <c r="AF854" s="29" t="n"/>
      <c r="AG854" s="29" t="n"/>
      <c r="AH854" s="29" t="n"/>
      <c r="AI854" s="29" t="n"/>
    </row>
    <row r="855"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29" t="n"/>
      <c r="W855" s="29" t="n"/>
      <c r="X855" s="29" t="n"/>
      <c r="Y855" s="29" t="n"/>
      <c r="Z855" s="29" t="n"/>
      <c r="AA855" s="29" t="n"/>
      <c r="AB855" s="29" t="n"/>
      <c r="AC855" s="29" t="n"/>
      <c r="AD855" s="29" t="n"/>
      <c r="AE855" s="29" t="n"/>
      <c r="AF855" s="29" t="n"/>
      <c r="AG855" s="29" t="n"/>
      <c r="AH855" s="29" t="n"/>
      <c r="AI855" s="29" t="n"/>
    </row>
    <row r="856"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29" t="n"/>
      <c r="W856" s="29" t="n"/>
      <c r="X856" s="29" t="n"/>
      <c r="Y856" s="29" t="n"/>
      <c r="Z856" s="29" t="n"/>
      <c r="AA856" s="29" t="n"/>
      <c r="AB856" s="29" t="n"/>
      <c r="AC856" s="29" t="n"/>
      <c r="AD856" s="29" t="n"/>
      <c r="AE856" s="29" t="n"/>
      <c r="AF856" s="29" t="n"/>
      <c r="AG856" s="29" t="n"/>
      <c r="AH856" s="29" t="n"/>
      <c r="AI856" s="29" t="n"/>
    </row>
    <row r="857"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29" t="n"/>
      <c r="W857" s="29" t="n"/>
      <c r="X857" s="29" t="n"/>
      <c r="Y857" s="29" t="n"/>
      <c r="Z857" s="29" t="n"/>
      <c r="AA857" s="29" t="n"/>
      <c r="AB857" s="29" t="n"/>
      <c r="AC857" s="29" t="n"/>
      <c r="AD857" s="29" t="n"/>
      <c r="AE857" s="29" t="n"/>
      <c r="AF857" s="29" t="n"/>
      <c r="AG857" s="29" t="n"/>
      <c r="AH857" s="29" t="n"/>
      <c r="AI857" s="29" t="n"/>
    </row>
    <row r="858"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29" t="n"/>
      <c r="W858" s="29" t="n"/>
      <c r="X858" s="29" t="n"/>
      <c r="Y858" s="29" t="n"/>
      <c r="Z858" s="29" t="n"/>
      <c r="AA858" s="29" t="n"/>
      <c r="AB858" s="29" t="n"/>
      <c r="AC858" s="29" t="n"/>
      <c r="AD858" s="29" t="n"/>
      <c r="AE858" s="29" t="n"/>
      <c r="AF858" s="29" t="n"/>
      <c r="AG858" s="29" t="n"/>
      <c r="AH858" s="29" t="n"/>
      <c r="AI858" s="29" t="n"/>
    </row>
    <row r="859"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29" t="n"/>
      <c r="W859" s="29" t="n"/>
      <c r="X859" s="29" t="n"/>
      <c r="Y859" s="29" t="n"/>
      <c r="Z859" s="29" t="n"/>
      <c r="AA859" s="29" t="n"/>
      <c r="AB859" s="29" t="n"/>
      <c r="AC859" s="29" t="n"/>
      <c r="AD859" s="29" t="n"/>
      <c r="AE859" s="29" t="n"/>
      <c r="AF859" s="29" t="n"/>
      <c r="AG859" s="29" t="n"/>
      <c r="AH859" s="29" t="n"/>
      <c r="AI859" s="29" t="n"/>
    </row>
    <row r="860"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29" t="n"/>
      <c r="W860" s="29" t="n"/>
      <c r="X860" s="29" t="n"/>
      <c r="Y860" s="29" t="n"/>
      <c r="Z860" s="29" t="n"/>
      <c r="AA860" s="29" t="n"/>
      <c r="AB860" s="29" t="n"/>
      <c r="AC860" s="29" t="n"/>
      <c r="AD860" s="29" t="n"/>
      <c r="AE860" s="29" t="n"/>
      <c r="AF860" s="29" t="n"/>
      <c r="AG860" s="29" t="n"/>
      <c r="AH860" s="29" t="n"/>
      <c r="AI860" s="29" t="n"/>
    </row>
    <row r="861"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29" t="n"/>
      <c r="W861" s="29" t="n"/>
      <c r="X861" s="29" t="n"/>
      <c r="Y861" s="29" t="n"/>
      <c r="Z861" s="29" t="n"/>
      <c r="AA861" s="29" t="n"/>
      <c r="AB861" s="29" t="n"/>
      <c r="AC861" s="29" t="n"/>
      <c r="AD861" s="29" t="n"/>
      <c r="AE861" s="29" t="n"/>
      <c r="AF861" s="29" t="n"/>
      <c r="AG861" s="29" t="n"/>
      <c r="AH861" s="29" t="n"/>
      <c r="AI861" s="29" t="n"/>
    </row>
    <row r="862"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29" t="n"/>
      <c r="W862" s="29" t="n"/>
      <c r="X862" s="29" t="n"/>
      <c r="Y862" s="29" t="n"/>
      <c r="Z862" s="29" t="n"/>
      <c r="AA862" s="29" t="n"/>
      <c r="AB862" s="29" t="n"/>
      <c r="AC862" s="29" t="n"/>
      <c r="AD862" s="29" t="n"/>
      <c r="AE862" s="29" t="n"/>
      <c r="AF862" s="29" t="n"/>
      <c r="AG862" s="29" t="n"/>
      <c r="AH862" s="29" t="n"/>
      <c r="AI862" s="29" t="n"/>
    </row>
    <row r="863"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29" t="n"/>
      <c r="W863" s="29" t="n"/>
      <c r="X863" s="29" t="n"/>
      <c r="Y863" s="29" t="n"/>
      <c r="Z863" s="29" t="n"/>
      <c r="AA863" s="29" t="n"/>
      <c r="AB863" s="29" t="n"/>
      <c r="AC863" s="29" t="n"/>
      <c r="AD863" s="29" t="n"/>
      <c r="AE863" s="29" t="n"/>
      <c r="AF863" s="29" t="n"/>
      <c r="AG863" s="29" t="n"/>
      <c r="AH863" s="29" t="n"/>
      <c r="AI863" s="29" t="n"/>
    </row>
    <row r="864"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29" t="n"/>
      <c r="W864" s="29" t="n"/>
      <c r="X864" s="29" t="n"/>
      <c r="Y864" s="29" t="n"/>
      <c r="Z864" s="29" t="n"/>
      <c r="AA864" s="29" t="n"/>
      <c r="AB864" s="29" t="n"/>
      <c r="AC864" s="29" t="n"/>
      <c r="AD864" s="29" t="n"/>
      <c r="AE864" s="29" t="n"/>
      <c r="AF864" s="29" t="n"/>
      <c r="AG864" s="29" t="n"/>
      <c r="AH864" s="29" t="n"/>
      <c r="AI864" s="29" t="n"/>
    </row>
    <row r="865"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29" t="n"/>
      <c r="W865" s="29" t="n"/>
      <c r="X865" s="29" t="n"/>
      <c r="Y865" s="29" t="n"/>
      <c r="Z865" s="29" t="n"/>
      <c r="AA865" s="29" t="n"/>
      <c r="AB865" s="29" t="n"/>
      <c r="AC865" s="29" t="n"/>
      <c r="AD865" s="29" t="n"/>
      <c r="AE865" s="29" t="n"/>
      <c r="AF865" s="29" t="n"/>
      <c r="AG865" s="29" t="n"/>
      <c r="AH865" s="29" t="n"/>
      <c r="AI865" s="29" t="n"/>
    </row>
    <row r="866"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29" t="n"/>
      <c r="W866" s="29" t="n"/>
      <c r="X866" s="29" t="n"/>
      <c r="Y866" s="29" t="n"/>
      <c r="Z866" s="29" t="n"/>
      <c r="AA866" s="29" t="n"/>
      <c r="AB866" s="29" t="n"/>
      <c r="AC866" s="29" t="n"/>
      <c r="AD866" s="29" t="n"/>
      <c r="AE866" s="29" t="n"/>
      <c r="AF866" s="29" t="n"/>
      <c r="AG866" s="29" t="n"/>
      <c r="AH866" s="29" t="n"/>
      <c r="AI866" s="29" t="n"/>
    </row>
    <row r="867"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29" t="n"/>
      <c r="W867" s="29" t="n"/>
      <c r="X867" s="29" t="n"/>
      <c r="Y867" s="29" t="n"/>
      <c r="Z867" s="29" t="n"/>
      <c r="AA867" s="29" t="n"/>
      <c r="AB867" s="29" t="n"/>
      <c r="AC867" s="29" t="n"/>
      <c r="AD867" s="29" t="n"/>
      <c r="AE867" s="29" t="n"/>
      <c r="AF867" s="29" t="n"/>
      <c r="AG867" s="29" t="n"/>
      <c r="AH867" s="29" t="n"/>
      <c r="AI867" s="29" t="n"/>
    </row>
    <row r="868"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29" t="n"/>
      <c r="W868" s="29" t="n"/>
      <c r="X868" s="29" t="n"/>
      <c r="Y868" s="29" t="n"/>
      <c r="Z868" s="29" t="n"/>
      <c r="AA868" s="29" t="n"/>
      <c r="AB868" s="29" t="n"/>
      <c r="AC868" s="29" t="n"/>
      <c r="AD868" s="29" t="n"/>
      <c r="AE868" s="29" t="n"/>
      <c r="AF868" s="29" t="n"/>
      <c r="AG868" s="29" t="n"/>
      <c r="AH868" s="29" t="n"/>
      <c r="AI868" s="29" t="n"/>
    </row>
    <row r="869"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29" t="n"/>
      <c r="W869" s="29" t="n"/>
      <c r="X869" s="29" t="n"/>
      <c r="Y869" s="29" t="n"/>
      <c r="Z869" s="29" t="n"/>
      <c r="AA869" s="29" t="n"/>
      <c r="AB869" s="29" t="n"/>
      <c r="AC869" s="29" t="n"/>
      <c r="AD869" s="29" t="n"/>
      <c r="AE869" s="29" t="n"/>
      <c r="AF869" s="29" t="n"/>
      <c r="AG869" s="29" t="n"/>
      <c r="AH869" s="29" t="n"/>
      <c r="AI869" s="29" t="n"/>
    </row>
    <row r="870"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29" t="n"/>
      <c r="W870" s="29" t="n"/>
      <c r="X870" s="29" t="n"/>
      <c r="Y870" s="29" t="n"/>
      <c r="Z870" s="29" t="n"/>
      <c r="AA870" s="29" t="n"/>
      <c r="AB870" s="29" t="n"/>
      <c r="AC870" s="29" t="n"/>
      <c r="AD870" s="29" t="n"/>
      <c r="AE870" s="29" t="n"/>
      <c r="AF870" s="29" t="n"/>
      <c r="AG870" s="29" t="n"/>
      <c r="AH870" s="29" t="n"/>
      <c r="AI870" s="29" t="n"/>
    </row>
    <row r="871"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29" t="n"/>
      <c r="W871" s="29" t="n"/>
      <c r="X871" s="29" t="n"/>
      <c r="Y871" s="29" t="n"/>
      <c r="Z871" s="29" t="n"/>
      <c r="AA871" s="29" t="n"/>
      <c r="AB871" s="29" t="n"/>
      <c r="AC871" s="29" t="n"/>
      <c r="AD871" s="29" t="n"/>
      <c r="AE871" s="29" t="n"/>
      <c r="AF871" s="29" t="n"/>
      <c r="AG871" s="29" t="n"/>
      <c r="AH871" s="29" t="n"/>
      <c r="AI871" s="29" t="n"/>
    </row>
    <row r="872"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29" t="n"/>
      <c r="W872" s="29" t="n"/>
      <c r="X872" s="29" t="n"/>
      <c r="Y872" s="29" t="n"/>
      <c r="Z872" s="29" t="n"/>
      <c r="AA872" s="29" t="n"/>
      <c r="AB872" s="29" t="n"/>
      <c r="AC872" s="29" t="n"/>
      <c r="AD872" s="29" t="n"/>
      <c r="AE872" s="29" t="n"/>
      <c r="AF872" s="29" t="n"/>
      <c r="AG872" s="29" t="n"/>
      <c r="AH872" s="29" t="n"/>
      <c r="AI872" s="29" t="n"/>
    </row>
    <row r="873"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29" t="n"/>
      <c r="W873" s="29" t="n"/>
      <c r="X873" s="29" t="n"/>
      <c r="Y873" s="29" t="n"/>
      <c r="Z873" s="29" t="n"/>
      <c r="AA873" s="29" t="n"/>
      <c r="AB873" s="29" t="n"/>
      <c r="AC873" s="29" t="n"/>
      <c r="AD873" s="29" t="n"/>
      <c r="AE873" s="29" t="n"/>
      <c r="AF873" s="29" t="n"/>
      <c r="AG873" s="29" t="n"/>
      <c r="AH873" s="29" t="n"/>
      <c r="AI873" s="29" t="n"/>
    </row>
    <row r="874"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29" t="n"/>
      <c r="W874" s="29" t="n"/>
      <c r="X874" s="29" t="n"/>
      <c r="Y874" s="29" t="n"/>
      <c r="Z874" s="29" t="n"/>
      <c r="AA874" s="29" t="n"/>
      <c r="AB874" s="29" t="n"/>
      <c r="AC874" s="29" t="n"/>
      <c r="AD874" s="29" t="n"/>
      <c r="AE874" s="29" t="n"/>
      <c r="AF874" s="29" t="n"/>
      <c r="AG874" s="29" t="n"/>
      <c r="AH874" s="29" t="n"/>
      <c r="AI874" s="29" t="n"/>
    </row>
    <row r="875">
      <c r="L875" s="29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29" t="n"/>
      <c r="W875" s="29" t="n"/>
      <c r="X875" s="29" t="n"/>
      <c r="Y875" s="29" t="n"/>
      <c r="Z875" s="29" t="n"/>
      <c r="AA875" s="29" t="n"/>
      <c r="AB875" s="29" t="n"/>
      <c r="AC875" s="29" t="n"/>
      <c r="AD875" s="29" t="n"/>
      <c r="AE875" s="29" t="n"/>
      <c r="AF875" s="29" t="n"/>
      <c r="AG875" s="29" t="n"/>
      <c r="AH875" s="29" t="n"/>
      <c r="AI875" s="29" t="n"/>
    </row>
    <row r="876"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29" t="n"/>
      <c r="W876" s="29" t="n"/>
      <c r="X876" s="29" t="n"/>
      <c r="Y876" s="29" t="n"/>
      <c r="Z876" s="29" t="n"/>
      <c r="AA876" s="29" t="n"/>
      <c r="AB876" s="29" t="n"/>
      <c r="AC876" s="29" t="n"/>
      <c r="AD876" s="29" t="n"/>
      <c r="AE876" s="29" t="n"/>
      <c r="AF876" s="29" t="n"/>
      <c r="AG876" s="29" t="n"/>
      <c r="AH876" s="29" t="n"/>
      <c r="AI876" s="29" t="n"/>
    </row>
    <row r="877"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29" t="n"/>
      <c r="W877" s="29" t="n"/>
      <c r="X877" s="29" t="n"/>
      <c r="Y877" s="29" t="n"/>
      <c r="Z877" s="29" t="n"/>
      <c r="AA877" s="29" t="n"/>
      <c r="AB877" s="29" t="n"/>
      <c r="AC877" s="29" t="n"/>
      <c r="AD877" s="29" t="n"/>
      <c r="AE877" s="29" t="n"/>
      <c r="AF877" s="29" t="n"/>
      <c r="AG877" s="29" t="n"/>
      <c r="AH877" s="29" t="n"/>
      <c r="AI877" s="29" t="n"/>
    </row>
    <row r="878"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29" t="n"/>
      <c r="W878" s="29" t="n"/>
      <c r="X878" s="29" t="n"/>
      <c r="Y878" s="29" t="n"/>
      <c r="Z878" s="29" t="n"/>
      <c r="AA878" s="29" t="n"/>
      <c r="AB878" s="29" t="n"/>
      <c r="AC878" s="29" t="n"/>
      <c r="AD878" s="29" t="n"/>
      <c r="AE878" s="29" t="n"/>
      <c r="AF878" s="29" t="n"/>
      <c r="AG878" s="29" t="n"/>
      <c r="AH878" s="29" t="n"/>
      <c r="AI878" s="29" t="n"/>
    </row>
    <row r="879"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29" t="n"/>
      <c r="W879" s="29" t="n"/>
      <c r="X879" s="29" t="n"/>
      <c r="Y879" s="29" t="n"/>
      <c r="Z879" s="29" t="n"/>
      <c r="AA879" s="29" t="n"/>
      <c r="AB879" s="29" t="n"/>
      <c r="AC879" s="29" t="n"/>
      <c r="AD879" s="29" t="n"/>
      <c r="AE879" s="29" t="n"/>
      <c r="AF879" s="29" t="n"/>
      <c r="AG879" s="29" t="n"/>
      <c r="AH879" s="29" t="n"/>
      <c r="AI879" s="29" t="n"/>
    </row>
    <row r="880"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29" t="n"/>
      <c r="W880" s="29" t="n"/>
      <c r="X880" s="29" t="n"/>
      <c r="Y880" s="29" t="n"/>
      <c r="Z880" s="29" t="n"/>
      <c r="AA880" s="29" t="n"/>
      <c r="AB880" s="29" t="n"/>
      <c r="AC880" s="29" t="n"/>
      <c r="AD880" s="29" t="n"/>
      <c r="AE880" s="29" t="n"/>
      <c r="AF880" s="29" t="n"/>
      <c r="AG880" s="29" t="n"/>
      <c r="AH880" s="29" t="n"/>
      <c r="AI880" s="29" t="n"/>
    </row>
    <row r="881"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29" t="n"/>
      <c r="W881" s="29" t="n"/>
      <c r="X881" s="29" t="n"/>
      <c r="Y881" s="29" t="n"/>
      <c r="Z881" s="29" t="n"/>
      <c r="AA881" s="29" t="n"/>
      <c r="AB881" s="29" t="n"/>
      <c r="AC881" s="29" t="n"/>
      <c r="AD881" s="29" t="n"/>
      <c r="AE881" s="29" t="n"/>
      <c r="AF881" s="29" t="n"/>
      <c r="AG881" s="29" t="n"/>
      <c r="AH881" s="29" t="n"/>
      <c r="AI881" s="29" t="n"/>
    </row>
    <row r="882"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29" t="n"/>
      <c r="W882" s="29" t="n"/>
      <c r="X882" s="29" t="n"/>
      <c r="Y882" s="29" t="n"/>
      <c r="Z882" s="29" t="n"/>
      <c r="AA882" s="29" t="n"/>
      <c r="AB882" s="29" t="n"/>
      <c r="AC882" s="29" t="n"/>
      <c r="AD882" s="29" t="n"/>
      <c r="AE882" s="29" t="n"/>
      <c r="AF882" s="29" t="n"/>
      <c r="AG882" s="29" t="n"/>
      <c r="AH882" s="29" t="n"/>
      <c r="AI882" s="29" t="n"/>
    </row>
    <row r="883"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29" t="n"/>
      <c r="W883" s="29" t="n"/>
      <c r="X883" s="29" t="n"/>
      <c r="Y883" s="29" t="n"/>
      <c r="Z883" s="29" t="n"/>
      <c r="AA883" s="29" t="n"/>
      <c r="AB883" s="29" t="n"/>
      <c r="AC883" s="29" t="n"/>
      <c r="AD883" s="29" t="n"/>
      <c r="AE883" s="29" t="n"/>
      <c r="AF883" s="29" t="n"/>
      <c r="AG883" s="29" t="n"/>
      <c r="AH883" s="29" t="n"/>
      <c r="AI883" s="29" t="n"/>
    </row>
    <row r="884"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29" t="n"/>
      <c r="W884" s="29" t="n"/>
      <c r="X884" s="29" t="n"/>
      <c r="Y884" s="29" t="n"/>
      <c r="Z884" s="29" t="n"/>
      <c r="AA884" s="29" t="n"/>
      <c r="AB884" s="29" t="n"/>
      <c r="AC884" s="29" t="n"/>
      <c r="AD884" s="29" t="n"/>
      <c r="AE884" s="29" t="n"/>
      <c r="AF884" s="29" t="n"/>
      <c r="AG884" s="29" t="n"/>
      <c r="AH884" s="29" t="n"/>
      <c r="AI884" s="29" t="n"/>
    </row>
    <row r="885"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29" t="n"/>
      <c r="W885" s="29" t="n"/>
      <c r="X885" s="29" t="n"/>
      <c r="Y885" s="29" t="n"/>
      <c r="Z885" s="29" t="n"/>
      <c r="AA885" s="29" t="n"/>
      <c r="AB885" s="29" t="n"/>
      <c r="AC885" s="29" t="n"/>
      <c r="AD885" s="29" t="n"/>
      <c r="AE885" s="29" t="n"/>
      <c r="AF885" s="29" t="n"/>
      <c r="AG885" s="29" t="n"/>
      <c r="AH885" s="29" t="n"/>
      <c r="AI885" s="29" t="n"/>
    </row>
    <row r="886"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29" t="n"/>
      <c r="W886" s="29" t="n"/>
      <c r="X886" s="29" t="n"/>
      <c r="Y886" s="29" t="n"/>
      <c r="Z886" s="29" t="n"/>
      <c r="AA886" s="29" t="n"/>
      <c r="AB886" s="29" t="n"/>
      <c r="AC886" s="29" t="n"/>
      <c r="AD886" s="29" t="n"/>
      <c r="AE886" s="29" t="n"/>
      <c r="AF886" s="29" t="n"/>
      <c r="AG886" s="29" t="n"/>
      <c r="AH886" s="29" t="n"/>
      <c r="AI886" s="29" t="n"/>
    </row>
    <row r="887"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29" t="n"/>
      <c r="W887" s="29" t="n"/>
      <c r="X887" s="29" t="n"/>
      <c r="Y887" s="29" t="n"/>
      <c r="Z887" s="29" t="n"/>
      <c r="AA887" s="29" t="n"/>
      <c r="AB887" s="29" t="n"/>
      <c r="AC887" s="29" t="n"/>
      <c r="AD887" s="29" t="n"/>
      <c r="AE887" s="29" t="n"/>
      <c r="AF887" s="29" t="n"/>
      <c r="AG887" s="29" t="n"/>
      <c r="AH887" s="29" t="n"/>
      <c r="AI887" s="29" t="n"/>
    </row>
    <row r="888"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29" t="n"/>
      <c r="W888" s="29" t="n"/>
      <c r="X888" s="29" t="n"/>
      <c r="Y888" s="29" t="n"/>
      <c r="Z888" s="29" t="n"/>
      <c r="AA888" s="29" t="n"/>
      <c r="AB888" s="29" t="n"/>
      <c r="AC888" s="29" t="n"/>
      <c r="AD888" s="29" t="n"/>
      <c r="AE888" s="29" t="n"/>
      <c r="AF888" s="29" t="n"/>
      <c r="AG888" s="29" t="n"/>
      <c r="AH888" s="29" t="n"/>
      <c r="AI888" s="29" t="n"/>
    </row>
    <row r="889"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29" t="n"/>
      <c r="W889" s="29" t="n"/>
      <c r="X889" s="29" t="n"/>
      <c r="Y889" s="29" t="n"/>
      <c r="Z889" s="29" t="n"/>
      <c r="AA889" s="29" t="n"/>
      <c r="AB889" s="29" t="n"/>
      <c r="AC889" s="29" t="n"/>
      <c r="AD889" s="29" t="n"/>
      <c r="AE889" s="29" t="n"/>
      <c r="AF889" s="29" t="n"/>
      <c r="AG889" s="29" t="n"/>
      <c r="AH889" s="29" t="n"/>
      <c r="AI889" s="29" t="n"/>
    </row>
    <row r="890"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29" t="n"/>
      <c r="W890" s="29" t="n"/>
      <c r="X890" s="29" t="n"/>
      <c r="Y890" s="29" t="n"/>
      <c r="Z890" s="29" t="n"/>
      <c r="AA890" s="29" t="n"/>
      <c r="AB890" s="29" t="n"/>
      <c r="AC890" s="29" t="n"/>
      <c r="AD890" s="29" t="n"/>
      <c r="AE890" s="29" t="n"/>
      <c r="AF890" s="29" t="n"/>
      <c r="AG890" s="29" t="n"/>
      <c r="AH890" s="29" t="n"/>
      <c r="AI890" s="29" t="n"/>
    </row>
    <row r="891"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29" t="n"/>
      <c r="W891" s="29" t="n"/>
      <c r="X891" s="29" t="n"/>
      <c r="Y891" s="29" t="n"/>
      <c r="Z891" s="29" t="n"/>
      <c r="AA891" s="29" t="n"/>
      <c r="AB891" s="29" t="n"/>
      <c r="AC891" s="29" t="n"/>
      <c r="AD891" s="29" t="n"/>
      <c r="AE891" s="29" t="n"/>
      <c r="AF891" s="29" t="n"/>
      <c r="AG891" s="29" t="n"/>
      <c r="AH891" s="29" t="n"/>
      <c r="AI891" s="29" t="n"/>
    </row>
    <row r="892"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29" t="n"/>
      <c r="W892" s="29" t="n"/>
      <c r="X892" s="29" t="n"/>
      <c r="Y892" s="29" t="n"/>
      <c r="Z892" s="29" t="n"/>
      <c r="AA892" s="29" t="n"/>
      <c r="AB892" s="29" t="n"/>
      <c r="AC892" s="29" t="n"/>
      <c r="AD892" s="29" t="n"/>
      <c r="AE892" s="29" t="n"/>
      <c r="AF892" s="29" t="n"/>
      <c r="AG892" s="29" t="n"/>
      <c r="AH892" s="29" t="n"/>
      <c r="AI892" s="29" t="n"/>
    </row>
    <row r="893"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29" t="n"/>
      <c r="W893" s="29" t="n"/>
      <c r="X893" s="29" t="n"/>
      <c r="Y893" s="29" t="n"/>
      <c r="Z893" s="29" t="n"/>
      <c r="AA893" s="29" t="n"/>
      <c r="AB893" s="29" t="n"/>
      <c r="AC893" s="29" t="n"/>
      <c r="AD893" s="29" t="n"/>
      <c r="AE893" s="29" t="n"/>
      <c r="AF893" s="29" t="n"/>
      <c r="AG893" s="29" t="n"/>
      <c r="AH893" s="29" t="n"/>
      <c r="AI893" s="29" t="n"/>
    </row>
    <row r="894"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29" t="n"/>
      <c r="W894" s="29" t="n"/>
      <c r="X894" s="29" t="n"/>
      <c r="Y894" s="29" t="n"/>
      <c r="Z894" s="29" t="n"/>
      <c r="AA894" s="29" t="n"/>
      <c r="AB894" s="29" t="n"/>
      <c r="AC894" s="29" t="n"/>
      <c r="AD894" s="29" t="n"/>
      <c r="AE894" s="29" t="n"/>
      <c r="AF894" s="29" t="n"/>
      <c r="AG894" s="29" t="n"/>
      <c r="AH894" s="29" t="n"/>
      <c r="AI894" s="29" t="n"/>
    </row>
    <row r="895"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29" t="n"/>
      <c r="W895" s="29" t="n"/>
      <c r="X895" s="29" t="n"/>
      <c r="Y895" s="29" t="n"/>
      <c r="Z895" s="29" t="n"/>
      <c r="AA895" s="29" t="n"/>
      <c r="AB895" s="29" t="n"/>
      <c r="AC895" s="29" t="n"/>
      <c r="AD895" s="29" t="n"/>
      <c r="AE895" s="29" t="n"/>
      <c r="AF895" s="29" t="n"/>
      <c r="AG895" s="29" t="n"/>
      <c r="AH895" s="29" t="n"/>
      <c r="AI895" s="29" t="n"/>
    </row>
    <row r="896"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29" t="n"/>
      <c r="W896" s="29" t="n"/>
      <c r="X896" s="29" t="n"/>
      <c r="Y896" s="29" t="n"/>
      <c r="Z896" s="29" t="n"/>
      <c r="AA896" s="29" t="n"/>
      <c r="AB896" s="29" t="n"/>
      <c r="AC896" s="29" t="n"/>
      <c r="AD896" s="29" t="n"/>
      <c r="AE896" s="29" t="n"/>
      <c r="AF896" s="29" t="n"/>
      <c r="AG896" s="29" t="n"/>
      <c r="AH896" s="29" t="n"/>
      <c r="AI896" s="29" t="n"/>
    </row>
    <row r="897"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29" t="n"/>
      <c r="W897" s="29" t="n"/>
      <c r="X897" s="29" t="n"/>
      <c r="Y897" s="29" t="n"/>
      <c r="Z897" s="29" t="n"/>
      <c r="AA897" s="29" t="n"/>
      <c r="AB897" s="29" t="n"/>
      <c r="AC897" s="29" t="n"/>
      <c r="AD897" s="29" t="n"/>
      <c r="AE897" s="29" t="n"/>
      <c r="AF897" s="29" t="n"/>
      <c r="AG897" s="29" t="n"/>
      <c r="AH897" s="29" t="n"/>
      <c r="AI897" s="29" t="n"/>
    </row>
    <row r="898"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29" t="n"/>
      <c r="W898" s="29" t="n"/>
      <c r="X898" s="29" t="n"/>
      <c r="Y898" s="29" t="n"/>
      <c r="Z898" s="29" t="n"/>
      <c r="AA898" s="29" t="n"/>
      <c r="AB898" s="29" t="n"/>
      <c r="AC898" s="29" t="n"/>
      <c r="AD898" s="29" t="n"/>
      <c r="AE898" s="29" t="n"/>
      <c r="AF898" s="29" t="n"/>
      <c r="AG898" s="29" t="n"/>
      <c r="AH898" s="29" t="n"/>
      <c r="AI898" s="29" t="n"/>
    </row>
    <row r="899"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29" t="n"/>
      <c r="W899" s="29" t="n"/>
      <c r="X899" s="29" t="n"/>
      <c r="Y899" s="29" t="n"/>
      <c r="Z899" s="29" t="n"/>
      <c r="AA899" s="29" t="n"/>
      <c r="AB899" s="29" t="n"/>
      <c r="AC899" s="29" t="n"/>
      <c r="AD899" s="29" t="n"/>
      <c r="AE899" s="29" t="n"/>
      <c r="AF899" s="29" t="n"/>
      <c r="AG899" s="29" t="n"/>
      <c r="AH899" s="29" t="n"/>
      <c r="AI899" s="29" t="n"/>
    </row>
    <row r="900"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29" t="n"/>
      <c r="W900" s="29" t="n"/>
      <c r="X900" s="29" t="n"/>
      <c r="Y900" s="29" t="n"/>
      <c r="Z900" s="29" t="n"/>
      <c r="AA900" s="29" t="n"/>
      <c r="AB900" s="29" t="n"/>
      <c r="AC900" s="29" t="n"/>
      <c r="AD900" s="29" t="n"/>
      <c r="AE900" s="29" t="n"/>
      <c r="AF900" s="29" t="n"/>
      <c r="AG900" s="29" t="n"/>
      <c r="AH900" s="29" t="n"/>
      <c r="AI900" s="29" t="n"/>
    </row>
    <row r="901"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29" t="n"/>
      <c r="W901" s="29" t="n"/>
      <c r="X901" s="29" t="n"/>
      <c r="Y901" s="29" t="n"/>
      <c r="Z901" s="29" t="n"/>
      <c r="AA901" s="29" t="n"/>
      <c r="AB901" s="29" t="n"/>
      <c r="AC901" s="29" t="n"/>
      <c r="AD901" s="29" t="n"/>
      <c r="AE901" s="29" t="n"/>
      <c r="AF901" s="29" t="n"/>
      <c r="AG901" s="29" t="n"/>
      <c r="AH901" s="29" t="n"/>
      <c r="AI901" s="29" t="n"/>
    </row>
    <row r="902"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29" t="n"/>
      <c r="W902" s="29" t="n"/>
      <c r="X902" s="29" t="n"/>
      <c r="Y902" s="29" t="n"/>
      <c r="Z902" s="29" t="n"/>
      <c r="AA902" s="29" t="n"/>
      <c r="AB902" s="29" t="n"/>
      <c r="AC902" s="29" t="n"/>
      <c r="AD902" s="29" t="n"/>
      <c r="AE902" s="29" t="n"/>
      <c r="AF902" s="29" t="n"/>
      <c r="AG902" s="29" t="n"/>
      <c r="AH902" s="29" t="n"/>
      <c r="AI902" s="29" t="n"/>
    </row>
    <row r="903"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29" t="n"/>
      <c r="W903" s="29" t="n"/>
      <c r="X903" s="29" t="n"/>
      <c r="Y903" s="29" t="n"/>
      <c r="Z903" s="29" t="n"/>
      <c r="AA903" s="29" t="n"/>
      <c r="AB903" s="29" t="n"/>
      <c r="AC903" s="29" t="n"/>
      <c r="AD903" s="29" t="n"/>
      <c r="AE903" s="29" t="n"/>
      <c r="AF903" s="29" t="n"/>
      <c r="AG903" s="29" t="n"/>
      <c r="AH903" s="29" t="n"/>
      <c r="AI903" s="29" t="n"/>
    </row>
    <row r="904"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29" t="n"/>
      <c r="W904" s="29" t="n"/>
      <c r="X904" s="29" t="n"/>
      <c r="Y904" s="29" t="n"/>
      <c r="Z904" s="29" t="n"/>
      <c r="AA904" s="29" t="n"/>
      <c r="AB904" s="29" t="n"/>
      <c r="AC904" s="29" t="n"/>
      <c r="AD904" s="29" t="n"/>
      <c r="AE904" s="29" t="n"/>
      <c r="AF904" s="29" t="n"/>
      <c r="AG904" s="29" t="n"/>
      <c r="AH904" s="29" t="n"/>
      <c r="AI904" s="29" t="n"/>
    </row>
    <row r="905"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29" t="n"/>
      <c r="W905" s="29" t="n"/>
      <c r="X905" s="29" t="n"/>
      <c r="Y905" s="29" t="n"/>
      <c r="Z905" s="29" t="n"/>
      <c r="AA905" s="29" t="n"/>
      <c r="AB905" s="29" t="n"/>
      <c r="AC905" s="29" t="n"/>
      <c r="AD905" s="29" t="n"/>
      <c r="AE905" s="29" t="n"/>
      <c r="AF905" s="29" t="n"/>
      <c r="AG905" s="29" t="n"/>
      <c r="AH905" s="29" t="n"/>
      <c r="AI905" s="29" t="n"/>
    </row>
    <row r="906"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29" t="n"/>
      <c r="W906" s="29" t="n"/>
      <c r="X906" s="29" t="n"/>
      <c r="Y906" s="29" t="n"/>
      <c r="Z906" s="29" t="n"/>
      <c r="AA906" s="29" t="n"/>
      <c r="AB906" s="29" t="n"/>
      <c r="AC906" s="29" t="n"/>
      <c r="AD906" s="29" t="n"/>
      <c r="AE906" s="29" t="n"/>
      <c r="AF906" s="29" t="n"/>
      <c r="AG906" s="29" t="n"/>
      <c r="AH906" s="29" t="n"/>
      <c r="AI906" s="29" t="n"/>
    </row>
    <row r="907"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29" t="n"/>
      <c r="W907" s="29" t="n"/>
      <c r="X907" s="29" t="n"/>
      <c r="Y907" s="29" t="n"/>
      <c r="Z907" s="29" t="n"/>
      <c r="AA907" s="29" t="n"/>
      <c r="AB907" s="29" t="n"/>
      <c r="AC907" s="29" t="n"/>
      <c r="AD907" s="29" t="n"/>
      <c r="AE907" s="29" t="n"/>
      <c r="AF907" s="29" t="n"/>
      <c r="AG907" s="29" t="n"/>
      <c r="AH907" s="29" t="n"/>
      <c r="AI907" s="29" t="n"/>
    </row>
    <row r="908"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29" t="n"/>
      <c r="W908" s="29" t="n"/>
      <c r="X908" s="29" t="n"/>
      <c r="Y908" s="29" t="n"/>
      <c r="Z908" s="29" t="n"/>
      <c r="AA908" s="29" t="n"/>
      <c r="AB908" s="29" t="n"/>
      <c r="AC908" s="29" t="n"/>
      <c r="AD908" s="29" t="n"/>
      <c r="AE908" s="29" t="n"/>
      <c r="AF908" s="29" t="n"/>
      <c r="AG908" s="29" t="n"/>
      <c r="AH908" s="29" t="n"/>
      <c r="AI908" s="29" t="n"/>
    </row>
    <row r="909"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29" t="n"/>
      <c r="W909" s="29" t="n"/>
      <c r="X909" s="29" t="n"/>
      <c r="Y909" s="29" t="n"/>
      <c r="Z909" s="29" t="n"/>
      <c r="AA909" s="29" t="n"/>
      <c r="AB909" s="29" t="n"/>
      <c r="AC909" s="29" t="n"/>
      <c r="AD909" s="29" t="n"/>
      <c r="AE909" s="29" t="n"/>
      <c r="AF909" s="29" t="n"/>
      <c r="AG909" s="29" t="n"/>
      <c r="AH909" s="29" t="n"/>
      <c r="AI909" s="29" t="n"/>
    </row>
    <row r="910"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29" t="n"/>
      <c r="W910" s="29" t="n"/>
      <c r="X910" s="29" t="n"/>
      <c r="Y910" s="29" t="n"/>
      <c r="Z910" s="29" t="n"/>
      <c r="AA910" s="29" t="n"/>
      <c r="AB910" s="29" t="n"/>
      <c r="AC910" s="29" t="n"/>
      <c r="AD910" s="29" t="n"/>
      <c r="AE910" s="29" t="n"/>
      <c r="AF910" s="29" t="n"/>
      <c r="AG910" s="29" t="n"/>
      <c r="AH910" s="29" t="n"/>
      <c r="AI910" s="29" t="n"/>
    </row>
    <row r="911"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29" t="n"/>
      <c r="W911" s="29" t="n"/>
      <c r="X911" s="29" t="n"/>
      <c r="Y911" s="29" t="n"/>
      <c r="Z911" s="29" t="n"/>
      <c r="AA911" s="29" t="n"/>
      <c r="AB911" s="29" t="n"/>
      <c r="AC911" s="29" t="n"/>
      <c r="AD911" s="29" t="n"/>
      <c r="AE911" s="29" t="n"/>
      <c r="AF911" s="29" t="n"/>
      <c r="AG911" s="29" t="n"/>
      <c r="AH911" s="29" t="n"/>
      <c r="AI911" s="29" t="n"/>
    </row>
    <row r="912"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29" t="n"/>
      <c r="W912" s="29" t="n"/>
      <c r="X912" s="29" t="n"/>
      <c r="Y912" s="29" t="n"/>
      <c r="Z912" s="29" t="n"/>
      <c r="AA912" s="29" t="n"/>
      <c r="AB912" s="29" t="n"/>
      <c r="AC912" s="29" t="n"/>
      <c r="AD912" s="29" t="n"/>
      <c r="AE912" s="29" t="n"/>
      <c r="AF912" s="29" t="n"/>
      <c r="AG912" s="29" t="n"/>
      <c r="AH912" s="29" t="n"/>
      <c r="AI912" s="29" t="n"/>
    </row>
    <row r="913"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29" t="n"/>
      <c r="W913" s="29" t="n"/>
      <c r="X913" s="29" t="n"/>
      <c r="Y913" s="29" t="n"/>
      <c r="Z913" s="29" t="n"/>
      <c r="AA913" s="29" t="n"/>
      <c r="AB913" s="29" t="n"/>
      <c r="AC913" s="29" t="n"/>
      <c r="AD913" s="29" t="n"/>
      <c r="AE913" s="29" t="n"/>
      <c r="AF913" s="29" t="n"/>
      <c r="AG913" s="29" t="n"/>
      <c r="AH913" s="29" t="n"/>
      <c r="AI913" s="29" t="n"/>
    </row>
    <row r="914"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29" t="n"/>
      <c r="W914" s="29" t="n"/>
      <c r="X914" s="29" t="n"/>
      <c r="Y914" s="29" t="n"/>
      <c r="Z914" s="29" t="n"/>
      <c r="AA914" s="29" t="n"/>
      <c r="AB914" s="29" t="n"/>
      <c r="AC914" s="29" t="n"/>
      <c r="AD914" s="29" t="n"/>
      <c r="AE914" s="29" t="n"/>
      <c r="AF914" s="29" t="n"/>
      <c r="AG914" s="29" t="n"/>
      <c r="AH914" s="29" t="n"/>
      <c r="AI914" s="29" t="n"/>
    </row>
    <row r="915"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29" t="n"/>
      <c r="W915" s="29" t="n"/>
      <c r="X915" s="29" t="n"/>
      <c r="Y915" s="29" t="n"/>
      <c r="Z915" s="29" t="n"/>
      <c r="AA915" s="29" t="n"/>
      <c r="AB915" s="29" t="n"/>
      <c r="AC915" s="29" t="n"/>
      <c r="AD915" s="29" t="n"/>
      <c r="AE915" s="29" t="n"/>
      <c r="AF915" s="29" t="n"/>
      <c r="AG915" s="29" t="n"/>
      <c r="AH915" s="29" t="n"/>
      <c r="AI915" s="29" t="n"/>
    </row>
    <row r="916"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29" t="n"/>
      <c r="W916" s="29" t="n"/>
      <c r="X916" s="29" t="n"/>
      <c r="Y916" s="29" t="n"/>
      <c r="Z916" s="29" t="n"/>
      <c r="AA916" s="29" t="n"/>
      <c r="AB916" s="29" t="n"/>
      <c r="AC916" s="29" t="n"/>
      <c r="AD916" s="29" t="n"/>
      <c r="AE916" s="29" t="n"/>
      <c r="AF916" s="29" t="n"/>
      <c r="AG916" s="29" t="n"/>
      <c r="AH916" s="29" t="n"/>
      <c r="AI916" s="29" t="n"/>
    </row>
    <row r="917"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29" t="n"/>
      <c r="W917" s="29" t="n"/>
      <c r="X917" s="29" t="n"/>
      <c r="Y917" s="29" t="n"/>
      <c r="Z917" s="29" t="n"/>
      <c r="AA917" s="29" t="n"/>
      <c r="AB917" s="29" t="n"/>
      <c r="AC917" s="29" t="n"/>
      <c r="AD917" s="29" t="n"/>
      <c r="AE917" s="29" t="n"/>
      <c r="AF917" s="29" t="n"/>
      <c r="AG917" s="29" t="n"/>
      <c r="AH917" s="29" t="n"/>
      <c r="AI917" s="29" t="n"/>
    </row>
    <row r="918"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29" t="n"/>
      <c r="W918" s="29" t="n"/>
      <c r="X918" s="29" t="n"/>
      <c r="Y918" s="29" t="n"/>
      <c r="Z918" s="29" t="n"/>
      <c r="AA918" s="29" t="n"/>
      <c r="AB918" s="29" t="n"/>
      <c r="AC918" s="29" t="n"/>
      <c r="AD918" s="29" t="n"/>
      <c r="AE918" s="29" t="n"/>
      <c r="AF918" s="29" t="n"/>
      <c r="AG918" s="29" t="n"/>
      <c r="AH918" s="29" t="n"/>
      <c r="AI918" s="29" t="n"/>
    </row>
    <row r="919"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29" t="n"/>
      <c r="W919" s="29" t="n"/>
      <c r="X919" s="29" t="n"/>
      <c r="Y919" s="29" t="n"/>
      <c r="Z919" s="29" t="n"/>
      <c r="AA919" s="29" t="n"/>
      <c r="AB919" s="29" t="n"/>
      <c r="AC919" s="29" t="n"/>
      <c r="AD919" s="29" t="n"/>
      <c r="AE919" s="29" t="n"/>
      <c r="AF919" s="29" t="n"/>
      <c r="AG919" s="29" t="n"/>
      <c r="AH919" s="29" t="n"/>
      <c r="AI919" s="29" t="n"/>
    </row>
    <row r="920"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29" t="n"/>
      <c r="W920" s="29" t="n"/>
      <c r="X920" s="29" t="n"/>
      <c r="Y920" s="29" t="n"/>
      <c r="Z920" s="29" t="n"/>
      <c r="AA920" s="29" t="n"/>
      <c r="AB920" s="29" t="n"/>
      <c r="AC920" s="29" t="n"/>
      <c r="AD920" s="29" t="n"/>
      <c r="AE920" s="29" t="n"/>
      <c r="AF920" s="29" t="n"/>
      <c r="AG920" s="29" t="n"/>
      <c r="AH920" s="29" t="n"/>
      <c r="AI920" s="29" t="n"/>
    </row>
    <row r="921"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29" t="n"/>
      <c r="W921" s="29" t="n"/>
      <c r="X921" s="29" t="n"/>
      <c r="Y921" s="29" t="n"/>
      <c r="Z921" s="29" t="n"/>
      <c r="AA921" s="29" t="n"/>
      <c r="AB921" s="29" t="n"/>
      <c r="AC921" s="29" t="n"/>
      <c r="AD921" s="29" t="n"/>
      <c r="AE921" s="29" t="n"/>
      <c r="AF921" s="29" t="n"/>
      <c r="AG921" s="29" t="n"/>
      <c r="AH921" s="29" t="n"/>
      <c r="AI921" s="29" t="n"/>
    </row>
    <row r="922"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29" t="n"/>
      <c r="W922" s="29" t="n"/>
      <c r="X922" s="29" t="n"/>
      <c r="Y922" s="29" t="n"/>
      <c r="Z922" s="29" t="n"/>
      <c r="AA922" s="29" t="n"/>
      <c r="AB922" s="29" t="n"/>
      <c r="AC922" s="29" t="n"/>
      <c r="AD922" s="29" t="n"/>
      <c r="AE922" s="29" t="n"/>
      <c r="AF922" s="29" t="n"/>
      <c r="AG922" s="29" t="n"/>
      <c r="AH922" s="29" t="n"/>
      <c r="AI922" s="29" t="n"/>
    </row>
    <row r="923"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29" t="n"/>
      <c r="W923" s="29" t="n"/>
      <c r="X923" s="29" t="n"/>
      <c r="Y923" s="29" t="n"/>
      <c r="Z923" s="29" t="n"/>
      <c r="AA923" s="29" t="n"/>
      <c r="AB923" s="29" t="n"/>
      <c r="AC923" s="29" t="n"/>
      <c r="AD923" s="29" t="n"/>
      <c r="AE923" s="29" t="n"/>
      <c r="AF923" s="29" t="n"/>
      <c r="AG923" s="29" t="n"/>
      <c r="AH923" s="29" t="n"/>
      <c r="AI923" s="29" t="n"/>
    </row>
    <row r="924"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29" t="n"/>
      <c r="W924" s="29" t="n"/>
      <c r="X924" s="29" t="n"/>
      <c r="Y924" s="29" t="n"/>
      <c r="Z924" s="29" t="n"/>
      <c r="AA924" s="29" t="n"/>
      <c r="AB924" s="29" t="n"/>
      <c r="AC924" s="29" t="n"/>
      <c r="AD924" s="29" t="n"/>
      <c r="AE924" s="29" t="n"/>
      <c r="AF924" s="29" t="n"/>
      <c r="AG924" s="29" t="n"/>
      <c r="AH924" s="29" t="n"/>
      <c r="AI924" s="29" t="n"/>
    </row>
    <row r="925"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29" t="n"/>
      <c r="W925" s="29" t="n"/>
      <c r="X925" s="29" t="n"/>
      <c r="Y925" s="29" t="n"/>
      <c r="Z925" s="29" t="n"/>
      <c r="AA925" s="29" t="n"/>
      <c r="AB925" s="29" t="n"/>
      <c r="AC925" s="29" t="n"/>
      <c r="AD925" s="29" t="n"/>
      <c r="AE925" s="29" t="n"/>
      <c r="AF925" s="29" t="n"/>
      <c r="AG925" s="29" t="n"/>
      <c r="AH925" s="29" t="n"/>
      <c r="AI925" s="29" t="n"/>
    </row>
    <row r="926"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29" t="n"/>
      <c r="W926" s="29" t="n"/>
      <c r="X926" s="29" t="n"/>
      <c r="Y926" s="29" t="n"/>
      <c r="Z926" s="29" t="n"/>
      <c r="AA926" s="29" t="n"/>
      <c r="AB926" s="29" t="n"/>
      <c r="AC926" s="29" t="n"/>
      <c r="AD926" s="29" t="n"/>
      <c r="AE926" s="29" t="n"/>
      <c r="AF926" s="29" t="n"/>
      <c r="AG926" s="29" t="n"/>
      <c r="AH926" s="29" t="n"/>
      <c r="AI926" s="29" t="n"/>
    </row>
    <row r="927"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29" t="n"/>
      <c r="W927" s="29" t="n"/>
      <c r="X927" s="29" t="n"/>
      <c r="Y927" s="29" t="n"/>
      <c r="Z927" s="29" t="n"/>
      <c r="AA927" s="29" t="n"/>
      <c r="AB927" s="29" t="n"/>
      <c r="AC927" s="29" t="n"/>
      <c r="AD927" s="29" t="n"/>
      <c r="AE927" s="29" t="n"/>
      <c r="AF927" s="29" t="n"/>
      <c r="AG927" s="29" t="n"/>
      <c r="AH927" s="29" t="n"/>
      <c r="AI927" s="29" t="n"/>
    </row>
    <row r="928"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29" t="n"/>
      <c r="W928" s="29" t="n"/>
      <c r="X928" s="29" t="n"/>
      <c r="Y928" s="29" t="n"/>
      <c r="Z928" s="29" t="n"/>
      <c r="AA928" s="29" t="n"/>
      <c r="AB928" s="29" t="n"/>
      <c r="AC928" s="29" t="n"/>
      <c r="AD928" s="29" t="n"/>
      <c r="AE928" s="29" t="n"/>
      <c r="AF928" s="29" t="n"/>
      <c r="AG928" s="29" t="n"/>
      <c r="AH928" s="29" t="n"/>
      <c r="AI928" s="29" t="n"/>
    </row>
    <row r="929"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29" t="n"/>
      <c r="W929" s="29" t="n"/>
      <c r="X929" s="29" t="n"/>
      <c r="Y929" s="29" t="n"/>
      <c r="Z929" s="29" t="n"/>
      <c r="AA929" s="29" t="n"/>
      <c r="AB929" s="29" t="n"/>
      <c r="AC929" s="29" t="n"/>
      <c r="AD929" s="29" t="n"/>
      <c r="AE929" s="29" t="n"/>
      <c r="AF929" s="29" t="n"/>
      <c r="AG929" s="29" t="n"/>
      <c r="AH929" s="29" t="n"/>
      <c r="AI929" s="29" t="n"/>
    </row>
    <row r="930"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29" t="n"/>
      <c r="W930" s="29" t="n"/>
      <c r="X930" s="29" t="n"/>
      <c r="Y930" s="29" t="n"/>
      <c r="Z930" s="29" t="n"/>
      <c r="AA930" s="29" t="n"/>
      <c r="AB930" s="29" t="n"/>
      <c r="AC930" s="29" t="n"/>
      <c r="AD930" s="29" t="n"/>
      <c r="AE930" s="29" t="n"/>
      <c r="AF930" s="29" t="n"/>
      <c r="AG930" s="29" t="n"/>
      <c r="AH930" s="29" t="n"/>
      <c r="AI930" s="29" t="n"/>
    </row>
    <row r="931"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29" t="n"/>
      <c r="W931" s="29" t="n"/>
      <c r="X931" s="29" t="n"/>
      <c r="Y931" s="29" t="n"/>
      <c r="Z931" s="29" t="n"/>
      <c r="AA931" s="29" t="n"/>
      <c r="AB931" s="29" t="n"/>
      <c r="AC931" s="29" t="n"/>
      <c r="AD931" s="29" t="n"/>
      <c r="AE931" s="29" t="n"/>
      <c r="AF931" s="29" t="n"/>
      <c r="AG931" s="29" t="n"/>
      <c r="AH931" s="29" t="n"/>
      <c r="AI931" s="29" t="n"/>
    </row>
    <row r="932"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29" t="n"/>
      <c r="W932" s="29" t="n"/>
      <c r="X932" s="29" t="n"/>
      <c r="Y932" s="29" t="n"/>
      <c r="Z932" s="29" t="n"/>
      <c r="AA932" s="29" t="n"/>
      <c r="AB932" s="29" t="n"/>
      <c r="AC932" s="29" t="n"/>
      <c r="AD932" s="29" t="n"/>
      <c r="AE932" s="29" t="n"/>
      <c r="AF932" s="29" t="n"/>
      <c r="AG932" s="29" t="n"/>
      <c r="AH932" s="29" t="n"/>
      <c r="AI932" s="29" t="n"/>
    </row>
    <row r="933"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29" t="n"/>
      <c r="W933" s="29" t="n"/>
      <c r="X933" s="29" t="n"/>
      <c r="Y933" s="29" t="n"/>
      <c r="Z933" s="29" t="n"/>
      <c r="AA933" s="29" t="n"/>
      <c r="AB933" s="29" t="n"/>
      <c r="AC933" s="29" t="n"/>
      <c r="AD933" s="29" t="n"/>
      <c r="AE933" s="29" t="n"/>
      <c r="AF933" s="29" t="n"/>
      <c r="AG933" s="29" t="n"/>
      <c r="AH933" s="29" t="n"/>
      <c r="AI933" s="29" t="n"/>
    </row>
    <row r="934"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29" t="n"/>
      <c r="W934" s="29" t="n"/>
      <c r="X934" s="29" t="n"/>
      <c r="Y934" s="29" t="n"/>
      <c r="Z934" s="29" t="n"/>
      <c r="AA934" s="29" t="n"/>
      <c r="AB934" s="29" t="n"/>
      <c r="AC934" s="29" t="n"/>
      <c r="AD934" s="29" t="n"/>
      <c r="AE934" s="29" t="n"/>
      <c r="AF934" s="29" t="n"/>
      <c r="AG934" s="29" t="n"/>
      <c r="AH934" s="29" t="n"/>
      <c r="AI934" s="29" t="n"/>
    </row>
    <row r="935"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29" t="n"/>
      <c r="W935" s="29" t="n"/>
      <c r="X935" s="29" t="n"/>
      <c r="Y935" s="29" t="n"/>
      <c r="Z935" s="29" t="n"/>
      <c r="AA935" s="29" t="n"/>
      <c r="AB935" s="29" t="n"/>
      <c r="AC935" s="29" t="n"/>
      <c r="AD935" s="29" t="n"/>
      <c r="AE935" s="29" t="n"/>
      <c r="AF935" s="29" t="n"/>
      <c r="AG935" s="29" t="n"/>
      <c r="AH935" s="29" t="n"/>
      <c r="AI935" s="29" t="n"/>
    </row>
    <row r="936"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29" t="n"/>
      <c r="W936" s="29" t="n"/>
      <c r="X936" s="29" t="n"/>
      <c r="Y936" s="29" t="n"/>
      <c r="Z936" s="29" t="n"/>
      <c r="AA936" s="29" t="n"/>
      <c r="AB936" s="29" t="n"/>
      <c r="AC936" s="29" t="n"/>
      <c r="AD936" s="29" t="n"/>
      <c r="AE936" s="29" t="n"/>
      <c r="AF936" s="29" t="n"/>
      <c r="AG936" s="29" t="n"/>
      <c r="AH936" s="29" t="n"/>
      <c r="AI936" s="29" t="n"/>
    </row>
    <row r="937"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29" t="n"/>
      <c r="W937" s="29" t="n"/>
      <c r="X937" s="29" t="n"/>
      <c r="Y937" s="29" t="n"/>
      <c r="Z937" s="29" t="n"/>
      <c r="AA937" s="29" t="n"/>
      <c r="AB937" s="29" t="n"/>
      <c r="AC937" s="29" t="n"/>
      <c r="AD937" s="29" t="n"/>
      <c r="AE937" s="29" t="n"/>
      <c r="AF937" s="29" t="n"/>
      <c r="AG937" s="29" t="n"/>
      <c r="AH937" s="29" t="n"/>
      <c r="AI937" s="29" t="n"/>
    </row>
    <row r="938"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29" t="n"/>
      <c r="W938" s="29" t="n"/>
      <c r="X938" s="29" t="n"/>
      <c r="Y938" s="29" t="n"/>
      <c r="Z938" s="29" t="n"/>
      <c r="AA938" s="29" t="n"/>
      <c r="AB938" s="29" t="n"/>
      <c r="AC938" s="29" t="n"/>
      <c r="AD938" s="29" t="n"/>
      <c r="AE938" s="29" t="n"/>
      <c r="AF938" s="29" t="n"/>
      <c r="AG938" s="29" t="n"/>
      <c r="AH938" s="29" t="n"/>
      <c r="AI938" s="29" t="n"/>
    </row>
    <row r="939"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29" t="n"/>
      <c r="W939" s="29" t="n"/>
      <c r="X939" s="29" t="n"/>
      <c r="Y939" s="29" t="n"/>
      <c r="Z939" s="29" t="n"/>
      <c r="AA939" s="29" t="n"/>
      <c r="AB939" s="29" t="n"/>
      <c r="AC939" s="29" t="n"/>
      <c r="AD939" s="29" t="n"/>
      <c r="AE939" s="29" t="n"/>
      <c r="AF939" s="29" t="n"/>
      <c r="AG939" s="29" t="n"/>
      <c r="AH939" s="29" t="n"/>
      <c r="AI939" s="29" t="n"/>
    </row>
    <row r="940"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29" t="n"/>
      <c r="W940" s="29" t="n"/>
      <c r="X940" s="29" t="n"/>
      <c r="Y940" s="29" t="n"/>
      <c r="Z940" s="29" t="n"/>
      <c r="AA940" s="29" t="n"/>
      <c r="AB940" s="29" t="n"/>
      <c r="AC940" s="29" t="n"/>
      <c r="AD940" s="29" t="n"/>
      <c r="AE940" s="29" t="n"/>
      <c r="AF940" s="29" t="n"/>
      <c r="AG940" s="29" t="n"/>
      <c r="AH940" s="29" t="n"/>
      <c r="AI940" s="29" t="n"/>
    </row>
    <row r="941"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29" t="n"/>
      <c r="W941" s="29" t="n"/>
      <c r="X941" s="29" t="n"/>
      <c r="Y941" s="29" t="n"/>
      <c r="Z941" s="29" t="n"/>
      <c r="AA941" s="29" t="n"/>
      <c r="AB941" s="29" t="n"/>
      <c r="AC941" s="29" t="n"/>
      <c r="AD941" s="29" t="n"/>
      <c r="AE941" s="29" t="n"/>
      <c r="AF941" s="29" t="n"/>
      <c r="AG941" s="29" t="n"/>
      <c r="AH941" s="29" t="n"/>
      <c r="AI941" s="29" t="n"/>
    </row>
    <row r="942"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29" t="n"/>
      <c r="W942" s="29" t="n"/>
      <c r="X942" s="29" t="n"/>
      <c r="Y942" s="29" t="n"/>
      <c r="Z942" s="29" t="n"/>
      <c r="AA942" s="29" t="n"/>
      <c r="AB942" s="29" t="n"/>
      <c r="AC942" s="29" t="n"/>
      <c r="AD942" s="29" t="n"/>
      <c r="AE942" s="29" t="n"/>
      <c r="AF942" s="29" t="n"/>
      <c r="AG942" s="29" t="n"/>
      <c r="AH942" s="29" t="n"/>
      <c r="AI942" s="29" t="n"/>
    </row>
    <row r="943"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29" t="n"/>
      <c r="W943" s="29" t="n"/>
      <c r="X943" s="29" t="n"/>
      <c r="Y943" s="29" t="n"/>
      <c r="Z943" s="29" t="n"/>
      <c r="AA943" s="29" t="n"/>
      <c r="AB943" s="29" t="n"/>
      <c r="AC943" s="29" t="n"/>
      <c r="AD943" s="29" t="n"/>
      <c r="AE943" s="29" t="n"/>
      <c r="AF943" s="29" t="n"/>
      <c r="AG943" s="29" t="n"/>
      <c r="AH943" s="29" t="n"/>
      <c r="AI943" s="29" t="n"/>
    </row>
    <row r="944"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29" t="n"/>
      <c r="W944" s="29" t="n"/>
      <c r="X944" s="29" t="n"/>
      <c r="Y944" s="29" t="n"/>
      <c r="Z944" s="29" t="n"/>
      <c r="AA944" s="29" t="n"/>
      <c r="AB944" s="29" t="n"/>
      <c r="AC944" s="29" t="n"/>
      <c r="AD944" s="29" t="n"/>
      <c r="AE944" s="29" t="n"/>
      <c r="AF944" s="29" t="n"/>
      <c r="AG944" s="29" t="n"/>
      <c r="AH944" s="29" t="n"/>
      <c r="AI944" s="29" t="n"/>
    </row>
    <row r="945"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29" t="n"/>
      <c r="W945" s="29" t="n"/>
      <c r="X945" s="29" t="n"/>
      <c r="Y945" s="29" t="n"/>
      <c r="Z945" s="29" t="n"/>
      <c r="AA945" s="29" t="n"/>
      <c r="AB945" s="29" t="n"/>
      <c r="AC945" s="29" t="n"/>
      <c r="AD945" s="29" t="n"/>
      <c r="AE945" s="29" t="n"/>
      <c r="AF945" s="29" t="n"/>
      <c r="AG945" s="29" t="n"/>
      <c r="AH945" s="29" t="n"/>
      <c r="AI945" s="29" t="n"/>
    </row>
    <row r="946"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29" t="n"/>
      <c r="W946" s="29" t="n"/>
      <c r="X946" s="29" t="n"/>
      <c r="Y946" s="29" t="n"/>
      <c r="Z946" s="29" t="n"/>
      <c r="AA946" s="29" t="n"/>
      <c r="AB946" s="29" t="n"/>
      <c r="AC946" s="29" t="n"/>
      <c r="AD946" s="29" t="n"/>
      <c r="AE946" s="29" t="n"/>
      <c r="AF946" s="29" t="n"/>
      <c r="AG946" s="29" t="n"/>
      <c r="AH946" s="29" t="n"/>
      <c r="AI946" s="29" t="n"/>
    </row>
    <row r="947"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29" t="n"/>
      <c r="W947" s="29" t="n"/>
      <c r="X947" s="29" t="n"/>
      <c r="Y947" s="29" t="n"/>
      <c r="Z947" s="29" t="n"/>
      <c r="AA947" s="29" t="n"/>
      <c r="AB947" s="29" t="n"/>
      <c r="AC947" s="29" t="n"/>
      <c r="AD947" s="29" t="n"/>
      <c r="AE947" s="29" t="n"/>
      <c r="AF947" s="29" t="n"/>
      <c r="AG947" s="29" t="n"/>
      <c r="AH947" s="29" t="n"/>
      <c r="AI947" s="29" t="n"/>
    </row>
    <row r="948"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29" t="n"/>
      <c r="W948" s="29" t="n"/>
      <c r="X948" s="29" t="n"/>
      <c r="Y948" s="29" t="n"/>
      <c r="Z948" s="29" t="n"/>
      <c r="AA948" s="29" t="n"/>
      <c r="AB948" s="29" t="n"/>
      <c r="AC948" s="29" t="n"/>
      <c r="AD948" s="29" t="n"/>
      <c r="AE948" s="29" t="n"/>
      <c r="AF948" s="29" t="n"/>
      <c r="AG948" s="29" t="n"/>
      <c r="AH948" s="29" t="n"/>
      <c r="AI948" s="29" t="n"/>
    </row>
    <row r="949"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29" t="n"/>
      <c r="W949" s="29" t="n"/>
      <c r="X949" s="29" t="n"/>
      <c r="Y949" s="29" t="n"/>
      <c r="Z949" s="29" t="n"/>
      <c r="AA949" s="29" t="n"/>
      <c r="AB949" s="29" t="n"/>
      <c r="AC949" s="29" t="n"/>
      <c r="AD949" s="29" t="n"/>
      <c r="AE949" s="29" t="n"/>
      <c r="AF949" s="29" t="n"/>
      <c r="AG949" s="29" t="n"/>
      <c r="AH949" s="29" t="n"/>
      <c r="AI949" s="29" t="n"/>
    </row>
    <row r="950"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29" t="n"/>
      <c r="W950" s="29" t="n"/>
      <c r="X950" s="29" t="n"/>
      <c r="Y950" s="29" t="n"/>
      <c r="Z950" s="29" t="n"/>
      <c r="AA950" s="29" t="n"/>
      <c r="AB950" s="29" t="n"/>
      <c r="AC950" s="29" t="n"/>
      <c r="AD950" s="29" t="n"/>
      <c r="AE950" s="29" t="n"/>
      <c r="AF950" s="29" t="n"/>
      <c r="AG950" s="29" t="n"/>
      <c r="AH950" s="29" t="n"/>
      <c r="AI950" s="29" t="n"/>
    </row>
    <row r="951"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29" t="n"/>
      <c r="W951" s="29" t="n"/>
      <c r="X951" s="29" t="n"/>
      <c r="Y951" s="29" t="n"/>
      <c r="Z951" s="29" t="n"/>
      <c r="AA951" s="29" t="n"/>
      <c r="AB951" s="29" t="n"/>
      <c r="AC951" s="29" t="n"/>
      <c r="AD951" s="29" t="n"/>
      <c r="AE951" s="29" t="n"/>
      <c r="AF951" s="29" t="n"/>
      <c r="AG951" s="29" t="n"/>
      <c r="AH951" s="29" t="n"/>
      <c r="AI951" s="29" t="n"/>
    </row>
    <row r="952"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29" t="n"/>
      <c r="W952" s="29" t="n"/>
      <c r="X952" s="29" t="n"/>
      <c r="Y952" s="29" t="n"/>
      <c r="Z952" s="29" t="n"/>
      <c r="AA952" s="29" t="n"/>
      <c r="AB952" s="29" t="n"/>
      <c r="AC952" s="29" t="n"/>
      <c r="AD952" s="29" t="n"/>
      <c r="AE952" s="29" t="n"/>
      <c r="AF952" s="29" t="n"/>
      <c r="AG952" s="29" t="n"/>
      <c r="AH952" s="29" t="n"/>
      <c r="AI952" s="29" t="n"/>
    </row>
    <row r="953"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29" t="n"/>
      <c r="W953" s="29" t="n"/>
      <c r="X953" s="29" t="n"/>
      <c r="Y953" s="29" t="n"/>
      <c r="Z953" s="29" t="n"/>
      <c r="AA953" s="29" t="n"/>
      <c r="AB953" s="29" t="n"/>
      <c r="AC953" s="29" t="n"/>
      <c r="AD953" s="29" t="n"/>
      <c r="AE953" s="29" t="n"/>
      <c r="AF953" s="29" t="n"/>
      <c r="AG953" s="29" t="n"/>
      <c r="AH953" s="29" t="n"/>
      <c r="AI953" s="29" t="n"/>
    </row>
    <row r="954"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29" t="n"/>
      <c r="W954" s="29" t="n"/>
      <c r="X954" s="29" t="n"/>
      <c r="Y954" s="29" t="n"/>
      <c r="Z954" s="29" t="n"/>
      <c r="AA954" s="29" t="n"/>
      <c r="AB954" s="29" t="n"/>
      <c r="AC954" s="29" t="n"/>
      <c r="AD954" s="29" t="n"/>
      <c r="AE954" s="29" t="n"/>
      <c r="AF954" s="29" t="n"/>
      <c r="AG954" s="29" t="n"/>
      <c r="AH954" s="29" t="n"/>
      <c r="AI954" s="29" t="n"/>
    </row>
    <row r="955"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29" t="n"/>
      <c r="W955" s="29" t="n"/>
      <c r="X955" s="29" t="n"/>
      <c r="Y955" s="29" t="n"/>
      <c r="Z955" s="29" t="n"/>
      <c r="AA955" s="29" t="n"/>
      <c r="AB955" s="29" t="n"/>
      <c r="AC955" s="29" t="n"/>
      <c r="AD955" s="29" t="n"/>
      <c r="AE955" s="29" t="n"/>
      <c r="AF955" s="29" t="n"/>
      <c r="AG955" s="29" t="n"/>
      <c r="AH955" s="29" t="n"/>
      <c r="AI955" s="29" t="n"/>
    </row>
    <row r="956"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29" t="n"/>
      <c r="W956" s="29" t="n"/>
      <c r="X956" s="29" t="n"/>
      <c r="Y956" s="29" t="n"/>
      <c r="Z956" s="29" t="n"/>
      <c r="AA956" s="29" t="n"/>
      <c r="AB956" s="29" t="n"/>
      <c r="AC956" s="29" t="n"/>
      <c r="AD956" s="29" t="n"/>
      <c r="AE956" s="29" t="n"/>
      <c r="AF956" s="29" t="n"/>
      <c r="AG956" s="29" t="n"/>
      <c r="AH956" s="29" t="n"/>
      <c r="AI956" s="29" t="n"/>
    </row>
    <row r="957">
      <c r="L957" s="29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29" t="n"/>
      <c r="W957" s="29" t="n"/>
      <c r="X957" s="29" t="n"/>
      <c r="Y957" s="29" t="n"/>
      <c r="Z957" s="29" t="n"/>
      <c r="AA957" s="29" t="n"/>
      <c r="AB957" s="29" t="n"/>
      <c r="AC957" s="29" t="n"/>
      <c r="AD957" s="29" t="n"/>
      <c r="AE957" s="29" t="n"/>
      <c r="AF957" s="29" t="n"/>
      <c r="AG957" s="29" t="n"/>
      <c r="AH957" s="29" t="n"/>
      <c r="AI957" s="29" t="n"/>
    </row>
    <row r="958">
      <c r="L958" s="29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29" t="n"/>
      <c r="W958" s="29" t="n"/>
      <c r="X958" s="29" t="n"/>
      <c r="Y958" s="29" t="n"/>
      <c r="Z958" s="29" t="n"/>
      <c r="AA958" s="29" t="n"/>
      <c r="AB958" s="29" t="n"/>
      <c r="AC958" s="29" t="n"/>
      <c r="AD958" s="29" t="n"/>
      <c r="AE958" s="29" t="n"/>
      <c r="AF958" s="29" t="n"/>
      <c r="AG958" s="29" t="n"/>
      <c r="AH958" s="29" t="n"/>
      <c r="AI958" s="29" t="n"/>
    </row>
    <row r="959">
      <c r="L959" s="29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29" t="n"/>
      <c r="W959" s="29" t="n"/>
      <c r="X959" s="29" t="n"/>
      <c r="Y959" s="29" t="n"/>
      <c r="Z959" s="29" t="n"/>
      <c r="AA959" s="29" t="n"/>
      <c r="AB959" s="29" t="n"/>
      <c r="AC959" s="29" t="n"/>
      <c r="AD959" s="29" t="n"/>
      <c r="AE959" s="29" t="n"/>
      <c r="AF959" s="29" t="n"/>
      <c r="AG959" s="29" t="n"/>
      <c r="AH959" s="29" t="n"/>
      <c r="AI959" s="29" t="n"/>
    </row>
    <row r="960">
      <c r="L960" s="29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29" t="n"/>
      <c r="W960" s="29" t="n"/>
      <c r="X960" s="29" t="n"/>
      <c r="Y960" s="29" t="n"/>
      <c r="Z960" s="29" t="n"/>
      <c r="AA960" s="29" t="n"/>
      <c r="AB960" s="29" t="n"/>
      <c r="AC960" s="29" t="n"/>
      <c r="AD960" s="29" t="n"/>
      <c r="AE960" s="29" t="n"/>
      <c r="AF960" s="29" t="n"/>
      <c r="AG960" s="29" t="n"/>
      <c r="AH960" s="29" t="n"/>
      <c r="AI960" s="29" t="n"/>
    </row>
    <row r="961">
      <c r="L961" s="29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29" t="n"/>
      <c r="W961" s="29" t="n"/>
      <c r="X961" s="29" t="n"/>
      <c r="Y961" s="29" t="n"/>
      <c r="Z961" s="29" t="n"/>
      <c r="AA961" s="29" t="n"/>
      <c r="AB961" s="29" t="n"/>
      <c r="AC961" s="29" t="n"/>
      <c r="AD961" s="29" t="n"/>
      <c r="AE961" s="29" t="n"/>
      <c r="AF961" s="29" t="n"/>
      <c r="AG961" s="29" t="n"/>
      <c r="AH961" s="29" t="n"/>
      <c r="AI961" s="29" t="n"/>
    </row>
    <row r="962">
      <c r="L962" s="29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29" t="n"/>
      <c r="W962" s="29" t="n"/>
      <c r="X962" s="29" t="n"/>
      <c r="Y962" s="29" t="n"/>
      <c r="Z962" s="29" t="n"/>
      <c r="AA962" s="29" t="n"/>
      <c r="AB962" s="29" t="n"/>
      <c r="AC962" s="29" t="n"/>
      <c r="AD962" s="29" t="n"/>
      <c r="AE962" s="29" t="n"/>
      <c r="AF962" s="29" t="n"/>
      <c r="AG962" s="29" t="n"/>
      <c r="AH962" s="29" t="n"/>
      <c r="AI962" s="29" t="n"/>
    </row>
    <row r="963">
      <c r="L963" s="29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29" t="n"/>
      <c r="W963" s="29" t="n"/>
      <c r="X963" s="29" t="n"/>
      <c r="Y963" s="29" t="n"/>
      <c r="Z963" s="29" t="n"/>
      <c r="AA963" s="29" t="n"/>
      <c r="AB963" s="29" t="n"/>
      <c r="AC963" s="29" t="n"/>
      <c r="AD963" s="29" t="n"/>
      <c r="AE963" s="29" t="n"/>
      <c r="AF963" s="29" t="n"/>
      <c r="AG963" s="29" t="n"/>
      <c r="AH963" s="29" t="n"/>
      <c r="AI963" s="29" t="n"/>
    </row>
    <row r="964">
      <c r="L964" s="29" t="n"/>
      <c r="M964" s="29" t="n"/>
      <c r="N964" s="29" t="n"/>
      <c r="O964" s="29" t="n"/>
      <c r="P964" s="29" t="n"/>
      <c r="Q964" s="29" t="n"/>
      <c r="R964" s="29" t="n"/>
      <c r="S964" s="29" t="n"/>
      <c r="T964" s="29" t="n"/>
      <c r="U964" s="29" t="n"/>
      <c r="V964" s="29" t="n"/>
      <c r="W964" s="29" t="n"/>
      <c r="X964" s="29" t="n"/>
      <c r="Y964" s="29" t="n"/>
      <c r="Z964" s="29" t="n"/>
      <c r="AA964" s="29" t="n"/>
      <c r="AB964" s="29" t="n"/>
      <c r="AC964" s="29" t="n"/>
      <c r="AD964" s="29" t="n"/>
      <c r="AE964" s="29" t="n"/>
      <c r="AF964" s="29" t="n"/>
      <c r="AG964" s="29" t="n"/>
      <c r="AH964" s="29" t="n"/>
      <c r="AI964" s="29" t="n"/>
    </row>
    <row r="965">
      <c r="L965" s="29" t="n"/>
      <c r="M965" s="29" t="n"/>
      <c r="N965" s="29" t="n"/>
      <c r="O965" s="29" t="n"/>
      <c r="P965" s="29" t="n"/>
      <c r="Q965" s="29" t="n"/>
      <c r="R965" s="29" t="n"/>
      <c r="S965" s="29" t="n"/>
      <c r="T965" s="29" t="n"/>
      <c r="U965" s="29" t="n"/>
      <c r="V965" s="29" t="n"/>
      <c r="W965" s="29" t="n"/>
      <c r="X965" s="29" t="n"/>
      <c r="Y965" s="29" t="n"/>
      <c r="Z965" s="29" t="n"/>
      <c r="AA965" s="29" t="n"/>
      <c r="AB965" s="29" t="n"/>
      <c r="AC965" s="29" t="n"/>
      <c r="AD965" s="29" t="n"/>
      <c r="AE965" s="29" t="n"/>
      <c r="AF965" s="29" t="n"/>
      <c r="AG965" s="29" t="n"/>
      <c r="AH965" s="29" t="n"/>
      <c r="AI965" s="29" t="n"/>
    </row>
    <row r="966">
      <c r="L966" s="29" t="n"/>
      <c r="M966" s="29" t="n"/>
      <c r="N966" s="29" t="n"/>
      <c r="O966" s="29" t="n"/>
      <c r="P966" s="29" t="n"/>
      <c r="Q966" s="29" t="n"/>
      <c r="R966" s="29" t="n"/>
      <c r="S966" s="29" t="n"/>
      <c r="T966" s="29" t="n"/>
      <c r="U966" s="29" t="n"/>
      <c r="V966" s="29" t="n"/>
      <c r="W966" s="29" t="n"/>
      <c r="X966" s="29" t="n"/>
      <c r="Y966" s="29" t="n"/>
      <c r="Z966" s="29" t="n"/>
      <c r="AA966" s="29" t="n"/>
      <c r="AB966" s="29" t="n"/>
      <c r="AC966" s="29" t="n"/>
      <c r="AD966" s="29" t="n"/>
      <c r="AE966" s="29" t="n"/>
      <c r="AF966" s="29" t="n"/>
      <c r="AG966" s="29" t="n"/>
      <c r="AH966" s="29" t="n"/>
      <c r="AI966" s="29" t="n"/>
    </row>
    <row r="967">
      <c r="L967" s="29" t="n"/>
      <c r="M967" s="29" t="n"/>
      <c r="N967" s="29" t="n"/>
      <c r="O967" s="29" t="n"/>
      <c r="P967" s="29" t="n"/>
      <c r="Q967" s="29" t="n"/>
      <c r="R967" s="29" t="n"/>
      <c r="S967" s="29" t="n"/>
      <c r="T967" s="29" t="n"/>
      <c r="U967" s="29" t="n"/>
      <c r="V967" s="29" t="n"/>
      <c r="W967" s="29" t="n"/>
      <c r="X967" s="29" t="n"/>
      <c r="Y967" s="29" t="n"/>
      <c r="Z967" s="29" t="n"/>
      <c r="AA967" s="29" t="n"/>
      <c r="AB967" s="29" t="n"/>
      <c r="AC967" s="29" t="n"/>
      <c r="AD967" s="29" t="n"/>
      <c r="AE967" s="29" t="n"/>
      <c r="AF967" s="29" t="n"/>
      <c r="AG967" s="29" t="n"/>
      <c r="AH967" s="29" t="n"/>
      <c r="AI967" s="29" t="n"/>
    </row>
    <row r="968">
      <c r="L968" s="29" t="n"/>
      <c r="M968" s="29" t="n"/>
      <c r="N968" s="29" t="n"/>
      <c r="O968" s="29" t="n"/>
      <c r="P968" s="29" t="n"/>
      <c r="Q968" s="29" t="n"/>
      <c r="R968" s="29" t="n"/>
      <c r="S968" s="29" t="n"/>
      <c r="T968" s="29" t="n"/>
      <c r="U968" s="29" t="n"/>
      <c r="V968" s="29" t="n"/>
      <c r="W968" s="29" t="n"/>
      <c r="X968" s="29" t="n"/>
      <c r="Y968" s="29" t="n"/>
      <c r="Z968" s="29" t="n"/>
      <c r="AA968" s="29" t="n"/>
      <c r="AB968" s="29" t="n"/>
      <c r="AC968" s="29" t="n"/>
      <c r="AD968" s="29" t="n"/>
      <c r="AE968" s="29" t="n"/>
      <c r="AF968" s="29" t="n"/>
      <c r="AG968" s="29" t="n"/>
      <c r="AH968" s="29" t="n"/>
      <c r="AI968" s="29" t="n"/>
    </row>
    <row r="969">
      <c r="L969" s="29" t="n"/>
      <c r="M969" s="29" t="n"/>
      <c r="N969" s="29" t="n"/>
      <c r="O969" s="29" t="n"/>
      <c r="P969" s="29" t="n"/>
      <c r="Q969" s="29" t="n"/>
      <c r="R969" s="29" t="n"/>
      <c r="S969" s="29" t="n"/>
      <c r="T969" s="29" t="n"/>
      <c r="U969" s="29" t="n"/>
      <c r="V969" s="29" t="n"/>
      <c r="W969" s="29" t="n"/>
      <c r="X969" s="29" t="n"/>
      <c r="Y969" s="29" t="n"/>
      <c r="Z969" s="29" t="n"/>
      <c r="AA969" s="29" t="n"/>
      <c r="AB969" s="29" t="n"/>
      <c r="AC969" s="29" t="n"/>
      <c r="AD969" s="29" t="n"/>
      <c r="AE969" s="29" t="n"/>
      <c r="AF969" s="29" t="n"/>
      <c r="AG969" s="29" t="n"/>
      <c r="AH969" s="29" t="n"/>
      <c r="AI969" s="29" t="n"/>
    </row>
    <row r="970">
      <c r="L970" s="29" t="n"/>
      <c r="M970" s="29" t="n"/>
      <c r="N970" s="29" t="n"/>
      <c r="O970" s="29" t="n"/>
      <c r="P970" s="29" t="n"/>
      <c r="Q970" s="29" t="n"/>
      <c r="R970" s="29" t="n"/>
      <c r="S970" s="29" t="n"/>
      <c r="T970" s="29" t="n"/>
      <c r="U970" s="29" t="n"/>
      <c r="V970" s="29" t="n"/>
      <c r="W970" s="29" t="n"/>
      <c r="X970" s="29" t="n"/>
      <c r="Y970" s="29" t="n"/>
      <c r="Z970" s="29" t="n"/>
      <c r="AA970" s="29" t="n"/>
      <c r="AB970" s="29" t="n"/>
      <c r="AC970" s="29" t="n"/>
      <c r="AD970" s="29" t="n"/>
      <c r="AE970" s="29" t="n"/>
      <c r="AF970" s="29" t="n"/>
      <c r="AG970" s="29" t="n"/>
      <c r="AH970" s="29" t="n"/>
      <c r="AI970" s="29" t="n"/>
    </row>
    <row r="971">
      <c r="L971" s="29" t="n"/>
      <c r="M971" s="29" t="n"/>
      <c r="N971" s="29" t="n"/>
      <c r="O971" s="29" t="n"/>
      <c r="P971" s="29" t="n"/>
      <c r="Q971" s="29" t="n"/>
      <c r="R971" s="29" t="n"/>
      <c r="S971" s="29" t="n"/>
      <c r="T971" s="29" t="n"/>
      <c r="U971" s="29" t="n"/>
      <c r="V971" s="29" t="n"/>
      <c r="W971" s="29" t="n"/>
      <c r="X971" s="29" t="n"/>
      <c r="Y971" s="29" t="n"/>
      <c r="Z971" s="29" t="n"/>
      <c r="AA971" s="29" t="n"/>
      <c r="AB971" s="29" t="n"/>
      <c r="AC971" s="29" t="n"/>
      <c r="AD971" s="29" t="n"/>
      <c r="AE971" s="29" t="n"/>
      <c r="AF971" s="29" t="n"/>
      <c r="AG971" s="29" t="n"/>
      <c r="AH971" s="29" t="n"/>
      <c r="AI971" s="29" t="n"/>
    </row>
    <row r="972">
      <c r="L972" s="29" t="n"/>
      <c r="M972" s="29" t="n"/>
      <c r="N972" s="29" t="n"/>
      <c r="O972" s="29" t="n"/>
      <c r="P972" s="29" t="n"/>
      <c r="Q972" s="29" t="n"/>
      <c r="R972" s="29" t="n"/>
      <c r="S972" s="29" t="n"/>
      <c r="T972" s="29" t="n"/>
      <c r="U972" s="29" t="n"/>
      <c r="V972" s="29" t="n"/>
      <c r="W972" s="29" t="n"/>
      <c r="X972" s="29" t="n"/>
      <c r="Y972" s="29" t="n"/>
      <c r="Z972" s="29" t="n"/>
      <c r="AA972" s="29" t="n"/>
      <c r="AB972" s="29" t="n"/>
      <c r="AC972" s="29" t="n"/>
      <c r="AD972" s="29" t="n"/>
      <c r="AE972" s="29" t="n"/>
      <c r="AF972" s="29" t="n"/>
      <c r="AG972" s="29" t="n"/>
      <c r="AH972" s="29" t="n"/>
      <c r="AI972" s="29" t="n"/>
    </row>
    <row r="973">
      <c r="L973" s="29" t="n"/>
      <c r="M973" s="29" t="n"/>
      <c r="N973" s="29" t="n"/>
      <c r="O973" s="29" t="n"/>
      <c r="P973" s="29" t="n"/>
      <c r="Q973" s="29" t="n"/>
      <c r="R973" s="29" t="n"/>
      <c r="S973" s="29" t="n"/>
      <c r="T973" s="29" t="n"/>
      <c r="U973" s="29" t="n"/>
      <c r="V973" s="29" t="n"/>
      <c r="W973" s="29" t="n"/>
      <c r="X973" s="29" t="n"/>
      <c r="Y973" s="29" t="n"/>
      <c r="Z973" s="29" t="n"/>
      <c r="AA973" s="29" t="n"/>
      <c r="AB973" s="29" t="n"/>
      <c r="AC973" s="29" t="n"/>
      <c r="AD973" s="29" t="n"/>
      <c r="AE973" s="29" t="n"/>
      <c r="AF973" s="29" t="n"/>
      <c r="AG973" s="29" t="n"/>
      <c r="AH973" s="29" t="n"/>
      <c r="AI973" s="29" t="n"/>
    </row>
    <row r="974">
      <c r="L974" s="29" t="n"/>
      <c r="M974" s="29" t="n"/>
      <c r="N974" s="29" t="n"/>
      <c r="O974" s="29" t="n"/>
      <c r="P974" s="29" t="n"/>
      <c r="Q974" s="29" t="n"/>
      <c r="R974" s="29" t="n"/>
      <c r="S974" s="29" t="n"/>
      <c r="T974" s="29" t="n"/>
      <c r="U974" s="29" t="n"/>
      <c r="V974" s="29" t="n"/>
      <c r="W974" s="29" t="n"/>
      <c r="X974" s="29" t="n"/>
      <c r="Y974" s="29" t="n"/>
      <c r="Z974" s="29" t="n"/>
      <c r="AA974" s="29" t="n"/>
      <c r="AB974" s="29" t="n"/>
      <c r="AC974" s="29" t="n"/>
      <c r="AD974" s="29" t="n"/>
      <c r="AE974" s="29" t="n"/>
      <c r="AF974" s="29" t="n"/>
      <c r="AG974" s="29" t="n"/>
      <c r="AH974" s="29" t="n"/>
      <c r="AI974" s="29" t="n"/>
    </row>
    <row r="975">
      <c r="L975" s="29" t="n"/>
      <c r="M975" s="29" t="n"/>
      <c r="N975" s="29" t="n"/>
      <c r="O975" s="29" t="n"/>
      <c r="P975" s="29" t="n"/>
      <c r="Q975" s="29" t="n"/>
      <c r="R975" s="29" t="n"/>
      <c r="S975" s="29" t="n"/>
      <c r="T975" s="29" t="n"/>
      <c r="U975" s="29" t="n"/>
      <c r="V975" s="29" t="n"/>
      <c r="W975" s="29" t="n"/>
      <c r="X975" s="29" t="n"/>
      <c r="Y975" s="29" t="n"/>
      <c r="Z975" s="29" t="n"/>
      <c r="AA975" s="29" t="n"/>
      <c r="AB975" s="29" t="n"/>
      <c r="AC975" s="29" t="n"/>
      <c r="AD975" s="29" t="n"/>
      <c r="AE975" s="29" t="n"/>
      <c r="AF975" s="29" t="n"/>
      <c r="AG975" s="29" t="n"/>
      <c r="AH975" s="29" t="n"/>
      <c r="AI975" s="29" t="n"/>
    </row>
    <row r="976">
      <c r="L976" s="29" t="n"/>
      <c r="M976" s="29" t="n"/>
      <c r="N976" s="29" t="n"/>
      <c r="O976" s="29" t="n"/>
      <c r="P976" s="29" t="n"/>
      <c r="Q976" s="29" t="n"/>
      <c r="R976" s="29" t="n"/>
      <c r="S976" s="29" t="n"/>
      <c r="T976" s="29" t="n"/>
      <c r="U976" s="29" t="n"/>
      <c r="V976" s="29" t="n"/>
      <c r="W976" s="29" t="n"/>
      <c r="X976" s="29" t="n"/>
      <c r="Y976" s="29" t="n"/>
      <c r="Z976" s="29" t="n"/>
      <c r="AA976" s="29" t="n"/>
      <c r="AB976" s="29" t="n"/>
      <c r="AC976" s="29" t="n"/>
      <c r="AD976" s="29" t="n"/>
      <c r="AE976" s="29" t="n"/>
      <c r="AF976" s="29" t="n"/>
      <c r="AG976" s="29" t="n"/>
      <c r="AH976" s="29" t="n"/>
      <c r="AI976" s="29" t="n"/>
    </row>
    <row r="977">
      <c r="L977" s="29" t="n"/>
      <c r="M977" s="29" t="n"/>
      <c r="N977" s="29" t="n"/>
      <c r="O977" s="29" t="n"/>
      <c r="P977" s="29" t="n"/>
      <c r="Q977" s="29" t="n"/>
      <c r="R977" s="29" t="n"/>
      <c r="S977" s="29" t="n"/>
      <c r="T977" s="29" t="n"/>
      <c r="U977" s="29" t="n"/>
      <c r="V977" s="29" t="n"/>
      <c r="W977" s="29" t="n"/>
      <c r="X977" s="29" t="n"/>
      <c r="Y977" s="29" t="n"/>
      <c r="Z977" s="29" t="n"/>
      <c r="AA977" s="29" t="n"/>
      <c r="AB977" s="29" t="n"/>
      <c r="AC977" s="29" t="n"/>
      <c r="AD977" s="29" t="n"/>
      <c r="AE977" s="29" t="n"/>
      <c r="AF977" s="29" t="n"/>
      <c r="AG977" s="29" t="n"/>
      <c r="AH977" s="29" t="n"/>
      <c r="AI977" s="29" t="n"/>
    </row>
    <row r="978">
      <c r="L978" s="29" t="n"/>
      <c r="M978" s="29" t="n"/>
      <c r="N978" s="29" t="n"/>
      <c r="O978" s="29" t="n"/>
      <c r="P978" s="29" t="n"/>
      <c r="Q978" s="29" t="n"/>
      <c r="R978" s="29" t="n"/>
      <c r="S978" s="29" t="n"/>
      <c r="T978" s="29" t="n"/>
      <c r="U978" s="29" t="n"/>
      <c r="V978" s="29" t="n"/>
      <c r="W978" s="29" t="n"/>
      <c r="X978" s="29" t="n"/>
      <c r="Y978" s="29" t="n"/>
      <c r="Z978" s="29" t="n"/>
      <c r="AA978" s="29" t="n"/>
      <c r="AB978" s="29" t="n"/>
      <c r="AC978" s="29" t="n"/>
      <c r="AD978" s="29" t="n"/>
      <c r="AE978" s="29" t="n"/>
      <c r="AF978" s="29" t="n"/>
      <c r="AG978" s="29" t="n"/>
      <c r="AH978" s="29" t="n"/>
      <c r="AI978" s="29" t="n"/>
    </row>
    <row r="979">
      <c r="L979" s="29" t="n"/>
      <c r="M979" s="29" t="n"/>
      <c r="N979" s="29" t="n"/>
      <c r="O979" s="29" t="n"/>
      <c r="P979" s="29" t="n"/>
      <c r="Q979" s="29" t="n"/>
      <c r="R979" s="29" t="n"/>
      <c r="S979" s="29" t="n"/>
      <c r="T979" s="29" t="n"/>
      <c r="U979" s="29" t="n"/>
      <c r="V979" s="29" t="n"/>
      <c r="W979" s="29" t="n"/>
      <c r="X979" s="29" t="n"/>
      <c r="Y979" s="29" t="n"/>
      <c r="Z979" s="29" t="n"/>
      <c r="AA979" s="29" t="n"/>
      <c r="AB979" s="29" t="n"/>
      <c r="AC979" s="29" t="n"/>
      <c r="AD979" s="29" t="n"/>
      <c r="AE979" s="29" t="n"/>
      <c r="AF979" s="29" t="n"/>
      <c r="AG979" s="29" t="n"/>
      <c r="AH979" s="29" t="n"/>
      <c r="AI979" s="29" t="n"/>
    </row>
    <row r="980">
      <c r="L980" s="29" t="n"/>
      <c r="M980" s="29" t="n"/>
      <c r="N980" s="29" t="n"/>
      <c r="O980" s="29" t="n"/>
      <c r="P980" s="29" t="n"/>
      <c r="Q980" s="29" t="n"/>
      <c r="R980" s="29" t="n"/>
      <c r="S980" s="29" t="n"/>
      <c r="T980" s="29" t="n"/>
      <c r="U980" s="29" t="n"/>
      <c r="V980" s="29" t="n"/>
      <c r="W980" s="29" t="n"/>
      <c r="X980" s="29" t="n"/>
      <c r="Y980" s="29" t="n"/>
      <c r="Z980" s="29" t="n"/>
      <c r="AA980" s="29" t="n"/>
      <c r="AB980" s="29" t="n"/>
      <c r="AC980" s="29" t="n"/>
      <c r="AD980" s="29" t="n"/>
      <c r="AE980" s="29" t="n"/>
      <c r="AF980" s="29" t="n"/>
      <c r="AG980" s="29" t="n"/>
      <c r="AH980" s="29" t="n"/>
      <c r="AI980" s="29" t="n"/>
    </row>
    <row r="981">
      <c r="L981" s="29" t="n"/>
      <c r="M981" s="29" t="n"/>
      <c r="N981" s="29" t="n"/>
      <c r="O981" s="29" t="n"/>
      <c r="P981" s="29" t="n"/>
      <c r="Q981" s="29" t="n"/>
      <c r="R981" s="29" t="n"/>
      <c r="S981" s="29" t="n"/>
      <c r="T981" s="29" t="n"/>
      <c r="U981" s="29" t="n"/>
      <c r="V981" s="29" t="n"/>
      <c r="W981" s="29" t="n"/>
      <c r="X981" s="29" t="n"/>
      <c r="Y981" s="29" t="n"/>
      <c r="Z981" s="29" t="n"/>
      <c r="AA981" s="29" t="n"/>
      <c r="AB981" s="29" t="n"/>
      <c r="AC981" s="29" t="n"/>
      <c r="AD981" s="29" t="n"/>
      <c r="AE981" s="29" t="n"/>
      <c r="AF981" s="29" t="n"/>
      <c r="AG981" s="29" t="n"/>
      <c r="AH981" s="29" t="n"/>
      <c r="AI981" s="29" t="n"/>
    </row>
    <row r="982">
      <c r="L982" s="29" t="n"/>
      <c r="M982" s="29" t="n"/>
      <c r="N982" s="29" t="n"/>
      <c r="O982" s="29" t="n"/>
      <c r="P982" s="29" t="n"/>
      <c r="Q982" s="29" t="n"/>
      <c r="R982" s="29" t="n"/>
      <c r="S982" s="29" t="n"/>
      <c r="T982" s="29" t="n"/>
      <c r="U982" s="29" t="n"/>
      <c r="V982" s="29" t="n"/>
      <c r="W982" s="29" t="n"/>
      <c r="X982" s="29" t="n"/>
      <c r="Y982" s="29" t="n"/>
      <c r="Z982" s="29" t="n"/>
      <c r="AA982" s="29" t="n"/>
      <c r="AB982" s="29" t="n"/>
      <c r="AC982" s="29" t="n"/>
      <c r="AD982" s="29" t="n"/>
      <c r="AE982" s="29" t="n"/>
      <c r="AF982" s="29" t="n"/>
      <c r="AG982" s="29" t="n"/>
      <c r="AH982" s="29" t="n"/>
      <c r="AI982" s="29" t="n"/>
    </row>
    <row r="983">
      <c r="L983" s="29" t="n"/>
      <c r="M983" s="29" t="n"/>
      <c r="N983" s="29" t="n"/>
      <c r="O983" s="29" t="n"/>
      <c r="P983" s="29" t="n"/>
      <c r="Q983" s="29" t="n"/>
      <c r="R983" s="29" t="n"/>
      <c r="S983" s="29" t="n"/>
      <c r="T983" s="29" t="n"/>
      <c r="U983" s="29" t="n"/>
      <c r="V983" s="29" t="n"/>
      <c r="W983" s="29" t="n"/>
      <c r="X983" s="29" t="n"/>
      <c r="Y983" s="29" t="n"/>
      <c r="Z983" s="29" t="n"/>
      <c r="AA983" s="29" t="n"/>
      <c r="AB983" s="29" t="n"/>
      <c r="AC983" s="29" t="n"/>
      <c r="AD983" s="29" t="n"/>
      <c r="AE983" s="29" t="n"/>
      <c r="AF983" s="29" t="n"/>
      <c r="AG983" s="29" t="n"/>
      <c r="AH983" s="29" t="n"/>
      <c r="AI983" s="29" t="n"/>
    </row>
    <row r="984">
      <c r="L984" s="29" t="n"/>
      <c r="M984" s="29" t="n"/>
      <c r="N984" s="29" t="n"/>
      <c r="O984" s="29" t="n"/>
      <c r="P984" s="29" t="n"/>
      <c r="Q984" s="29" t="n"/>
      <c r="R984" s="29" t="n"/>
      <c r="S984" s="29" t="n"/>
      <c r="T984" s="29" t="n"/>
      <c r="U984" s="29" t="n"/>
      <c r="V984" s="29" t="n"/>
      <c r="W984" s="29" t="n"/>
      <c r="X984" s="29" t="n"/>
      <c r="Y984" s="29" t="n"/>
      <c r="Z984" s="29" t="n"/>
      <c r="AA984" s="29" t="n"/>
      <c r="AB984" s="29" t="n"/>
      <c r="AC984" s="29" t="n"/>
      <c r="AD984" s="29" t="n"/>
      <c r="AE984" s="29" t="n"/>
      <c r="AF984" s="29" t="n"/>
      <c r="AG984" s="29" t="n"/>
      <c r="AH984" s="29" t="n"/>
      <c r="AI984" s="29" t="n"/>
    </row>
    <row r="985">
      <c r="L985" s="29" t="n"/>
      <c r="M985" s="29" t="n"/>
      <c r="N985" s="29" t="n"/>
      <c r="O985" s="29" t="n"/>
      <c r="P985" s="29" t="n"/>
      <c r="Q985" s="29" t="n"/>
      <c r="R985" s="29" t="n"/>
      <c r="S985" s="29" t="n"/>
      <c r="T985" s="29" t="n"/>
      <c r="U985" s="29" t="n"/>
      <c r="V985" s="29" t="n"/>
      <c r="W985" s="29" t="n"/>
      <c r="X985" s="29" t="n"/>
      <c r="Y985" s="29" t="n"/>
      <c r="Z985" s="29" t="n"/>
      <c r="AA985" s="29" t="n"/>
      <c r="AB985" s="29" t="n"/>
      <c r="AC985" s="29" t="n"/>
      <c r="AD985" s="29" t="n"/>
      <c r="AE985" s="29" t="n"/>
      <c r="AF985" s="29" t="n"/>
      <c r="AG985" s="29" t="n"/>
      <c r="AH985" s="29" t="n"/>
      <c r="AI985" s="29" t="n"/>
    </row>
    <row r="986">
      <c r="L986" s="29" t="n"/>
      <c r="M986" s="29" t="n"/>
      <c r="N986" s="29" t="n"/>
      <c r="O986" s="29" t="n"/>
      <c r="P986" s="29" t="n"/>
      <c r="Q986" s="29" t="n"/>
      <c r="R986" s="29" t="n"/>
      <c r="S986" s="29" t="n"/>
      <c r="T986" s="29" t="n"/>
      <c r="U986" s="29" t="n"/>
      <c r="V986" s="29" t="n"/>
      <c r="W986" s="29" t="n"/>
      <c r="X986" s="29" t="n"/>
      <c r="Y986" s="29" t="n"/>
      <c r="Z986" s="29" t="n"/>
      <c r="AA986" s="29" t="n"/>
      <c r="AB986" s="29" t="n"/>
      <c r="AC986" s="29" t="n"/>
      <c r="AD986" s="29" t="n"/>
      <c r="AE986" s="29" t="n"/>
      <c r="AF986" s="29" t="n"/>
      <c r="AG986" s="29" t="n"/>
      <c r="AH986" s="29" t="n"/>
      <c r="AI986" s="29" t="n"/>
    </row>
    <row r="987">
      <c r="L987" s="29" t="n"/>
      <c r="M987" s="29" t="n"/>
      <c r="N987" s="29" t="n"/>
      <c r="O987" s="29" t="n"/>
      <c r="P987" s="29" t="n"/>
      <c r="Q987" s="29" t="n"/>
      <c r="R987" s="29" t="n"/>
      <c r="S987" s="29" t="n"/>
      <c r="T987" s="29" t="n"/>
      <c r="U987" s="29" t="n"/>
      <c r="V987" s="29" t="n"/>
      <c r="W987" s="29" t="n"/>
      <c r="X987" s="29" t="n"/>
      <c r="Y987" s="29" t="n"/>
      <c r="Z987" s="29" t="n"/>
      <c r="AA987" s="29" t="n"/>
      <c r="AB987" s="29" t="n"/>
      <c r="AC987" s="29" t="n"/>
      <c r="AD987" s="29" t="n"/>
      <c r="AE987" s="29" t="n"/>
      <c r="AF987" s="29" t="n"/>
      <c r="AG987" s="29" t="n"/>
      <c r="AH987" s="29" t="n"/>
      <c r="AI987" s="29" t="n"/>
    </row>
    <row r="988">
      <c r="L988" s="29" t="n"/>
      <c r="M988" s="29" t="n"/>
      <c r="N988" s="29" t="n"/>
      <c r="O988" s="29" t="n"/>
      <c r="P988" s="29" t="n"/>
      <c r="Q988" s="29" t="n"/>
      <c r="R988" s="29" t="n"/>
      <c r="S988" s="29" t="n"/>
      <c r="T988" s="29" t="n"/>
      <c r="U988" s="29" t="n"/>
      <c r="V988" s="29" t="n"/>
      <c r="W988" s="29" t="n"/>
      <c r="X988" s="29" t="n"/>
      <c r="Y988" s="29" t="n"/>
      <c r="Z988" s="29" t="n"/>
      <c r="AA988" s="29" t="n"/>
      <c r="AB988" s="29" t="n"/>
      <c r="AC988" s="29" t="n"/>
      <c r="AD988" s="29" t="n"/>
      <c r="AE988" s="29" t="n"/>
      <c r="AF988" s="29" t="n"/>
      <c r="AG988" s="29" t="n"/>
      <c r="AH988" s="29" t="n"/>
      <c r="AI988" s="29" t="n"/>
    </row>
    <row r="989">
      <c r="L989" s="29" t="n"/>
      <c r="M989" s="29" t="n"/>
      <c r="N989" s="29" t="n"/>
      <c r="O989" s="29" t="n"/>
      <c r="P989" s="29" t="n"/>
      <c r="Q989" s="29" t="n"/>
      <c r="R989" s="29" t="n"/>
      <c r="S989" s="29" t="n"/>
      <c r="T989" s="29" t="n"/>
      <c r="U989" s="29" t="n"/>
      <c r="V989" s="29" t="n"/>
      <c r="W989" s="29" t="n"/>
      <c r="X989" s="29" t="n"/>
      <c r="Y989" s="29" t="n"/>
      <c r="Z989" s="29" t="n"/>
      <c r="AA989" s="29" t="n"/>
      <c r="AB989" s="29" t="n"/>
      <c r="AC989" s="29" t="n"/>
      <c r="AD989" s="29" t="n"/>
      <c r="AE989" s="29" t="n"/>
      <c r="AF989" s="29" t="n"/>
      <c r="AG989" s="29" t="n"/>
      <c r="AH989" s="29" t="n"/>
      <c r="AI989" s="29" t="n"/>
    </row>
    <row r="990">
      <c r="L990" s="29" t="n"/>
      <c r="M990" s="29" t="n"/>
      <c r="N990" s="29" t="n"/>
      <c r="O990" s="29" t="n"/>
      <c r="P990" s="29" t="n"/>
      <c r="Q990" s="29" t="n"/>
      <c r="R990" s="29" t="n"/>
      <c r="S990" s="29" t="n"/>
      <c r="T990" s="29" t="n"/>
      <c r="U990" s="29" t="n"/>
      <c r="V990" s="29" t="n"/>
      <c r="W990" s="29" t="n"/>
      <c r="X990" s="29" t="n"/>
      <c r="Y990" s="29" t="n"/>
      <c r="Z990" s="29" t="n"/>
      <c r="AA990" s="29" t="n"/>
      <c r="AB990" s="29" t="n"/>
      <c r="AC990" s="29" t="n"/>
      <c r="AD990" s="29" t="n"/>
      <c r="AE990" s="29" t="n"/>
      <c r="AF990" s="29" t="n"/>
      <c r="AG990" s="29" t="n"/>
      <c r="AH990" s="29" t="n"/>
      <c r="AI990" s="29" t="n"/>
    </row>
    <row r="991">
      <c r="L991" s="29" t="n"/>
      <c r="M991" s="29" t="n"/>
      <c r="N991" s="29" t="n"/>
      <c r="O991" s="29" t="n"/>
      <c r="P991" s="29" t="n"/>
      <c r="Q991" s="29" t="n"/>
      <c r="R991" s="29" t="n"/>
      <c r="S991" s="29" t="n"/>
      <c r="T991" s="29" t="n"/>
      <c r="U991" s="29" t="n"/>
      <c r="V991" s="29" t="n"/>
      <c r="W991" s="29" t="n"/>
      <c r="X991" s="29" t="n"/>
      <c r="Y991" s="29" t="n"/>
      <c r="Z991" s="29" t="n"/>
      <c r="AA991" s="29" t="n"/>
      <c r="AB991" s="29" t="n"/>
      <c r="AC991" s="29" t="n"/>
      <c r="AD991" s="29" t="n"/>
      <c r="AE991" s="29" t="n"/>
      <c r="AF991" s="29" t="n"/>
      <c r="AG991" s="29" t="n"/>
      <c r="AH991" s="29" t="n"/>
      <c r="AI991" s="29" t="n"/>
    </row>
    <row r="992">
      <c r="L992" s="29" t="n"/>
      <c r="M992" s="29" t="n"/>
      <c r="N992" s="29" t="n"/>
      <c r="O992" s="29" t="n"/>
      <c r="P992" s="29" t="n"/>
      <c r="Q992" s="29" t="n"/>
      <c r="R992" s="29" t="n"/>
      <c r="S992" s="29" t="n"/>
      <c r="T992" s="29" t="n"/>
      <c r="U992" s="29" t="n"/>
      <c r="V992" s="29" t="n"/>
      <c r="W992" s="29" t="n"/>
      <c r="X992" s="29" t="n"/>
      <c r="Y992" s="29" t="n"/>
      <c r="Z992" s="29" t="n"/>
      <c r="AA992" s="29" t="n"/>
      <c r="AB992" s="29" t="n"/>
      <c r="AC992" s="29" t="n"/>
      <c r="AD992" s="29" t="n"/>
      <c r="AE992" s="29" t="n"/>
      <c r="AF992" s="29" t="n"/>
      <c r="AG992" s="29" t="n"/>
      <c r="AH992" s="29" t="n"/>
      <c r="AI992" s="29" t="n"/>
    </row>
    <row r="993">
      <c r="L993" s="29" t="n"/>
      <c r="M993" s="29" t="n"/>
      <c r="N993" s="29" t="n"/>
      <c r="O993" s="29" t="n"/>
      <c r="P993" s="29" t="n"/>
      <c r="Q993" s="29" t="n"/>
      <c r="R993" s="29" t="n"/>
      <c r="S993" s="29" t="n"/>
      <c r="T993" s="29" t="n"/>
      <c r="U993" s="29" t="n"/>
      <c r="V993" s="29" t="n"/>
      <c r="W993" s="29" t="n"/>
      <c r="X993" s="29" t="n"/>
      <c r="Y993" s="29" t="n"/>
      <c r="Z993" s="29" t="n"/>
      <c r="AA993" s="29" t="n"/>
      <c r="AB993" s="29" t="n"/>
      <c r="AC993" s="29" t="n"/>
      <c r="AD993" s="29" t="n"/>
      <c r="AE993" s="29" t="n"/>
      <c r="AF993" s="29" t="n"/>
      <c r="AG993" s="29" t="n"/>
      <c r="AH993" s="29" t="n"/>
      <c r="AI993" s="29" t="n"/>
    </row>
    <row r="994">
      <c r="L994" s="29" t="n"/>
      <c r="M994" s="29" t="n"/>
      <c r="N994" s="29" t="n"/>
      <c r="O994" s="29" t="n"/>
      <c r="P994" s="29" t="n"/>
      <c r="Q994" s="29" t="n"/>
      <c r="R994" s="29" t="n"/>
      <c r="S994" s="29" t="n"/>
      <c r="T994" s="29" t="n"/>
      <c r="U994" s="29" t="n"/>
      <c r="V994" s="29" t="n"/>
      <c r="W994" s="29" t="n"/>
      <c r="X994" s="29" t="n"/>
      <c r="Y994" s="29" t="n"/>
      <c r="Z994" s="29" t="n"/>
      <c r="AA994" s="29" t="n"/>
      <c r="AB994" s="29" t="n"/>
      <c r="AC994" s="29" t="n"/>
      <c r="AD994" s="29" t="n"/>
      <c r="AE994" s="29" t="n"/>
      <c r="AF994" s="29" t="n"/>
      <c r="AG994" s="29" t="n"/>
      <c r="AH994" s="29" t="n"/>
      <c r="AI994" s="29" t="n"/>
    </row>
    <row r="995">
      <c r="L995" s="29" t="n"/>
      <c r="M995" s="29" t="n"/>
      <c r="N995" s="29" t="n"/>
      <c r="O995" s="29" t="n"/>
      <c r="P995" s="29" t="n"/>
      <c r="Q995" s="29" t="n"/>
      <c r="R995" s="29" t="n"/>
      <c r="S995" s="29" t="n"/>
      <c r="T995" s="29" t="n"/>
      <c r="U995" s="29" t="n"/>
      <c r="V995" s="29" t="n"/>
      <c r="W995" s="29" t="n"/>
      <c r="X995" s="29" t="n"/>
      <c r="Y995" s="29" t="n"/>
      <c r="Z995" s="29" t="n"/>
      <c r="AA995" s="29" t="n"/>
      <c r="AB995" s="29" t="n"/>
      <c r="AC995" s="29" t="n"/>
      <c r="AD995" s="29" t="n"/>
      <c r="AE995" s="29" t="n"/>
      <c r="AF995" s="29" t="n"/>
      <c r="AG995" s="29" t="n"/>
      <c r="AH995" s="29" t="n"/>
      <c r="AI995" s="29" t="n"/>
    </row>
    <row r="996">
      <c r="L996" s="29" t="n"/>
      <c r="M996" s="29" t="n"/>
      <c r="N996" s="29" t="n"/>
      <c r="O996" s="29" t="n"/>
      <c r="P996" s="29" t="n"/>
      <c r="Q996" s="29" t="n"/>
      <c r="R996" s="29" t="n"/>
      <c r="S996" s="29" t="n"/>
      <c r="T996" s="29" t="n"/>
      <c r="U996" s="29" t="n"/>
      <c r="V996" s="29" t="n"/>
      <c r="W996" s="29" t="n"/>
      <c r="X996" s="29" t="n"/>
      <c r="Y996" s="29" t="n"/>
      <c r="Z996" s="29" t="n"/>
      <c r="AA996" s="29" t="n"/>
      <c r="AB996" s="29" t="n"/>
      <c r="AC996" s="29" t="n"/>
      <c r="AD996" s="29" t="n"/>
      <c r="AE996" s="29" t="n"/>
      <c r="AF996" s="29" t="n"/>
      <c r="AG996" s="29" t="n"/>
      <c r="AH996" s="29" t="n"/>
      <c r="AI996" s="29" t="n"/>
    </row>
    <row r="997">
      <c r="L997" s="29" t="n"/>
      <c r="M997" s="29" t="n"/>
      <c r="N997" s="29" t="n"/>
      <c r="O997" s="29" t="n"/>
      <c r="P997" s="29" t="n"/>
      <c r="Q997" s="29" t="n"/>
      <c r="R997" s="29" t="n"/>
      <c r="S997" s="29" t="n"/>
      <c r="T997" s="29" t="n"/>
      <c r="U997" s="29" t="n"/>
      <c r="V997" s="29" t="n"/>
      <c r="W997" s="29" t="n"/>
      <c r="X997" s="29" t="n"/>
      <c r="Y997" s="29" t="n"/>
      <c r="Z997" s="29" t="n"/>
      <c r="AA997" s="29" t="n"/>
      <c r="AB997" s="29" t="n"/>
      <c r="AC997" s="29" t="n"/>
      <c r="AD997" s="29" t="n"/>
      <c r="AE997" s="29" t="n"/>
      <c r="AF997" s="29" t="n"/>
      <c r="AG997" s="29" t="n"/>
      <c r="AH997" s="29" t="n"/>
      <c r="AI997" s="29" t="n"/>
    </row>
    <row r="998">
      <c r="L998" s="29" t="n"/>
      <c r="M998" s="29" t="n"/>
      <c r="N998" s="29" t="n"/>
      <c r="O998" s="29" t="n"/>
      <c r="P998" s="29" t="n"/>
      <c r="Q998" s="29" t="n"/>
      <c r="R998" s="29" t="n"/>
      <c r="S998" s="29" t="n"/>
      <c r="T998" s="29" t="n"/>
      <c r="U998" s="29" t="n"/>
      <c r="V998" s="29" t="n"/>
      <c r="W998" s="29" t="n"/>
      <c r="X998" s="29" t="n"/>
      <c r="Y998" s="29" t="n"/>
      <c r="Z998" s="29" t="n"/>
      <c r="AA998" s="29" t="n"/>
      <c r="AB998" s="29" t="n"/>
      <c r="AC998" s="29" t="n"/>
      <c r="AD998" s="29" t="n"/>
      <c r="AE998" s="29" t="n"/>
      <c r="AF998" s="29" t="n"/>
      <c r="AG998" s="29" t="n"/>
      <c r="AH998" s="29" t="n"/>
      <c r="AI998" s="29" t="n"/>
    </row>
    <row r="999">
      <c r="L999" s="29" t="n"/>
      <c r="M999" s="29" t="n"/>
      <c r="N999" s="29" t="n"/>
      <c r="O999" s="29" t="n"/>
      <c r="P999" s="29" t="n"/>
      <c r="Q999" s="29" t="n"/>
      <c r="R999" s="29" t="n"/>
      <c r="S999" s="29" t="n"/>
      <c r="T999" s="29" t="n"/>
      <c r="U999" s="29" t="n"/>
      <c r="V999" s="29" t="n"/>
      <c r="W999" s="29" t="n"/>
      <c r="X999" s="29" t="n"/>
      <c r="Y999" s="29" t="n"/>
      <c r="Z999" s="29" t="n"/>
      <c r="AA999" s="29" t="n"/>
      <c r="AB999" s="29" t="n"/>
      <c r="AC999" s="29" t="n"/>
      <c r="AD999" s="29" t="n"/>
      <c r="AE999" s="29" t="n"/>
      <c r="AF999" s="29" t="n"/>
      <c r="AG999" s="29" t="n"/>
      <c r="AH999" s="29" t="n"/>
      <c r="AI999" s="29" t="n"/>
    </row>
    <row r="1000">
      <c r="L1000" s="29" t="n"/>
      <c r="M1000" s="29" t="n"/>
      <c r="N1000" s="29" t="n"/>
      <c r="O1000" s="29" t="n"/>
      <c r="P1000" s="29" t="n"/>
      <c r="Q1000" s="29" t="n"/>
      <c r="R1000" s="29" t="n"/>
      <c r="S1000" s="29" t="n"/>
      <c r="T1000" s="29" t="n"/>
      <c r="U1000" s="29" t="n"/>
      <c r="V1000" s="29" t="n"/>
      <c r="W1000" s="29" t="n"/>
      <c r="X1000" s="29" t="n"/>
      <c r="Y1000" s="29" t="n"/>
      <c r="Z1000" s="29" t="n"/>
      <c r="AA1000" s="29" t="n"/>
      <c r="AB1000" s="29" t="n"/>
      <c r="AC1000" s="29" t="n"/>
      <c r="AD1000" s="29" t="n"/>
      <c r="AE1000" s="29" t="n"/>
      <c r="AF1000" s="29" t="n"/>
      <c r="AG1000" s="29" t="n"/>
      <c r="AH1000" s="29" t="n"/>
      <c r="AI1000" s="29" t="n"/>
    </row>
    <row r="1001">
      <c r="L1001" s="29" t="n"/>
      <c r="M1001" s="29" t="n"/>
      <c r="N1001" s="29" t="n"/>
      <c r="O1001" s="29" t="n"/>
      <c r="P1001" s="29" t="n"/>
      <c r="Q1001" s="29" t="n"/>
      <c r="R1001" s="29" t="n"/>
      <c r="S1001" s="29" t="n"/>
      <c r="T1001" s="29" t="n"/>
      <c r="U1001" s="29" t="n"/>
      <c r="V1001" s="29" t="n"/>
      <c r="W1001" s="29" t="n"/>
      <c r="X1001" s="29" t="n"/>
      <c r="Y1001" s="29" t="n"/>
      <c r="Z1001" s="29" t="n"/>
      <c r="AA1001" s="29" t="n"/>
      <c r="AB1001" s="29" t="n"/>
      <c r="AC1001" s="29" t="n"/>
      <c r="AD1001" s="29" t="n"/>
      <c r="AE1001" s="29" t="n"/>
      <c r="AF1001" s="29" t="n"/>
      <c r="AG1001" s="29" t="n"/>
      <c r="AH1001" s="29" t="n"/>
      <c r="AI1001" s="29" t="n"/>
    </row>
    <row r="1002">
      <c r="L1002" s="29" t="n"/>
      <c r="M1002" s="29" t="n"/>
      <c r="N1002" s="29" t="n"/>
      <c r="O1002" s="29" t="n"/>
      <c r="P1002" s="29" t="n"/>
      <c r="Q1002" s="29" t="n"/>
      <c r="R1002" s="29" t="n"/>
      <c r="S1002" s="29" t="n"/>
      <c r="T1002" s="29" t="n"/>
      <c r="U1002" s="29" t="n"/>
      <c r="V1002" s="29" t="n"/>
      <c r="W1002" s="29" t="n"/>
      <c r="X1002" s="29" t="n"/>
      <c r="Y1002" s="29" t="n"/>
      <c r="Z1002" s="29" t="n"/>
      <c r="AA1002" s="29" t="n"/>
      <c r="AB1002" s="29" t="n"/>
      <c r="AC1002" s="29" t="n"/>
      <c r="AD1002" s="29" t="n"/>
      <c r="AE1002" s="29" t="n"/>
      <c r="AF1002" s="29" t="n"/>
      <c r="AG1002" s="29" t="n"/>
      <c r="AH1002" s="29" t="n"/>
      <c r="AI1002" s="29" t="n"/>
    </row>
    <row r="1003">
      <c r="L1003" s="29" t="n"/>
      <c r="M1003" s="29" t="n"/>
      <c r="N1003" s="29" t="n"/>
      <c r="O1003" s="29" t="n"/>
      <c r="P1003" s="29" t="n"/>
      <c r="Q1003" s="29" t="n"/>
      <c r="R1003" s="29" t="n"/>
      <c r="S1003" s="29" t="n"/>
      <c r="T1003" s="29" t="n"/>
      <c r="U1003" s="29" t="n"/>
      <c r="V1003" s="29" t="n"/>
      <c r="W1003" s="29" t="n"/>
      <c r="X1003" s="29" t="n"/>
      <c r="Y1003" s="29" t="n"/>
      <c r="Z1003" s="29" t="n"/>
      <c r="AA1003" s="29" t="n"/>
      <c r="AB1003" s="29" t="n"/>
      <c r="AC1003" s="29" t="n"/>
      <c r="AD1003" s="29" t="n"/>
      <c r="AE1003" s="29" t="n"/>
      <c r="AF1003" s="29" t="n"/>
      <c r="AG1003" s="29" t="n"/>
      <c r="AH1003" s="29" t="n"/>
      <c r="AI1003" s="29" t="n"/>
    </row>
    <row r="1004">
      <c r="L1004" s="29" t="n"/>
      <c r="M1004" s="29" t="n"/>
      <c r="N1004" s="29" t="n"/>
      <c r="O1004" s="29" t="n"/>
      <c r="P1004" s="29" t="n"/>
      <c r="Q1004" s="29" t="n"/>
      <c r="R1004" s="29" t="n"/>
      <c r="S1004" s="29" t="n"/>
      <c r="T1004" s="29" t="n"/>
      <c r="U1004" s="29" t="n"/>
      <c r="V1004" s="29" t="n"/>
      <c r="W1004" s="29" t="n"/>
      <c r="X1004" s="29" t="n"/>
      <c r="Y1004" s="29" t="n"/>
      <c r="Z1004" s="29" t="n"/>
      <c r="AA1004" s="29" t="n"/>
      <c r="AB1004" s="29" t="n"/>
      <c r="AC1004" s="29" t="n"/>
      <c r="AD1004" s="29" t="n"/>
      <c r="AE1004" s="29" t="n"/>
      <c r="AF1004" s="29" t="n"/>
      <c r="AG1004" s="29" t="n"/>
      <c r="AH1004" s="29" t="n"/>
      <c r="AI1004" s="29" t="n"/>
    </row>
    <row r="1005">
      <c r="L1005" s="29" t="n"/>
      <c r="M1005" s="29" t="n"/>
      <c r="N1005" s="29" t="n"/>
      <c r="O1005" s="29" t="n"/>
      <c r="P1005" s="29" t="n"/>
      <c r="Q1005" s="29" t="n"/>
      <c r="R1005" s="29" t="n"/>
      <c r="S1005" s="29" t="n"/>
      <c r="T1005" s="29" t="n"/>
      <c r="U1005" s="29" t="n"/>
      <c r="V1005" s="29" t="n"/>
      <c r="W1005" s="29" t="n"/>
      <c r="X1005" s="29" t="n"/>
      <c r="Y1005" s="29" t="n"/>
      <c r="Z1005" s="29" t="n"/>
      <c r="AA1005" s="29" t="n"/>
      <c r="AB1005" s="29" t="n"/>
      <c r="AC1005" s="29" t="n"/>
      <c r="AD1005" s="29" t="n"/>
      <c r="AE1005" s="29" t="n"/>
      <c r="AF1005" s="29" t="n"/>
      <c r="AG1005" s="29" t="n"/>
      <c r="AH1005" s="29" t="n"/>
      <c r="AI1005" s="29" t="n"/>
    </row>
    <row r="1006">
      <c r="L1006" s="29" t="n"/>
      <c r="M1006" s="29" t="n"/>
      <c r="N1006" s="29" t="n"/>
      <c r="O1006" s="29" t="n"/>
      <c r="P1006" s="29" t="n"/>
      <c r="Q1006" s="29" t="n"/>
      <c r="R1006" s="29" t="n"/>
      <c r="S1006" s="29" t="n"/>
      <c r="T1006" s="29" t="n"/>
      <c r="U1006" s="29" t="n"/>
      <c r="V1006" s="29" t="n"/>
      <c r="W1006" s="29" t="n"/>
      <c r="X1006" s="29" t="n"/>
      <c r="Y1006" s="29" t="n"/>
      <c r="Z1006" s="29" t="n"/>
      <c r="AA1006" s="29" t="n"/>
      <c r="AB1006" s="29" t="n"/>
      <c r="AC1006" s="29" t="n"/>
      <c r="AD1006" s="29" t="n"/>
      <c r="AE1006" s="29" t="n"/>
      <c r="AF1006" s="29" t="n"/>
      <c r="AG1006" s="29" t="n"/>
      <c r="AH1006" s="29" t="n"/>
      <c r="AI1006" s="29" t="n"/>
    </row>
    <row r="1007">
      <c r="L1007" s="29" t="n"/>
      <c r="M1007" s="29" t="n"/>
      <c r="N1007" s="29" t="n"/>
      <c r="O1007" s="29" t="n"/>
      <c r="P1007" s="29" t="n"/>
      <c r="Q1007" s="29" t="n"/>
      <c r="R1007" s="29" t="n"/>
      <c r="S1007" s="29" t="n"/>
      <c r="T1007" s="29" t="n"/>
      <c r="U1007" s="29" t="n"/>
      <c r="V1007" s="29" t="n"/>
      <c r="W1007" s="29" t="n"/>
      <c r="X1007" s="29" t="n"/>
      <c r="Y1007" s="29" t="n"/>
      <c r="Z1007" s="29" t="n"/>
      <c r="AA1007" s="29" t="n"/>
      <c r="AB1007" s="29" t="n"/>
      <c r="AC1007" s="29" t="n"/>
      <c r="AD1007" s="29" t="n"/>
      <c r="AE1007" s="29" t="n"/>
      <c r="AF1007" s="29" t="n"/>
      <c r="AG1007" s="29" t="n"/>
      <c r="AH1007" s="29" t="n"/>
      <c r="AI1007" s="29" t="n"/>
    </row>
    <row r="1008">
      <c r="L1008" s="29" t="n"/>
      <c r="M1008" s="29" t="n"/>
      <c r="N1008" s="29" t="n"/>
      <c r="O1008" s="29" t="n"/>
      <c r="P1008" s="29" t="n"/>
      <c r="Q1008" s="29" t="n"/>
      <c r="R1008" s="29" t="n"/>
      <c r="S1008" s="29" t="n"/>
      <c r="T1008" s="29" t="n"/>
      <c r="U1008" s="29" t="n"/>
      <c r="V1008" s="29" t="n"/>
      <c r="W1008" s="29" t="n"/>
      <c r="X1008" s="29" t="n"/>
      <c r="Y1008" s="29" t="n"/>
      <c r="Z1008" s="29" t="n"/>
      <c r="AA1008" s="29" t="n"/>
      <c r="AB1008" s="29" t="n"/>
      <c r="AC1008" s="29" t="n"/>
      <c r="AD1008" s="29" t="n"/>
      <c r="AE1008" s="29" t="n"/>
      <c r="AF1008" s="29" t="n"/>
      <c r="AG1008" s="29" t="n"/>
      <c r="AH1008" s="29" t="n"/>
      <c r="AI1008" s="29" t="n"/>
    </row>
    <row r="1009">
      <c r="L1009" s="29" t="n"/>
      <c r="M1009" s="29" t="n"/>
      <c r="N1009" s="29" t="n"/>
      <c r="O1009" s="29" t="n"/>
      <c r="P1009" s="29" t="n"/>
      <c r="Q1009" s="29" t="n"/>
      <c r="R1009" s="29" t="n"/>
      <c r="S1009" s="29" t="n"/>
      <c r="T1009" s="29" t="n"/>
      <c r="U1009" s="29" t="n"/>
      <c r="V1009" s="29" t="n"/>
      <c r="W1009" s="29" t="n"/>
      <c r="X1009" s="29" t="n"/>
      <c r="Y1009" s="29" t="n"/>
      <c r="Z1009" s="29" t="n"/>
      <c r="AA1009" s="29" t="n"/>
      <c r="AB1009" s="29" t="n"/>
      <c r="AC1009" s="29" t="n"/>
      <c r="AD1009" s="29" t="n"/>
      <c r="AE1009" s="29" t="n"/>
      <c r="AF1009" s="29" t="n"/>
      <c r="AG1009" s="29" t="n"/>
      <c r="AH1009" s="29" t="n"/>
      <c r="AI1009" s="29" t="n"/>
    </row>
    <row r="1010">
      <c r="L1010" s="29" t="n"/>
      <c r="M1010" s="29" t="n"/>
      <c r="N1010" s="29" t="n"/>
      <c r="O1010" s="29" t="n"/>
      <c r="P1010" s="29" t="n"/>
      <c r="Q1010" s="29" t="n"/>
      <c r="R1010" s="29" t="n"/>
      <c r="S1010" s="29" t="n"/>
      <c r="T1010" s="29" t="n"/>
      <c r="U1010" s="29" t="n"/>
      <c r="V1010" s="29" t="n"/>
      <c r="W1010" s="29" t="n"/>
      <c r="X1010" s="29" t="n"/>
      <c r="Y1010" s="29" t="n"/>
      <c r="Z1010" s="29" t="n"/>
      <c r="AA1010" s="29" t="n"/>
      <c r="AB1010" s="29" t="n"/>
      <c r="AC1010" s="29" t="n"/>
      <c r="AD1010" s="29" t="n"/>
      <c r="AE1010" s="29" t="n"/>
      <c r="AF1010" s="29" t="n"/>
      <c r="AG1010" s="29" t="n"/>
      <c r="AH1010" s="29" t="n"/>
      <c r="AI1010" s="29" t="n"/>
    </row>
    <row r="1011">
      <c r="L1011" s="29" t="n"/>
      <c r="M1011" s="29" t="n"/>
      <c r="N1011" s="29" t="n"/>
      <c r="O1011" s="29" t="n"/>
      <c r="P1011" s="29" t="n"/>
      <c r="Q1011" s="29" t="n"/>
      <c r="R1011" s="29" t="n"/>
      <c r="S1011" s="29" t="n"/>
      <c r="T1011" s="29" t="n"/>
      <c r="U1011" s="29" t="n"/>
      <c r="V1011" s="29" t="n"/>
      <c r="W1011" s="29" t="n"/>
      <c r="X1011" s="29" t="n"/>
      <c r="Y1011" s="29" t="n"/>
      <c r="Z1011" s="29" t="n"/>
      <c r="AA1011" s="29" t="n"/>
      <c r="AB1011" s="29" t="n"/>
      <c r="AC1011" s="29" t="n"/>
      <c r="AD1011" s="29" t="n"/>
      <c r="AE1011" s="29" t="n"/>
      <c r="AF1011" s="29" t="n"/>
      <c r="AG1011" s="29" t="n"/>
      <c r="AH1011" s="29" t="n"/>
      <c r="AI1011" s="29" t="n"/>
    </row>
    <row r="1012">
      <c r="L1012" s="29" t="n"/>
      <c r="M1012" s="29" t="n"/>
      <c r="N1012" s="29" t="n"/>
      <c r="O1012" s="29" t="n"/>
      <c r="P1012" s="29" t="n"/>
      <c r="Q1012" s="29" t="n"/>
      <c r="R1012" s="29" t="n"/>
      <c r="S1012" s="29" t="n"/>
      <c r="T1012" s="29" t="n"/>
      <c r="U1012" s="29" t="n"/>
      <c r="V1012" s="29" t="n"/>
      <c r="W1012" s="29" t="n"/>
      <c r="X1012" s="29" t="n"/>
      <c r="Y1012" s="29" t="n"/>
      <c r="Z1012" s="29" t="n"/>
      <c r="AA1012" s="29" t="n"/>
      <c r="AB1012" s="29" t="n"/>
      <c r="AC1012" s="29" t="n"/>
      <c r="AD1012" s="29" t="n"/>
      <c r="AE1012" s="29" t="n"/>
      <c r="AF1012" s="29" t="n"/>
      <c r="AG1012" s="29" t="n"/>
      <c r="AH1012" s="29" t="n"/>
      <c r="AI1012" s="29" t="n"/>
    </row>
    <row r="1013">
      <c r="L1013" s="29" t="n"/>
      <c r="M1013" s="29" t="n"/>
      <c r="N1013" s="29" t="n"/>
      <c r="O1013" s="29" t="n"/>
      <c r="P1013" s="29" t="n"/>
      <c r="Q1013" s="29" t="n"/>
      <c r="R1013" s="29" t="n"/>
      <c r="S1013" s="29" t="n"/>
      <c r="T1013" s="29" t="n"/>
      <c r="U1013" s="29" t="n"/>
      <c r="V1013" s="29" t="n"/>
      <c r="W1013" s="29" t="n"/>
      <c r="X1013" s="29" t="n"/>
      <c r="Y1013" s="29" t="n"/>
      <c r="Z1013" s="29" t="n"/>
      <c r="AA1013" s="29" t="n"/>
      <c r="AB1013" s="29" t="n"/>
      <c r="AC1013" s="29" t="n"/>
      <c r="AD1013" s="29" t="n"/>
      <c r="AE1013" s="29" t="n"/>
      <c r="AF1013" s="29" t="n"/>
      <c r="AG1013" s="29" t="n"/>
      <c r="AH1013" s="29" t="n"/>
      <c r="AI1013" s="29" t="n"/>
    </row>
    <row r="1014">
      <c r="L1014" s="29" t="n"/>
      <c r="M1014" s="29" t="n"/>
      <c r="N1014" s="29" t="n"/>
      <c r="O1014" s="29" t="n"/>
      <c r="P1014" s="29" t="n"/>
      <c r="Q1014" s="29" t="n"/>
      <c r="R1014" s="29" t="n"/>
      <c r="S1014" s="29" t="n"/>
      <c r="T1014" s="29" t="n"/>
      <c r="U1014" s="29" t="n"/>
      <c r="V1014" s="29" t="n"/>
      <c r="W1014" s="29" t="n"/>
      <c r="X1014" s="29" t="n"/>
      <c r="Y1014" s="29" t="n"/>
      <c r="Z1014" s="29" t="n"/>
      <c r="AA1014" s="29" t="n"/>
      <c r="AB1014" s="29" t="n"/>
      <c r="AC1014" s="29" t="n"/>
      <c r="AD1014" s="29" t="n"/>
      <c r="AE1014" s="29" t="n"/>
      <c r="AF1014" s="29" t="n"/>
      <c r="AG1014" s="29" t="n"/>
      <c r="AH1014" s="29" t="n"/>
      <c r="AI1014" s="29" t="n"/>
    </row>
    <row r="1015">
      <c r="L1015" s="29" t="n"/>
      <c r="M1015" s="29" t="n"/>
      <c r="N1015" s="29" t="n"/>
      <c r="O1015" s="29" t="n"/>
      <c r="P1015" s="29" t="n"/>
      <c r="Q1015" s="29" t="n"/>
      <c r="R1015" s="29" t="n"/>
      <c r="S1015" s="29" t="n"/>
      <c r="T1015" s="29" t="n"/>
      <c r="U1015" s="29" t="n"/>
      <c r="V1015" s="29" t="n"/>
      <c r="W1015" s="29" t="n"/>
      <c r="X1015" s="29" t="n"/>
      <c r="Y1015" s="29" t="n"/>
      <c r="Z1015" s="29" t="n"/>
      <c r="AA1015" s="29" t="n"/>
      <c r="AB1015" s="29" t="n"/>
      <c r="AC1015" s="29" t="n"/>
      <c r="AD1015" s="29" t="n"/>
      <c r="AE1015" s="29" t="n"/>
      <c r="AF1015" s="29" t="n"/>
      <c r="AG1015" s="29" t="n"/>
      <c r="AH1015" s="29" t="n"/>
      <c r="AI1015" s="29" t="n"/>
    </row>
    <row r="1016">
      <c r="L1016" s="29" t="n"/>
      <c r="M1016" s="29" t="n"/>
      <c r="N1016" s="29" t="n"/>
      <c r="O1016" s="29" t="n"/>
      <c r="P1016" s="29" t="n"/>
      <c r="Q1016" s="29" t="n"/>
      <c r="R1016" s="29" t="n"/>
      <c r="S1016" s="29" t="n"/>
      <c r="T1016" s="29" t="n"/>
      <c r="U1016" s="29" t="n"/>
      <c r="V1016" s="29" t="n"/>
      <c r="W1016" s="29" t="n"/>
      <c r="X1016" s="29" t="n"/>
      <c r="Y1016" s="29" t="n"/>
      <c r="Z1016" s="29" t="n"/>
      <c r="AA1016" s="29" t="n"/>
      <c r="AB1016" s="29" t="n"/>
      <c r="AC1016" s="29" t="n"/>
      <c r="AD1016" s="29" t="n"/>
      <c r="AE1016" s="29" t="n"/>
      <c r="AF1016" s="29" t="n"/>
      <c r="AG1016" s="29" t="n"/>
      <c r="AH1016" s="29" t="n"/>
      <c r="AI1016" s="29" t="n"/>
    </row>
    <row r="1017">
      <c r="L1017" s="29" t="n"/>
      <c r="M1017" s="29" t="n"/>
      <c r="N1017" s="29" t="n"/>
      <c r="O1017" s="29" t="n"/>
      <c r="P1017" s="29" t="n"/>
      <c r="Q1017" s="29" t="n"/>
      <c r="R1017" s="29" t="n"/>
      <c r="S1017" s="29" t="n"/>
      <c r="T1017" s="29" t="n"/>
      <c r="U1017" s="29" t="n"/>
      <c r="V1017" s="29" t="n"/>
      <c r="W1017" s="29" t="n"/>
      <c r="X1017" s="29" t="n"/>
      <c r="Y1017" s="29" t="n"/>
      <c r="Z1017" s="29" t="n"/>
      <c r="AA1017" s="29" t="n"/>
      <c r="AB1017" s="29" t="n"/>
      <c r="AC1017" s="29" t="n"/>
      <c r="AD1017" s="29" t="n"/>
      <c r="AE1017" s="29" t="n"/>
      <c r="AF1017" s="29" t="n"/>
      <c r="AG1017" s="29" t="n"/>
      <c r="AH1017" s="29" t="n"/>
      <c r="AI1017" s="29" t="n"/>
    </row>
    <row r="1018">
      <c r="L1018" s="29" t="n"/>
      <c r="M1018" s="29" t="n"/>
      <c r="N1018" s="29" t="n"/>
      <c r="O1018" s="29" t="n"/>
      <c r="P1018" s="29" t="n"/>
      <c r="Q1018" s="29" t="n"/>
      <c r="R1018" s="29" t="n"/>
      <c r="S1018" s="29" t="n"/>
      <c r="T1018" s="29" t="n"/>
      <c r="U1018" s="29" t="n"/>
      <c r="V1018" s="29" t="n"/>
      <c r="W1018" s="29" t="n"/>
      <c r="X1018" s="29" t="n"/>
      <c r="Y1018" s="29" t="n"/>
      <c r="Z1018" s="29" t="n"/>
      <c r="AA1018" s="29" t="n"/>
      <c r="AB1018" s="29" t="n"/>
      <c r="AC1018" s="29" t="n"/>
      <c r="AD1018" s="29" t="n"/>
      <c r="AE1018" s="29" t="n"/>
      <c r="AF1018" s="29" t="n"/>
      <c r="AG1018" s="29" t="n"/>
      <c r="AH1018" s="29" t="n"/>
      <c r="AI1018" s="29" t="n"/>
    </row>
    <row r="1019">
      <c r="L1019" s="29" t="n"/>
      <c r="M1019" s="29" t="n"/>
      <c r="N1019" s="29" t="n"/>
      <c r="O1019" s="29" t="n"/>
      <c r="P1019" s="29" t="n"/>
      <c r="Q1019" s="29" t="n"/>
      <c r="R1019" s="29" t="n"/>
      <c r="S1019" s="29" t="n"/>
      <c r="T1019" s="29" t="n"/>
      <c r="U1019" s="29" t="n"/>
      <c r="V1019" s="29" t="n"/>
      <c r="W1019" s="29" t="n"/>
      <c r="X1019" s="29" t="n"/>
      <c r="Y1019" s="29" t="n"/>
      <c r="Z1019" s="29" t="n"/>
      <c r="AA1019" s="29" t="n"/>
      <c r="AB1019" s="29" t="n"/>
      <c r="AC1019" s="29" t="n"/>
      <c r="AD1019" s="29" t="n"/>
      <c r="AE1019" s="29" t="n"/>
      <c r="AF1019" s="29" t="n"/>
      <c r="AG1019" s="29" t="n"/>
      <c r="AH1019" s="29" t="n"/>
      <c r="AI1019" s="29" t="n"/>
    </row>
    <row r="1020">
      <c r="L1020" s="29" t="n"/>
      <c r="M1020" s="29" t="n"/>
      <c r="N1020" s="29" t="n"/>
      <c r="O1020" s="29" t="n"/>
      <c r="P1020" s="29" t="n"/>
      <c r="Q1020" s="29" t="n"/>
      <c r="R1020" s="29" t="n"/>
      <c r="S1020" s="29" t="n"/>
      <c r="T1020" s="29" t="n"/>
      <c r="U1020" s="29" t="n"/>
      <c r="V1020" s="29" t="n"/>
      <c r="W1020" s="29" t="n"/>
      <c r="X1020" s="29" t="n"/>
      <c r="Y1020" s="29" t="n"/>
      <c r="Z1020" s="29" t="n"/>
      <c r="AA1020" s="29" t="n"/>
      <c r="AB1020" s="29" t="n"/>
      <c r="AC1020" s="29" t="n"/>
      <c r="AD1020" s="29" t="n"/>
      <c r="AE1020" s="29" t="n"/>
      <c r="AF1020" s="29" t="n"/>
      <c r="AG1020" s="29" t="n"/>
      <c r="AH1020" s="29" t="n"/>
      <c r="AI1020" s="29" t="n"/>
    </row>
    <row r="1021">
      <c r="L1021" s="29" t="n"/>
      <c r="M1021" s="29" t="n"/>
      <c r="N1021" s="29" t="n"/>
      <c r="O1021" s="29" t="n"/>
      <c r="P1021" s="29" t="n"/>
      <c r="Q1021" s="29" t="n"/>
      <c r="R1021" s="29" t="n"/>
      <c r="S1021" s="29" t="n"/>
      <c r="T1021" s="29" t="n"/>
      <c r="U1021" s="29" t="n"/>
      <c r="V1021" s="29" t="n"/>
      <c r="W1021" s="29" t="n"/>
      <c r="X1021" s="29" t="n"/>
      <c r="Y1021" s="29" t="n"/>
      <c r="Z1021" s="29" t="n"/>
      <c r="AA1021" s="29" t="n"/>
      <c r="AB1021" s="29" t="n"/>
      <c r="AC1021" s="29" t="n"/>
      <c r="AD1021" s="29" t="n"/>
      <c r="AE1021" s="29" t="n"/>
      <c r="AF1021" s="29" t="n"/>
      <c r="AG1021" s="29" t="n"/>
      <c r="AH1021" s="29" t="n"/>
      <c r="AI1021" s="29" t="n"/>
    </row>
    <row r="1022">
      <c r="L1022" s="29" t="n"/>
      <c r="M1022" s="29" t="n"/>
      <c r="N1022" s="29" t="n"/>
      <c r="O1022" s="29" t="n"/>
      <c r="P1022" s="29" t="n"/>
      <c r="Q1022" s="29" t="n"/>
      <c r="R1022" s="29" t="n"/>
      <c r="S1022" s="29" t="n"/>
      <c r="T1022" s="29" t="n"/>
      <c r="U1022" s="29" t="n"/>
      <c r="V1022" s="29" t="n"/>
      <c r="W1022" s="29" t="n"/>
      <c r="X1022" s="29" t="n"/>
      <c r="Y1022" s="29" t="n"/>
      <c r="Z1022" s="29" t="n"/>
      <c r="AA1022" s="29" t="n"/>
      <c r="AB1022" s="29" t="n"/>
      <c r="AC1022" s="29" t="n"/>
      <c r="AD1022" s="29" t="n"/>
      <c r="AE1022" s="29" t="n"/>
      <c r="AF1022" s="29" t="n"/>
      <c r="AG1022" s="29" t="n"/>
      <c r="AH1022" s="29" t="n"/>
      <c r="AI1022" s="29" t="n"/>
    </row>
    <row r="1023">
      <c r="L1023" s="29" t="n"/>
      <c r="M1023" s="29" t="n"/>
      <c r="N1023" s="29" t="n"/>
      <c r="O1023" s="29" t="n"/>
      <c r="P1023" s="29" t="n"/>
      <c r="Q1023" s="29" t="n"/>
      <c r="R1023" s="29" t="n"/>
      <c r="S1023" s="29" t="n"/>
      <c r="T1023" s="29" t="n"/>
      <c r="U1023" s="29" t="n"/>
      <c r="V1023" s="29" t="n"/>
      <c r="W1023" s="29" t="n"/>
      <c r="X1023" s="29" t="n"/>
      <c r="Y1023" s="29" t="n"/>
      <c r="Z1023" s="29" t="n"/>
      <c r="AA1023" s="29" t="n"/>
      <c r="AB1023" s="29" t="n"/>
      <c r="AC1023" s="29" t="n"/>
      <c r="AD1023" s="29" t="n"/>
      <c r="AE1023" s="29" t="n"/>
      <c r="AF1023" s="29" t="n"/>
      <c r="AG1023" s="29" t="n"/>
      <c r="AH1023" s="29" t="n"/>
      <c r="AI1023" s="29" t="n"/>
    </row>
    <row r="1024">
      <c r="L1024" s="29" t="n"/>
      <c r="M1024" s="29" t="n"/>
      <c r="N1024" s="29" t="n"/>
      <c r="O1024" s="29" t="n"/>
      <c r="P1024" s="29" t="n"/>
      <c r="Q1024" s="29" t="n"/>
      <c r="R1024" s="29" t="n"/>
      <c r="S1024" s="29" t="n"/>
      <c r="T1024" s="29" t="n"/>
      <c r="U1024" s="29" t="n"/>
      <c r="V1024" s="29" t="n"/>
      <c r="W1024" s="29" t="n"/>
      <c r="X1024" s="29" t="n"/>
      <c r="Y1024" s="29" t="n"/>
      <c r="Z1024" s="29" t="n"/>
      <c r="AA1024" s="29" t="n"/>
      <c r="AB1024" s="29" t="n"/>
      <c r="AC1024" s="29" t="n"/>
      <c r="AD1024" s="29" t="n"/>
      <c r="AE1024" s="29" t="n"/>
      <c r="AF1024" s="29" t="n"/>
      <c r="AG1024" s="29" t="n"/>
      <c r="AH1024" s="29" t="n"/>
      <c r="AI1024" s="29" t="n"/>
    </row>
    <row r="1025">
      <c r="L1025" s="29" t="n"/>
      <c r="M1025" s="29" t="n"/>
      <c r="N1025" s="29" t="n"/>
      <c r="O1025" s="29" t="n"/>
      <c r="P1025" s="29" t="n"/>
      <c r="Q1025" s="29" t="n"/>
      <c r="R1025" s="29" t="n"/>
      <c r="S1025" s="29" t="n"/>
      <c r="T1025" s="29" t="n"/>
      <c r="U1025" s="29" t="n"/>
      <c r="V1025" s="29" t="n"/>
      <c r="W1025" s="29" t="n"/>
      <c r="X1025" s="29" t="n"/>
      <c r="Y1025" s="29" t="n"/>
      <c r="Z1025" s="29" t="n"/>
      <c r="AA1025" s="29" t="n"/>
      <c r="AB1025" s="29" t="n"/>
      <c r="AC1025" s="29" t="n"/>
      <c r="AD1025" s="29" t="n"/>
      <c r="AE1025" s="29" t="n"/>
      <c r="AF1025" s="29" t="n"/>
      <c r="AG1025" s="29" t="n"/>
      <c r="AH1025" s="29" t="n"/>
      <c r="AI1025" s="29" t="n"/>
    </row>
    <row r="1026">
      <c r="L1026" s="29" t="n"/>
      <c r="M1026" s="29" t="n"/>
      <c r="N1026" s="29" t="n"/>
      <c r="O1026" s="29" t="n"/>
      <c r="P1026" s="29" t="n"/>
      <c r="Q1026" s="29" t="n"/>
      <c r="R1026" s="29" t="n"/>
      <c r="S1026" s="29" t="n"/>
      <c r="T1026" s="29" t="n"/>
      <c r="U1026" s="29" t="n"/>
      <c r="V1026" s="29" t="n"/>
      <c r="W1026" s="29" t="n"/>
      <c r="X1026" s="29" t="n"/>
      <c r="Y1026" s="29" t="n"/>
      <c r="Z1026" s="29" t="n"/>
      <c r="AA1026" s="29" t="n"/>
      <c r="AB1026" s="29" t="n"/>
      <c r="AC1026" s="29" t="n"/>
      <c r="AD1026" s="29" t="n"/>
      <c r="AE1026" s="29" t="n"/>
      <c r="AF1026" s="29" t="n"/>
      <c r="AG1026" s="29" t="n"/>
      <c r="AH1026" s="29" t="n"/>
      <c r="AI1026" s="29" t="n"/>
    </row>
    <row r="1027">
      <c r="L1027" s="29" t="n"/>
      <c r="M1027" s="29" t="n"/>
      <c r="N1027" s="29" t="n"/>
      <c r="O1027" s="29" t="n"/>
      <c r="P1027" s="29" t="n"/>
      <c r="Q1027" s="29" t="n"/>
      <c r="R1027" s="29" t="n"/>
      <c r="S1027" s="29" t="n"/>
      <c r="T1027" s="29" t="n"/>
      <c r="U1027" s="29" t="n"/>
      <c r="V1027" s="29" t="n"/>
      <c r="W1027" s="29" t="n"/>
      <c r="X1027" s="29" t="n"/>
      <c r="Y1027" s="29" t="n"/>
      <c r="Z1027" s="29" t="n"/>
      <c r="AA1027" s="29" t="n"/>
      <c r="AB1027" s="29" t="n"/>
      <c r="AC1027" s="29" t="n"/>
      <c r="AD1027" s="29" t="n"/>
      <c r="AE1027" s="29" t="n"/>
      <c r="AF1027" s="29" t="n"/>
      <c r="AG1027" s="29" t="n"/>
      <c r="AH1027" s="29" t="n"/>
      <c r="AI1027" s="29" t="n"/>
    </row>
    <row r="1028">
      <c r="L1028" s="29" t="n"/>
      <c r="M1028" s="29" t="n"/>
      <c r="N1028" s="29" t="n"/>
      <c r="O1028" s="29" t="n"/>
      <c r="P1028" s="29" t="n"/>
      <c r="Q1028" s="29" t="n"/>
      <c r="R1028" s="29" t="n"/>
      <c r="S1028" s="29" t="n"/>
      <c r="T1028" s="29" t="n"/>
      <c r="U1028" s="29" t="n"/>
      <c r="V1028" s="29" t="n"/>
      <c r="W1028" s="29" t="n"/>
      <c r="X1028" s="29" t="n"/>
      <c r="Y1028" s="29" t="n"/>
      <c r="Z1028" s="29" t="n"/>
      <c r="AA1028" s="29" t="n"/>
      <c r="AB1028" s="29" t="n"/>
      <c r="AC1028" s="29" t="n"/>
      <c r="AD1028" s="29" t="n"/>
      <c r="AE1028" s="29" t="n"/>
      <c r="AF1028" s="29" t="n"/>
      <c r="AG1028" s="29" t="n"/>
      <c r="AH1028" s="29" t="n"/>
      <c r="AI1028" s="29" t="n"/>
    </row>
    <row r="1029">
      <c r="L1029" s="29" t="n"/>
      <c r="M1029" s="29" t="n"/>
      <c r="N1029" s="29" t="n"/>
      <c r="O1029" s="29" t="n"/>
      <c r="P1029" s="29" t="n"/>
      <c r="Q1029" s="29" t="n"/>
      <c r="R1029" s="29" t="n"/>
      <c r="S1029" s="29" t="n"/>
      <c r="T1029" s="29" t="n"/>
      <c r="U1029" s="29" t="n"/>
      <c r="V1029" s="29" t="n"/>
      <c r="W1029" s="29" t="n"/>
      <c r="X1029" s="29" t="n"/>
      <c r="Y1029" s="29" t="n"/>
      <c r="Z1029" s="29" t="n"/>
      <c r="AA1029" s="29" t="n"/>
      <c r="AB1029" s="29" t="n"/>
      <c r="AC1029" s="29" t="n"/>
      <c r="AD1029" s="29" t="n"/>
      <c r="AE1029" s="29" t="n"/>
      <c r="AF1029" s="29" t="n"/>
      <c r="AG1029" s="29" t="n"/>
      <c r="AH1029" s="29" t="n"/>
      <c r="AI1029" s="29" t="n"/>
    </row>
    <row r="1030">
      <c r="L1030" s="29" t="n"/>
      <c r="M1030" s="29" t="n"/>
      <c r="N1030" s="29" t="n"/>
      <c r="O1030" s="29" t="n"/>
      <c r="P1030" s="29" t="n"/>
      <c r="Q1030" s="29" t="n"/>
      <c r="R1030" s="29" t="n"/>
      <c r="S1030" s="29" t="n"/>
      <c r="T1030" s="29" t="n"/>
      <c r="U1030" s="29" t="n"/>
      <c r="V1030" s="29" t="n"/>
      <c r="W1030" s="29" t="n"/>
      <c r="X1030" s="29" t="n"/>
      <c r="Y1030" s="29" t="n"/>
      <c r="Z1030" s="29" t="n"/>
      <c r="AA1030" s="29" t="n"/>
      <c r="AB1030" s="29" t="n"/>
      <c r="AC1030" s="29" t="n"/>
      <c r="AD1030" s="29" t="n"/>
      <c r="AE1030" s="29" t="n"/>
      <c r="AF1030" s="29" t="n"/>
      <c r="AG1030" s="29" t="n"/>
      <c r="AH1030" s="29" t="n"/>
      <c r="AI1030" s="29" t="n"/>
    </row>
    <row r="1031">
      <c r="L1031" s="29" t="n"/>
      <c r="M1031" s="29" t="n"/>
      <c r="N1031" s="29" t="n"/>
      <c r="O1031" s="29" t="n"/>
      <c r="P1031" s="29" t="n"/>
      <c r="Q1031" s="29" t="n"/>
      <c r="R1031" s="29" t="n"/>
      <c r="S1031" s="29" t="n"/>
      <c r="T1031" s="29" t="n"/>
      <c r="U1031" s="29" t="n"/>
      <c r="V1031" s="29" t="n"/>
      <c r="W1031" s="29" t="n"/>
      <c r="X1031" s="29" t="n"/>
      <c r="Y1031" s="29" t="n"/>
      <c r="Z1031" s="29" t="n"/>
      <c r="AA1031" s="29" t="n"/>
      <c r="AB1031" s="29" t="n"/>
      <c r="AC1031" s="29" t="n"/>
      <c r="AD1031" s="29" t="n"/>
      <c r="AE1031" s="29" t="n"/>
      <c r="AF1031" s="29" t="n"/>
      <c r="AG1031" s="29" t="n"/>
      <c r="AH1031" s="29" t="n"/>
      <c r="AI1031" s="29" t="n"/>
    </row>
    <row r="1032">
      <c r="L1032" s="29" t="n"/>
      <c r="M1032" s="29" t="n"/>
      <c r="N1032" s="29" t="n"/>
      <c r="O1032" s="29" t="n"/>
      <c r="P1032" s="29" t="n"/>
      <c r="Q1032" s="29" t="n"/>
      <c r="R1032" s="29" t="n"/>
      <c r="S1032" s="29" t="n"/>
      <c r="T1032" s="29" t="n"/>
      <c r="U1032" s="29" t="n"/>
      <c r="V1032" s="29" t="n"/>
      <c r="W1032" s="29" t="n"/>
      <c r="X1032" s="29" t="n"/>
      <c r="Y1032" s="29" t="n"/>
      <c r="Z1032" s="29" t="n"/>
      <c r="AA1032" s="29" t="n"/>
      <c r="AB1032" s="29" t="n"/>
      <c r="AC1032" s="29" t="n"/>
      <c r="AD1032" s="29" t="n"/>
      <c r="AE1032" s="29" t="n"/>
      <c r="AF1032" s="29" t="n"/>
      <c r="AG1032" s="29" t="n"/>
      <c r="AH1032" s="29" t="n"/>
      <c r="AI1032" s="29" t="n"/>
    </row>
    <row r="1033">
      <c r="L1033" s="29" t="n"/>
      <c r="M1033" s="29" t="n"/>
      <c r="N1033" s="29" t="n"/>
      <c r="O1033" s="29" t="n"/>
      <c r="P1033" s="29" t="n"/>
      <c r="Q1033" s="29" t="n"/>
      <c r="R1033" s="29" t="n"/>
      <c r="S1033" s="29" t="n"/>
      <c r="T1033" s="29" t="n"/>
      <c r="U1033" s="29" t="n"/>
      <c r="V1033" s="29" t="n"/>
      <c r="W1033" s="29" t="n"/>
      <c r="X1033" s="29" t="n"/>
      <c r="Y1033" s="29" t="n"/>
      <c r="Z1033" s="29" t="n"/>
      <c r="AA1033" s="29" t="n"/>
      <c r="AB1033" s="29" t="n"/>
      <c r="AC1033" s="29" t="n"/>
      <c r="AD1033" s="29" t="n"/>
      <c r="AE1033" s="29" t="n"/>
      <c r="AF1033" s="29" t="n"/>
      <c r="AG1033" s="29" t="n"/>
      <c r="AH1033" s="29" t="n"/>
      <c r="AI1033" s="29" t="n"/>
    </row>
    <row r="1034">
      <c r="L1034" s="29" t="n"/>
      <c r="M1034" s="29" t="n"/>
      <c r="N1034" s="29" t="n"/>
      <c r="O1034" s="29" t="n"/>
      <c r="P1034" s="29" t="n"/>
      <c r="Q1034" s="29" t="n"/>
      <c r="R1034" s="29" t="n"/>
      <c r="S1034" s="29" t="n"/>
      <c r="T1034" s="29" t="n"/>
      <c r="U1034" s="29" t="n"/>
      <c r="V1034" s="29" t="n"/>
      <c r="W1034" s="29" t="n"/>
      <c r="X1034" s="29" t="n"/>
      <c r="Y1034" s="29" t="n"/>
      <c r="Z1034" s="29" t="n"/>
      <c r="AA1034" s="29" t="n"/>
      <c r="AB1034" s="29" t="n"/>
      <c r="AC1034" s="29" t="n"/>
      <c r="AD1034" s="29" t="n"/>
      <c r="AE1034" s="29" t="n"/>
      <c r="AF1034" s="29" t="n"/>
      <c r="AG1034" s="29" t="n"/>
      <c r="AH1034" s="29" t="n"/>
      <c r="AI1034" s="29" t="n"/>
    </row>
    <row r="1035">
      <c r="L1035" s="29" t="n"/>
      <c r="M1035" s="29" t="n"/>
      <c r="N1035" s="29" t="n"/>
      <c r="O1035" s="29" t="n"/>
      <c r="P1035" s="29" t="n"/>
      <c r="Q1035" s="29" t="n"/>
      <c r="R1035" s="29" t="n"/>
      <c r="S1035" s="29" t="n"/>
      <c r="T1035" s="29" t="n"/>
      <c r="U1035" s="29" t="n"/>
      <c r="V1035" s="29" t="n"/>
      <c r="W1035" s="29" t="n"/>
      <c r="X1035" s="29" t="n"/>
      <c r="Y1035" s="29" t="n"/>
      <c r="Z1035" s="29" t="n"/>
      <c r="AA1035" s="29" t="n"/>
      <c r="AB1035" s="29" t="n"/>
      <c r="AC1035" s="29" t="n"/>
      <c r="AD1035" s="29" t="n"/>
      <c r="AE1035" s="29" t="n"/>
      <c r="AF1035" s="29" t="n"/>
      <c r="AG1035" s="29" t="n"/>
      <c r="AH1035" s="29" t="n"/>
      <c r="AI1035" s="29" t="n"/>
    </row>
    <row r="1036">
      <c r="L1036" s="29" t="n"/>
      <c r="M1036" s="29" t="n"/>
      <c r="N1036" s="29" t="n"/>
      <c r="O1036" s="29" t="n"/>
      <c r="P1036" s="29" t="n"/>
      <c r="Q1036" s="29" t="n"/>
      <c r="R1036" s="29" t="n"/>
      <c r="S1036" s="29" t="n"/>
      <c r="T1036" s="29" t="n"/>
      <c r="U1036" s="29" t="n"/>
      <c r="V1036" s="29" t="n"/>
      <c r="W1036" s="29" t="n"/>
      <c r="X1036" s="29" t="n"/>
      <c r="Y1036" s="29" t="n"/>
      <c r="Z1036" s="29" t="n"/>
      <c r="AA1036" s="29" t="n"/>
      <c r="AB1036" s="29" t="n"/>
      <c r="AC1036" s="29" t="n"/>
      <c r="AD1036" s="29" t="n"/>
      <c r="AE1036" s="29" t="n"/>
      <c r="AF1036" s="29" t="n"/>
      <c r="AG1036" s="29" t="n"/>
      <c r="AH1036" s="29" t="n"/>
      <c r="AI1036" s="29" t="n"/>
    </row>
    <row r="1037">
      <c r="L1037" s="29" t="n"/>
      <c r="M1037" s="29" t="n"/>
      <c r="N1037" s="29" t="n"/>
      <c r="O1037" s="29" t="n"/>
      <c r="P1037" s="29" t="n"/>
      <c r="Q1037" s="29" t="n"/>
      <c r="R1037" s="29" t="n"/>
      <c r="S1037" s="29" t="n"/>
      <c r="T1037" s="29" t="n"/>
      <c r="U1037" s="29" t="n"/>
      <c r="V1037" s="29" t="n"/>
      <c r="W1037" s="29" t="n"/>
      <c r="X1037" s="29" t="n"/>
      <c r="Y1037" s="29" t="n"/>
      <c r="Z1037" s="29" t="n"/>
      <c r="AA1037" s="29" t="n"/>
      <c r="AB1037" s="29" t="n"/>
      <c r="AC1037" s="29" t="n"/>
      <c r="AD1037" s="29" t="n"/>
      <c r="AE1037" s="29" t="n"/>
      <c r="AF1037" s="29" t="n"/>
      <c r="AG1037" s="29" t="n"/>
      <c r="AH1037" s="29" t="n"/>
      <c r="AI1037" s="29" t="n"/>
    </row>
    <row r="1038">
      <c r="L1038" s="29" t="n"/>
      <c r="M1038" s="29" t="n"/>
      <c r="N1038" s="29" t="n"/>
      <c r="O1038" s="29" t="n"/>
      <c r="P1038" s="29" t="n"/>
      <c r="Q1038" s="29" t="n"/>
      <c r="R1038" s="29" t="n"/>
      <c r="S1038" s="29" t="n"/>
      <c r="T1038" s="29" t="n"/>
      <c r="U1038" s="29" t="n"/>
      <c r="V1038" s="29" t="n"/>
      <c r="W1038" s="29" t="n"/>
      <c r="X1038" s="29" t="n"/>
      <c r="Y1038" s="29" t="n"/>
      <c r="Z1038" s="29" t="n"/>
      <c r="AA1038" s="29" t="n"/>
      <c r="AB1038" s="29" t="n"/>
      <c r="AC1038" s="29" t="n"/>
      <c r="AD1038" s="29" t="n"/>
      <c r="AE1038" s="29" t="n"/>
      <c r="AF1038" s="29" t="n"/>
      <c r="AG1038" s="29" t="n"/>
      <c r="AH1038" s="29" t="n"/>
      <c r="AI1038" s="29" t="n"/>
    </row>
    <row r="1039">
      <c r="L1039" s="29" t="n"/>
      <c r="M1039" s="29" t="n"/>
      <c r="N1039" s="29" t="n"/>
      <c r="O1039" s="29" t="n"/>
      <c r="P1039" s="29" t="n"/>
      <c r="Q1039" s="29" t="n"/>
      <c r="R1039" s="29" t="n"/>
      <c r="S1039" s="29" t="n"/>
      <c r="T1039" s="29" t="n"/>
      <c r="U1039" s="29" t="n"/>
      <c r="V1039" s="29" t="n"/>
      <c r="W1039" s="29" t="n"/>
      <c r="X1039" s="29" t="n"/>
      <c r="Y1039" s="29" t="n"/>
      <c r="Z1039" s="29" t="n"/>
      <c r="AA1039" s="29" t="n"/>
      <c r="AB1039" s="29" t="n"/>
      <c r="AC1039" s="29" t="n"/>
      <c r="AD1039" s="29" t="n"/>
      <c r="AE1039" s="29" t="n"/>
      <c r="AF1039" s="29" t="n"/>
      <c r="AG1039" s="29" t="n"/>
      <c r="AH1039" s="29" t="n"/>
      <c r="AI1039" s="29" t="n"/>
    </row>
    <row r="1040">
      <c r="L1040" s="29" t="n"/>
      <c r="M1040" s="29" t="n"/>
      <c r="N1040" s="29" t="n"/>
      <c r="O1040" s="29" t="n"/>
      <c r="P1040" s="29" t="n"/>
      <c r="Q1040" s="29" t="n"/>
      <c r="R1040" s="29" t="n"/>
      <c r="S1040" s="29" t="n"/>
      <c r="T1040" s="29" t="n"/>
      <c r="U1040" s="29" t="n"/>
      <c r="V1040" s="29" t="n"/>
      <c r="W1040" s="29" t="n"/>
      <c r="X1040" s="29" t="n"/>
      <c r="Y1040" s="29" t="n"/>
      <c r="Z1040" s="29" t="n"/>
      <c r="AA1040" s="29" t="n"/>
      <c r="AB1040" s="29" t="n"/>
      <c r="AC1040" s="29" t="n"/>
      <c r="AD1040" s="29" t="n"/>
      <c r="AE1040" s="29" t="n"/>
      <c r="AF1040" s="29" t="n"/>
      <c r="AG1040" s="29" t="n"/>
      <c r="AH1040" s="29" t="n"/>
      <c r="AI1040" s="29" t="n"/>
    </row>
    <row r="1041">
      <c r="L1041" s="29" t="n"/>
      <c r="M1041" s="29" t="n"/>
      <c r="N1041" s="29" t="n"/>
      <c r="O1041" s="29" t="n"/>
      <c r="P1041" s="29" t="n"/>
      <c r="Q1041" s="29" t="n"/>
      <c r="R1041" s="29" t="n"/>
      <c r="S1041" s="29" t="n"/>
      <c r="T1041" s="29" t="n"/>
      <c r="U1041" s="29" t="n"/>
      <c r="V1041" s="29" t="n"/>
      <c r="W1041" s="29" t="n"/>
      <c r="X1041" s="29" t="n"/>
      <c r="Y1041" s="29" t="n"/>
      <c r="Z1041" s="29" t="n"/>
      <c r="AA1041" s="29" t="n"/>
      <c r="AB1041" s="29" t="n"/>
      <c r="AC1041" s="29" t="n"/>
      <c r="AD1041" s="29" t="n"/>
      <c r="AE1041" s="29" t="n"/>
      <c r="AF1041" s="29" t="n"/>
      <c r="AG1041" s="29" t="n"/>
      <c r="AH1041" s="29" t="n"/>
      <c r="AI1041" s="29" t="n"/>
    </row>
    <row r="1042">
      <c r="L1042" s="29" t="n"/>
      <c r="M1042" s="29" t="n"/>
      <c r="N1042" s="29" t="n"/>
      <c r="O1042" s="29" t="n"/>
      <c r="P1042" s="29" t="n"/>
      <c r="Q1042" s="29" t="n"/>
      <c r="R1042" s="29" t="n"/>
      <c r="S1042" s="29" t="n"/>
      <c r="T1042" s="29" t="n"/>
      <c r="U1042" s="29" t="n"/>
      <c r="V1042" s="29" t="n"/>
      <c r="W1042" s="29" t="n"/>
      <c r="X1042" s="29" t="n"/>
      <c r="Y1042" s="29" t="n"/>
      <c r="Z1042" s="29" t="n"/>
      <c r="AA1042" s="29" t="n"/>
      <c r="AB1042" s="29" t="n"/>
      <c r="AC1042" s="29" t="n"/>
      <c r="AD1042" s="29" t="n"/>
      <c r="AE1042" s="29" t="n"/>
      <c r="AF1042" s="29" t="n"/>
      <c r="AG1042" s="29" t="n"/>
      <c r="AH1042" s="29" t="n"/>
      <c r="AI1042" s="29" t="n"/>
    </row>
    <row r="1043">
      <c r="L1043" s="29" t="n"/>
      <c r="M1043" s="29" t="n"/>
      <c r="N1043" s="29" t="n"/>
      <c r="O1043" s="29" t="n"/>
      <c r="P1043" s="29" t="n"/>
      <c r="Q1043" s="29" t="n"/>
      <c r="R1043" s="29" t="n"/>
      <c r="S1043" s="29" t="n"/>
      <c r="T1043" s="29" t="n"/>
      <c r="U1043" s="29" t="n"/>
      <c r="V1043" s="29" t="n"/>
      <c r="W1043" s="29" t="n"/>
      <c r="X1043" s="29" t="n"/>
      <c r="Y1043" s="29" t="n"/>
      <c r="Z1043" s="29" t="n"/>
      <c r="AA1043" s="29" t="n"/>
      <c r="AB1043" s="29" t="n"/>
      <c r="AC1043" s="29" t="n"/>
      <c r="AD1043" s="29" t="n"/>
      <c r="AE1043" s="29" t="n"/>
      <c r="AF1043" s="29" t="n"/>
      <c r="AG1043" s="29" t="n"/>
      <c r="AH1043" s="29" t="n"/>
      <c r="AI1043" s="29" t="n"/>
    </row>
    <row r="1044">
      <c r="L1044" s="29" t="n"/>
      <c r="M1044" s="29" t="n"/>
      <c r="N1044" s="29" t="n"/>
      <c r="O1044" s="29" t="n"/>
      <c r="P1044" s="29" t="n"/>
      <c r="Q1044" s="29" t="n"/>
      <c r="R1044" s="29" t="n"/>
      <c r="S1044" s="29" t="n"/>
      <c r="T1044" s="29" t="n"/>
      <c r="U1044" s="29" t="n"/>
      <c r="V1044" s="29" t="n"/>
      <c r="W1044" s="29" t="n"/>
      <c r="X1044" s="29" t="n"/>
      <c r="Y1044" s="29" t="n"/>
      <c r="Z1044" s="29" t="n"/>
      <c r="AA1044" s="29" t="n"/>
      <c r="AB1044" s="29" t="n"/>
      <c r="AC1044" s="29" t="n"/>
      <c r="AD1044" s="29" t="n"/>
      <c r="AE1044" s="29" t="n"/>
      <c r="AF1044" s="29" t="n"/>
      <c r="AG1044" s="29" t="n"/>
      <c r="AH1044" s="29" t="n"/>
      <c r="AI1044" s="29" t="n"/>
    </row>
    <row r="1045">
      <c r="L1045" s="29" t="n"/>
      <c r="M1045" s="29" t="n"/>
      <c r="N1045" s="29" t="n"/>
      <c r="O1045" s="29" t="n"/>
      <c r="P1045" s="29" t="n"/>
      <c r="Q1045" s="29" t="n"/>
      <c r="R1045" s="29" t="n"/>
      <c r="S1045" s="29" t="n"/>
      <c r="T1045" s="29" t="n"/>
      <c r="U1045" s="29" t="n"/>
      <c r="V1045" s="29" t="n"/>
      <c r="W1045" s="29" t="n"/>
      <c r="X1045" s="29" t="n"/>
      <c r="Y1045" s="29" t="n"/>
      <c r="Z1045" s="29" t="n"/>
      <c r="AA1045" s="29" t="n"/>
      <c r="AB1045" s="29" t="n"/>
      <c r="AC1045" s="29" t="n"/>
      <c r="AD1045" s="29" t="n"/>
      <c r="AE1045" s="29" t="n"/>
      <c r="AF1045" s="29" t="n"/>
      <c r="AG1045" s="29" t="n"/>
      <c r="AH1045" s="29" t="n"/>
      <c r="AI1045" s="29" t="n"/>
    </row>
    <row r="1046">
      <c r="L1046" s="29" t="n"/>
      <c r="M1046" s="29" t="n"/>
      <c r="N1046" s="29" t="n"/>
      <c r="O1046" s="29" t="n"/>
      <c r="P1046" s="29" t="n"/>
      <c r="Q1046" s="29" t="n"/>
      <c r="R1046" s="29" t="n"/>
      <c r="S1046" s="29" t="n"/>
      <c r="T1046" s="29" t="n"/>
      <c r="U1046" s="29" t="n"/>
      <c r="V1046" s="29" t="n"/>
      <c r="W1046" s="29" t="n"/>
      <c r="X1046" s="29" t="n"/>
      <c r="Y1046" s="29" t="n"/>
      <c r="Z1046" s="29" t="n"/>
      <c r="AA1046" s="29" t="n"/>
      <c r="AB1046" s="29" t="n"/>
      <c r="AC1046" s="29" t="n"/>
      <c r="AD1046" s="29" t="n"/>
      <c r="AE1046" s="29" t="n"/>
      <c r="AF1046" s="29" t="n"/>
      <c r="AG1046" s="29" t="n"/>
      <c r="AH1046" s="29" t="n"/>
      <c r="AI1046" s="29" t="n"/>
    </row>
    <row r="1047">
      <c r="L1047" s="29" t="n"/>
      <c r="M1047" s="29" t="n"/>
      <c r="N1047" s="29" t="n"/>
      <c r="O1047" s="29" t="n"/>
      <c r="P1047" s="29" t="n"/>
      <c r="Q1047" s="29" t="n"/>
      <c r="R1047" s="29" t="n"/>
      <c r="S1047" s="29" t="n"/>
      <c r="T1047" s="29" t="n"/>
      <c r="U1047" s="29" t="n"/>
      <c r="V1047" s="29" t="n"/>
      <c r="W1047" s="29" t="n"/>
      <c r="X1047" s="29" t="n"/>
      <c r="Y1047" s="29" t="n"/>
      <c r="Z1047" s="29" t="n"/>
      <c r="AA1047" s="29" t="n"/>
      <c r="AB1047" s="29" t="n"/>
      <c r="AC1047" s="29" t="n"/>
      <c r="AD1047" s="29" t="n"/>
      <c r="AE1047" s="29" t="n"/>
      <c r="AF1047" s="29" t="n"/>
      <c r="AG1047" s="29" t="n"/>
      <c r="AH1047" s="29" t="n"/>
      <c r="AI1047" s="29" t="n"/>
    </row>
    <row r="1048">
      <c r="L1048" s="29" t="n"/>
      <c r="M1048" s="29" t="n"/>
      <c r="N1048" s="29" t="n"/>
      <c r="O1048" s="29" t="n"/>
      <c r="P1048" s="29" t="n"/>
      <c r="Q1048" s="29" t="n"/>
      <c r="R1048" s="29" t="n"/>
      <c r="S1048" s="29" t="n"/>
      <c r="T1048" s="29" t="n"/>
      <c r="U1048" s="29" t="n"/>
      <c r="V1048" s="29" t="n"/>
      <c r="W1048" s="29" t="n"/>
      <c r="X1048" s="29" t="n"/>
      <c r="Y1048" s="29" t="n"/>
      <c r="Z1048" s="29" t="n"/>
      <c r="AA1048" s="29" t="n"/>
      <c r="AB1048" s="29" t="n"/>
      <c r="AC1048" s="29" t="n"/>
      <c r="AD1048" s="29" t="n"/>
      <c r="AE1048" s="29" t="n"/>
      <c r="AF1048" s="29" t="n"/>
      <c r="AG1048" s="29" t="n"/>
      <c r="AH1048" s="29" t="n"/>
      <c r="AI1048" s="29" t="n"/>
    </row>
    <row r="1049">
      <c r="L1049" s="29" t="n"/>
      <c r="M1049" s="29" t="n"/>
      <c r="N1049" s="29" t="n"/>
      <c r="O1049" s="29" t="n"/>
      <c r="P1049" s="29" t="n"/>
      <c r="Q1049" s="29" t="n"/>
      <c r="R1049" s="29" t="n"/>
      <c r="S1049" s="29" t="n"/>
      <c r="T1049" s="29" t="n"/>
      <c r="U1049" s="29" t="n"/>
      <c r="V1049" s="29" t="n"/>
      <c r="W1049" s="29" t="n"/>
      <c r="X1049" s="29" t="n"/>
      <c r="Y1049" s="29" t="n"/>
      <c r="Z1049" s="29" t="n"/>
      <c r="AA1049" s="29" t="n"/>
      <c r="AB1049" s="29" t="n"/>
      <c r="AC1049" s="29" t="n"/>
      <c r="AD1049" s="29" t="n"/>
      <c r="AE1049" s="29" t="n"/>
      <c r="AF1049" s="29" t="n"/>
      <c r="AG1049" s="29" t="n"/>
      <c r="AH1049" s="29" t="n"/>
      <c r="AI1049" s="29" t="n"/>
    </row>
    <row r="1050">
      <c r="L1050" s="29" t="n"/>
      <c r="M1050" s="29" t="n"/>
      <c r="N1050" s="29" t="n"/>
      <c r="O1050" s="29" t="n"/>
      <c r="P1050" s="29" t="n"/>
      <c r="Q1050" s="29" t="n"/>
      <c r="R1050" s="29" t="n"/>
      <c r="S1050" s="29" t="n"/>
      <c r="T1050" s="29" t="n"/>
      <c r="U1050" s="29" t="n"/>
      <c r="V1050" s="29" t="n"/>
      <c r="W1050" s="29" t="n"/>
      <c r="X1050" s="29" t="n"/>
      <c r="Y1050" s="29" t="n"/>
      <c r="Z1050" s="29" t="n"/>
      <c r="AA1050" s="29" t="n"/>
      <c r="AB1050" s="29" t="n"/>
      <c r="AC1050" s="29" t="n"/>
      <c r="AD1050" s="29" t="n"/>
      <c r="AE1050" s="29" t="n"/>
      <c r="AF1050" s="29" t="n"/>
      <c r="AG1050" s="29" t="n"/>
      <c r="AH1050" s="29" t="n"/>
      <c r="AI1050" s="29" t="n"/>
    </row>
    <row r="1051">
      <c r="L1051" s="29" t="n"/>
      <c r="M1051" s="29" t="n"/>
      <c r="N1051" s="29" t="n"/>
      <c r="O1051" s="29" t="n"/>
      <c r="P1051" s="29" t="n"/>
      <c r="Q1051" s="29" t="n"/>
      <c r="R1051" s="29" t="n"/>
      <c r="S1051" s="29" t="n"/>
      <c r="T1051" s="29" t="n"/>
      <c r="U1051" s="29" t="n"/>
      <c r="V1051" s="29" t="n"/>
      <c r="W1051" s="29" t="n"/>
      <c r="X1051" s="29" t="n"/>
      <c r="Y1051" s="29" t="n"/>
      <c r="Z1051" s="29" t="n"/>
      <c r="AA1051" s="29" t="n"/>
      <c r="AB1051" s="29" t="n"/>
      <c r="AC1051" s="29" t="n"/>
      <c r="AD1051" s="29" t="n"/>
      <c r="AE1051" s="29" t="n"/>
      <c r="AF1051" s="29" t="n"/>
      <c r="AG1051" s="29" t="n"/>
      <c r="AH1051" s="29" t="n"/>
      <c r="AI1051" s="29" t="n"/>
    </row>
    <row r="1052">
      <c r="L1052" s="29" t="n"/>
      <c r="M1052" s="29" t="n"/>
      <c r="N1052" s="29" t="n"/>
      <c r="O1052" s="29" t="n"/>
      <c r="P1052" s="29" t="n"/>
      <c r="Q1052" s="29" t="n"/>
      <c r="R1052" s="29" t="n"/>
      <c r="S1052" s="29" t="n"/>
      <c r="T1052" s="29" t="n"/>
      <c r="U1052" s="29" t="n"/>
      <c r="V1052" s="29" t="n"/>
      <c r="W1052" s="29" t="n"/>
      <c r="X1052" s="29" t="n"/>
      <c r="Y1052" s="29" t="n"/>
      <c r="Z1052" s="29" t="n"/>
      <c r="AA1052" s="29" t="n"/>
      <c r="AB1052" s="29" t="n"/>
      <c r="AC1052" s="29" t="n"/>
      <c r="AD1052" s="29" t="n"/>
      <c r="AE1052" s="29" t="n"/>
      <c r="AF1052" s="29" t="n"/>
      <c r="AG1052" s="29" t="n"/>
      <c r="AH1052" s="29" t="n"/>
      <c r="AI1052" s="29" t="n"/>
    </row>
    <row r="1053">
      <c r="L1053" s="29" t="n"/>
      <c r="M1053" s="29" t="n"/>
      <c r="N1053" s="29" t="n"/>
      <c r="O1053" s="29" t="n"/>
      <c r="P1053" s="29" t="n"/>
      <c r="Q1053" s="29" t="n"/>
      <c r="R1053" s="29" t="n"/>
      <c r="S1053" s="29" t="n"/>
      <c r="T1053" s="29" t="n"/>
      <c r="U1053" s="29" t="n"/>
      <c r="V1053" s="29" t="n"/>
      <c r="W1053" s="29" t="n"/>
      <c r="X1053" s="29" t="n"/>
      <c r="Y1053" s="29" t="n"/>
      <c r="Z1053" s="29" t="n"/>
      <c r="AA1053" s="29" t="n"/>
      <c r="AB1053" s="29" t="n"/>
      <c r="AC1053" s="29" t="n"/>
      <c r="AD1053" s="29" t="n"/>
      <c r="AE1053" s="29" t="n"/>
      <c r="AF1053" s="29" t="n"/>
      <c r="AG1053" s="29" t="n"/>
      <c r="AH1053" s="29" t="n"/>
      <c r="AI1053" s="29" t="n"/>
    </row>
    <row r="1054">
      <c r="L1054" s="29" t="n"/>
      <c r="M1054" s="29" t="n"/>
      <c r="N1054" s="29" t="n"/>
      <c r="O1054" s="29" t="n"/>
      <c r="P1054" s="29" t="n"/>
      <c r="Q1054" s="29" t="n"/>
      <c r="R1054" s="29" t="n"/>
      <c r="S1054" s="29" t="n"/>
      <c r="T1054" s="29" t="n"/>
      <c r="U1054" s="29" t="n"/>
      <c r="V1054" s="29" t="n"/>
      <c r="W1054" s="29" t="n"/>
      <c r="X1054" s="29" t="n"/>
      <c r="Y1054" s="29" t="n"/>
      <c r="Z1054" s="29" t="n"/>
      <c r="AA1054" s="29" t="n"/>
      <c r="AB1054" s="29" t="n"/>
      <c r="AC1054" s="29" t="n"/>
      <c r="AD1054" s="29" t="n"/>
      <c r="AE1054" s="29" t="n"/>
      <c r="AF1054" s="29" t="n"/>
      <c r="AG1054" s="29" t="n"/>
      <c r="AH1054" s="29" t="n"/>
      <c r="AI1054" s="29" t="n"/>
    </row>
    <row r="1055">
      <c r="L1055" s="29" t="n"/>
      <c r="M1055" s="29" t="n"/>
      <c r="N1055" s="29" t="n"/>
      <c r="O1055" s="29" t="n"/>
      <c r="P1055" s="29" t="n"/>
      <c r="Q1055" s="29" t="n"/>
      <c r="R1055" s="29" t="n"/>
      <c r="S1055" s="29" t="n"/>
      <c r="T1055" s="29" t="n"/>
      <c r="U1055" s="29" t="n"/>
      <c r="V1055" s="29" t="n"/>
      <c r="W1055" s="29" t="n"/>
      <c r="X1055" s="29" t="n"/>
      <c r="Y1055" s="29" t="n"/>
      <c r="Z1055" s="29" t="n"/>
      <c r="AA1055" s="29" t="n"/>
      <c r="AB1055" s="29" t="n"/>
      <c r="AC1055" s="29" t="n"/>
      <c r="AD1055" s="29" t="n"/>
      <c r="AE1055" s="29" t="n"/>
      <c r="AF1055" s="29" t="n"/>
      <c r="AG1055" s="29" t="n"/>
      <c r="AH1055" s="29" t="n"/>
      <c r="AI1055" s="29" t="n"/>
    </row>
    <row r="1056">
      <c r="L1056" s="29" t="n"/>
      <c r="M1056" s="29" t="n"/>
      <c r="N1056" s="29" t="n"/>
      <c r="O1056" s="29" t="n"/>
      <c r="P1056" s="29" t="n"/>
      <c r="Q1056" s="29" t="n"/>
      <c r="R1056" s="29" t="n"/>
      <c r="S1056" s="29" t="n"/>
      <c r="T1056" s="29" t="n"/>
      <c r="U1056" s="29" t="n"/>
      <c r="V1056" s="29" t="n"/>
      <c r="W1056" s="29" t="n"/>
      <c r="X1056" s="29" t="n"/>
      <c r="Y1056" s="29" t="n"/>
      <c r="Z1056" s="29" t="n"/>
      <c r="AA1056" s="29" t="n"/>
      <c r="AB1056" s="29" t="n"/>
      <c r="AC1056" s="29" t="n"/>
      <c r="AD1056" s="29" t="n"/>
      <c r="AE1056" s="29" t="n"/>
      <c r="AF1056" s="29" t="n"/>
      <c r="AG1056" s="29" t="n"/>
      <c r="AH1056" s="29" t="n"/>
      <c r="AI1056" s="29" t="n"/>
    </row>
    <row r="1057">
      <c r="L1057" s="29" t="n"/>
      <c r="M1057" s="29" t="n"/>
      <c r="N1057" s="29" t="n"/>
      <c r="O1057" s="29" t="n"/>
      <c r="P1057" s="29" t="n"/>
      <c r="Q1057" s="29" t="n"/>
      <c r="R1057" s="29" t="n"/>
      <c r="S1057" s="29" t="n"/>
      <c r="T1057" s="29" t="n"/>
      <c r="U1057" s="29" t="n"/>
      <c r="V1057" s="29" t="n"/>
      <c r="W1057" s="29" t="n"/>
      <c r="X1057" s="29" t="n"/>
      <c r="Y1057" s="29" t="n"/>
      <c r="Z1057" s="29" t="n"/>
      <c r="AA1057" s="29" t="n"/>
      <c r="AB1057" s="29" t="n"/>
      <c r="AC1057" s="29" t="n"/>
      <c r="AD1057" s="29" t="n"/>
      <c r="AE1057" s="29" t="n"/>
      <c r="AF1057" s="29" t="n"/>
      <c r="AG1057" s="29" t="n"/>
      <c r="AH1057" s="29" t="n"/>
      <c r="AI1057" s="29" t="n"/>
    </row>
    <row r="1058">
      <c r="L1058" s="29" t="n"/>
      <c r="M1058" s="29" t="n"/>
      <c r="N1058" s="29" t="n"/>
      <c r="O1058" s="29" t="n"/>
      <c r="P1058" s="29" t="n"/>
      <c r="Q1058" s="29" t="n"/>
      <c r="R1058" s="29" t="n"/>
      <c r="S1058" s="29" t="n"/>
      <c r="T1058" s="29" t="n"/>
      <c r="U1058" s="29" t="n"/>
      <c r="V1058" s="29" t="n"/>
      <c r="W1058" s="29" t="n"/>
      <c r="X1058" s="29" t="n"/>
      <c r="Y1058" s="29" t="n"/>
      <c r="Z1058" s="29" t="n"/>
      <c r="AA1058" s="29" t="n"/>
      <c r="AB1058" s="29" t="n"/>
      <c r="AC1058" s="29" t="n"/>
      <c r="AD1058" s="29" t="n"/>
      <c r="AE1058" s="29" t="n"/>
      <c r="AF1058" s="29" t="n"/>
      <c r="AG1058" s="29" t="n"/>
      <c r="AH1058" s="29" t="n"/>
      <c r="AI1058" s="29" t="n"/>
    </row>
    <row r="1059">
      <c r="L1059" s="29" t="n"/>
      <c r="M1059" s="29" t="n"/>
      <c r="N1059" s="29" t="n"/>
      <c r="O1059" s="29" t="n"/>
      <c r="P1059" s="29" t="n"/>
      <c r="Q1059" s="29" t="n"/>
      <c r="R1059" s="29" t="n"/>
      <c r="S1059" s="29" t="n"/>
      <c r="T1059" s="29" t="n"/>
      <c r="U1059" s="29" t="n"/>
      <c r="V1059" s="29" t="n"/>
      <c r="W1059" s="29" t="n"/>
      <c r="X1059" s="29" t="n"/>
      <c r="Y1059" s="29" t="n"/>
      <c r="Z1059" s="29" t="n"/>
      <c r="AA1059" s="29" t="n"/>
      <c r="AB1059" s="29" t="n"/>
      <c r="AC1059" s="29" t="n"/>
      <c r="AD1059" s="29" t="n"/>
      <c r="AE1059" s="29" t="n"/>
      <c r="AF1059" s="29" t="n"/>
      <c r="AG1059" s="29" t="n"/>
      <c r="AH1059" s="29" t="n"/>
      <c r="AI1059" s="29" t="n"/>
    </row>
    <row r="1060">
      <c r="L1060" s="29" t="n"/>
      <c r="M1060" s="29" t="n"/>
      <c r="N1060" s="29" t="n"/>
      <c r="O1060" s="29" t="n"/>
      <c r="P1060" s="29" t="n"/>
      <c r="Q1060" s="29" t="n"/>
      <c r="R1060" s="29" t="n"/>
      <c r="S1060" s="29" t="n"/>
      <c r="T1060" s="29" t="n"/>
      <c r="U1060" s="29" t="n"/>
      <c r="V1060" s="29" t="n"/>
      <c r="W1060" s="29" t="n"/>
      <c r="X1060" s="29" t="n"/>
      <c r="Y1060" s="29" t="n"/>
      <c r="Z1060" s="29" t="n"/>
      <c r="AA1060" s="29" t="n"/>
      <c r="AB1060" s="29" t="n"/>
      <c r="AC1060" s="29" t="n"/>
      <c r="AD1060" s="29" t="n"/>
      <c r="AE1060" s="29" t="n"/>
      <c r="AF1060" s="29" t="n"/>
      <c r="AG1060" s="29" t="n"/>
      <c r="AH1060" s="29" t="n"/>
      <c r="AI1060" s="29" t="n"/>
    </row>
    <row r="1061">
      <c r="L1061" s="29" t="n"/>
      <c r="M1061" s="29" t="n"/>
      <c r="N1061" s="29" t="n"/>
      <c r="O1061" s="29" t="n"/>
      <c r="P1061" s="29" t="n"/>
      <c r="Q1061" s="29" t="n"/>
      <c r="R1061" s="29" t="n"/>
      <c r="S1061" s="29" t="n"/>
      <c r="T1061" s="29" t="n"/>
      <c r="U1061" s="29" t="n"/>
      <c r="V1061" s="29" t="n"/>
      <c r="W1061" s="29" t="n"/>
      <c r="X1061" s="29" t="n"/>
      <c r="Y1061" s="29" t="n"/>
      <c r="Z1061" s="29" t="n"/>
      <c r="AA1061" s="29" t="n"/>
      <c r="AB1061" s="29" t="n"/>
      <c r="AC1061" s="29" t="n"/>
      <c r="AD1061" s="29" t="n"/>
      <c r="AE1061" s="29" t="n"/>
      <c r="AF1061" s="29" t="n"/>
      <c r="AG1061" s="29" t="n"/>
      <c r="AH1061" s="29" t="n"/>
      <c r="AI1061" s="29" t="n"/>
    </row>
    <row r="1062">
      <c r="L1062" s="29" t="n"/>
      <c r="M1062" s="29" t="n"/>
      <c r="N1062" s="29" t="n"/>
      <c r="O1062" s="29" t="n"/>
      <c r="P1062" s="29" t="n"/>
      <c r="Q1062" s="29" t="n"/>
      <c r="R1062" s="29" t="n"/>
      <c r="S1062" s="29" t="n"/>
      <c r="T1062" s="29" t="n"/>
      <c r="U1062" s="29" t="n"/>
      <c r="V1062" s="29" t="n"/>
      <c r="W1062" s="29" t="n"/>
      <c r="X1062" s="29" t="n"/>
      <c r="Y1062" s="29" t="n"/>
      <c r="Z1062" s="29" t="n"/>
      <c r="AA1062" s="29" t="n"/>
      <c r="AB1062" s="29" t="n"/>
      <c r="AC1062" s="29" t="n"/>
      <c r="AD1062" s="29" t="n"/>
      <c r="AE1062" s="29" t="n"/>
      <c r="AF1062" s="29" t="n"/>
      <c r="AG1062" s="29" t="n"/>
      <c r="AH1062" s="29" t="n"/>
      <c r="AI1062" s="29" t="n"/>
    </row>
    <row r="1063">
      <c r="L1063" s="29" t="n"/>
      <c r="M1063" s="29" t="n"/>
      <c r="N1063" s="29" t="n"/>
      <c r="O1063" s="29" t="n"/>
      <c r="P1063" s="29" t="n"/>
      <c r="Q1063" s="29" t="n"/>
      <c r="R1063" s="29" t="n"/>
      <c r="S1063" s="29" t="n"/>
      <c r="T1063" s="29" t="n"/>
      <c r="U1063" s="29" t="n"/>
      <c r="V1063" s="29" t="n"/>
      <c r="W1063" s="29" t="n"/>
      <c r="X1063" s="29" t="n"/>
      <c r="Y1063" s="29" t="n"/>
      <c r="Z1063" s="29" t="n"/>
      <c r="AA1063" s="29" t="n"/>
      <c r="AB1063" s="29" t="n"/>
      <c r="AC1063" s="29" t="n"/>
      <c r="AD1063" s="29" t="n"/>
      <c r="AE1063" s="29" t="n"/>
      <c r="AF1063" s="29" t="n"/>
      <c r="AG1063" s="29" t="n"/>
      <c r="AH1063" s="29" t="n"/>
      <c r="AI1063" s="29" t="n"/>
    </row>
    <row r="1064">
      <c r="L1064" s="29" t="n"/>
      <c r="M1064" s="29" t="n"/>
      <c r="N1064" s="29" t="n"/>
      <c r="O1064" s="29" t="n"/>
      <c r="P1064" s="29" t="n"/>
      <c r="Q1064" s="29" t="n"/>
      <c r="R1064" s="29" t="n"/>
      <c r="S1064" s="29" t="n"/>
      <c r="T1064" s="29" t="n"/>
      <c r="U1064" s="29" t="n"/>
      <c r="V1064" s="29" t="n"/>
      <c r="W1064" s="29" t="n"/>
      <c r="X1064" s="29" t="n"/>
      <c r="Y1064" s="29" t="n"/>
      <c r="Z1064" s="29" t="n"/>
      <c r="AA1064" s="29" t="n"/>
      <c r="AB1064" s="29" t="n"/>
      <c r="AC1064" s="29" t="n"/>
      <c r="AD1064" s="29" t="n"/>
      <c r="AE1064" s="29" t="n"/>
      <c r="AF1064" s="29" t="n"/>
      <c r="AG1064" s="29" t="n"/>
      <c r="AH1064" s="29" t="n"/>
      <c r="AI1064" s="29" t="n"/>
    </row>
    <row r="1065">
      <c r="L1065" s="29" t="n"/>
      <c r="M1065" s="29" t="n"/>
      <c r="N1065" s="29" t="n"/>
      <c r="O1065" s="29" t="n"/>
      <c r="P1065" s="29" t="n"/>
      <c r="Q1065" s="29" t="n"/>
      <c r="R1065" s="29" t="n"/>
      <c r="S1065" s="29" t="n"/>
      <c r="T1065" s="29" t="n"/>
      <c r="U1065" s="29" t="n"/>
      <c r="V1065" s="29" t="n"/>
      <c r="W1065" s="29" t="n"/>
      <c r="X1065" s="29" t="n"/>
      <c r="Y1065" s="29" t="n"/>
      <c r="Z1065" s="29" t="n"/>
      <c r="AA1065" s="29" t="n"/>
      <c r="AB1065" s="29" t="n"/>
      <c r="AC1065" s="29" t="n"/>
      <c r="AD1065" s="29" t="n"/>
      <c r="AE1065" s="29" t="n"/>
      <c r="AF1065" s="29" t="n"/>
      <c r="AG1065" s="29" t="n"/>
      <c r="AH1065" s="29" t="n"/>
      <c r="AI1065" s="29" t="n"/>
    </row>
    <row r="1066">
      <c r="L1066" s="29" t="n"/>
      <c r="M1066" s="29" t="n"/>
      <c r="N1066" s="29" t="n"/>
      <c r="O1066" s="29" t="n"/>
      <c r="P1066" s="29" t="n"/>
      <c r="Q1066" s="29" t="n"/>
      <c r="R1066" s="29" t="n"/>
      <c r="S1066" s="29" t="n"/>
      <c r="T1066" s="29" t="n"/>
      <c r="U1066" s="29" t="n"/>
      <c r="V1066" s="29" t="n"/>
      <c r="W1066" s="29" t="n"/>
      <c r="X1066" s="29" t="n"/>
      <c r="Y1066" s="29" t="n"/>
      <c r="Z1066" s="29" t="n"/>
      <c r="AA1066" s="29" t="n"/>
      <c r="AB1066" s="29" t="n"/>
      <c r="AC1066" s="29" t="n"/>
      <c r="AD1066" s="29" t="n"/>
      <c r="AE1066" s="29" t="n"/>
      <c r="AF1066" s="29" t="n"/>
      <c r="AG1066" s="29" t="n"/>
      <c r="AH1066" s="29" t="n"/>
      <c r="AI1066" s="29" t="n"/>
    </row>
    <row r="1067">
      <c r="L1067" s="29" t="n"/>
      <c r="M1067" s="29" t="n"/>
      <c r="N1067" s="29" t="n"/>
      <c r="O1067" s="29" t="n"/>
      <c r="P1067" s="29" t="n"/>
      <c r="Q1067" s="29" t="n"/>
      <c r="R1067" s="29" t="n"/>
      <c r="S1067" s="29" t="n"/>
      <c r="T1067" s="29" t="n"/>
      <c r="U1067" s="29" t="n"/>
      <c r="V1067" s="29" t="n"/>
      <c r="W1067" s="29" t="n"/>
      <c r="X1067" s="29" t="n"/>
      <c r="Y1067" s="29" t="n"/>
      <c r="Z1067" s="29" t="n"/>
      <c r="AA1067" s="29" t="n"/>
      <c r="AB1067" s="29" t="n"/>
      <c r="AC1067" s="29" t="n"/>
      <c r="AD1067" s="29" t="n"/>
      <c r="AE1067" s="29" t="n"/>
      <c r="AF1067" s="29" t="n"/>
      <c r="AG1067" s="29" t="n"/>
      <c r="AH1067" s="29" t="n"/>
      <c r="AI1067" s="29" t="n"/>
    </row>
    <row r="1068">
      <c r="L1068" s="29" t="n"/>
      <c r="M1068" s="29" t="n"/>
      <c r="N1068" s="29" t="n"/>
      <c r="O1068" s="29" t="n"/>
      <c r="P1068" s="29" t="n"/>
      <c r="Q1068" s="29" t="n"/>
      <c r="R1068" s="29" t="n"/>
      <c r="S1068" s="29" t="n"/>
      <c r="T1068" s="29" t="n"/>
      <c r="U1068" s="29" t="n"/>
      <c r="V1068" s="29" t="n"/>
      <c r="W1068" s="29" t="n"/>
      <c r="X1068" s="29" t="n"/>
      <c r="Y1068" s="29" t="n"/>
      <c r="Z1068" s="29" t="n"/>
      <c r="AA1068" s="29" t="n"/>
      <c r="AB1068" s="29" t="n"/>
      <c r="AC1068" s="29" t="n"/>
      <c r="AD1068" s="29" t="n"/>
      <c r="AE1068" s="29" t="n"/>
      <c r="AF1068" s="29" t="n"/>
      <c r="AG1068" s="29" t="n"/>
      <c r="AH1068" s="29" t="n"/>
      <c r="AI1068" s="29" t="n"/>
    </row>
    <row r="1069">
      <c r="L1069" s="29" t="n"/>
      <c r="M1069" s="29" t="n"/>
      <c r="N1069" s="29" t="n"/>
      <c r="O1069" s="29" t="n"/>
      <c r="P1069" s="29" t="n"/>
      <c r="Q1069" s="29" t="n"/>
      <c r="R1069" s="29" t="n"/>
      <c r="S1069" s="29" t="n"/>
      <c r="T1069" s="29" t="n"/>
      <c r="U1069" s="29" t="n"/>
      <c r="V1069" s="29" t="n"/>
      <c r="W1069" s="29" t="n"/>
      <c r="X1069" s="29" t="n"/>
      <c r="Y1069" s="29" t="n"/>
      <c r="Z1069" s="29" t="n"/>
      <c r="AA1069" s="29" t="n"/>
      <c r="AB1069" s="29" t="n"/>
      <c r="AC1069" s="29" t="n"/>
      <c r="AD1069" s="29" t="n"/>
      <c r="AE1069" s="29" t="n"/>
      <c r="AF1069" s="29" t="n"/>
      <c r="AG1069" s="29" t="n"/>
      <c r="AH1069" s="29" t="n"/>
      <c r="AI1069" s="29" t="n"/>
    </row>
    <row r="1070">
      <c r="L1070" s="29" t="n"/>
      <c r="M1070" s="29" t="n"/>
      <c r="N1070" s="29" t="n"/>
      <c r="O1070" s="29" t="n"/>
      <c r="P1070" s="29" t="n"/>
      <c r="Q1070" s="29" t="n"/>
      <c r="R1070" s="29" t="n"/>
      <c r="S1070" s="29" t="n"/>
      <c r="T1070" s="29" t="n"/>
      <c r="U1070" s="29" t="n"/>
      <c r="V1070" s="29" t="n"/>
      <c r="W1070" s="29" t="n"/>
      <c r="X1070" s="29" t="n"/>
      <c r="Y1070" s="29" t="n"/>
      <c r="Z1070" s="29" t="n"/>
      <c r="AA1070" s="29" t="n"/>
      <c r="AB1070" s="29" t="n"/>
      <c r="AC1070" s="29" t="n"/>
      <c r="AD1070" s="29" t="n"/>
      <c r="AE1070" s="29" t="n"/>
      <c r="AF1070" s="29" t="n"/>
      <c r="AG1070" s="29" t="n"/>
      <c r="AH1070" s="29" t="n"/>
      <c r="AI1070" s="29" t="n"/>
    </row>
    <row r="1071">
      <c r="L1071" s="29" t="n"/>
      <c r="M1071" s="29" t="n"/>
      <c r="N1071" s="29" t="n"/>
      <c r="O1071" s="29" t="n"/>
      <c r="P1071" s="29" t="n"/>
      <c r="Q1071" s="29" t="n"/>
      <c r="R1071" s="29" t="n"/>
      <c r="S1071" s="29" t="n"/>
      <c r="T1071" s="29" t="n"/>
      <c r="U1071" s="29" t="n"/>
      <c r="V1071" s="29" t="n"/>
      <c r="W1071" s="29" t="n"/>
      <c r="X1071" s="29" t="n"/>
      <c r="Y1071" s="29" t="n"/>
      <c r="Z1071" s="29" t="n"/>
      <c r="AA1071" s="29" t="n"/>
      <c r="AB1071" s="29" t="n"/>
      <c r="AC1071" s="29" t="n"/>
      <c r="AD1071" s="29" t="n"/>
      <c r="AE1071" s="29" t="n"/>
      <c r="AF1071" s="29" t="n"/>
      <c r="AG1071" s="29" t="n"/>
      <c r="AH1071" s="29" t="n"/>
      <c r="AI1071" s="29" t="n"/>
    </row>
    <row r="1072">
      <c r="L1072" s="29" t="n"/>
      <c r="M1072" s="29" t="n"/>
      <c r="N1072" s="29" t="n"/>
      <c r="O1072" s="29" t="n"/>
      <c r="P1072" s="29" t="n"/>
      <c r="Q1072" s="29" t="n"/>
      <c r="R1072" s="29" t="n"/>
      <c r="S1072" s="29" t="n"/>
      <c r="T1072" s="29" t="n"/>
      <c r="U1072" s="29" t="n"/>
      <c r="V1072" s="29" t="n"/>
      <c r="W1072" s="29" t="n"/>
      <c r="X1072" s="29" t="n"/>
      <c r="Y1072" s="29" t="n"/>
      <c r="Z1072" s="29" t="n"/>
      <c r="AA1072" s="29" t="n"/>
      <c r="AB1072" s="29" t="n"/>
      <c r="AC1072" s="29" t="n"/>
      <c r="AD1072" s="29" t="n"/>
      <c r="AE1072" s="29" t="n"/>
      <c r="AF1072" s="29" t="n"/>
      <c r="AG1072" s="29" t="n"/>
      <c r="AH1072" s="29" t="n"/>
      <c r="AI1072" s="29" t="n"/>
    </row>
    <row r="1073">
      <c r="L1073" s="29" t="n"/>
      <c r="M1073" s="29" t="n"/>
      <c r="N1073" s="29" t="n"/>
      <c r="O1073" s="29" t="n"/>
      <c r="P1073" s="29" t="n"/>
      <c r="Q1073" s="29" t="n"/>
      <c r="R1073" s="29" t="n"/>
      <c r="S1073" s="29" t="n"/>
      <c r="T1073" s="29" t="n"/>
      <c r="U1073" s="29" t="n"/>
      <c r="V1073" s="29" t="n"/>
      <c r="W1073" s="29" t="n"/>
      <c r="X1073" s="29" t="n"/>
      <c r="Y1073" s="29" t="n"/>
      <c r="Z1073" s="29" t="n"/>
      <c r="AA1073" s="29" t="n"/>
      <c r="AB1073" s="29" t="n"/>
      <c r="AC1073" s="29" t="n"/>
      <c r="AD1073" s="29" t="n"/>
      <c r="AE1073" s="29" t="n"/>
      <c r="AF1073" s="29" t="n"/>
      <c r="AG1073" s="29" t="n"/>
      <c r="AH1073" s="29" t="n"/>
      <c r="AI1073" s="29" t="n"/>
    </row>
    <row r="1074">
      <c r="L1074" s="29" t="n"/>
      <c r="M1074" s="29" t="n"/>
      <c r="N1074" s="29" t="n"/>
      <c r="O1074" s="29" t="n"/>
      <c r="P1074" s="29" t="n"/>
      <c r="Q1074" s="29" t="n"/>
      <c r="R1074" s="29" t="n"/>
      <c r="S1074" s="29" t="n"/>
      <c r="T1074" s="29" t="n"/>
      <c r="U1074" s="29" t="n"/>
      <c r="V1074" s="29" t="n"/>
      <c r="W1074" s="29" t="n"/>
      <c r="X1074" s="29" t="n"/>
      <c r="Y1074" s="29" t="n"/>
      <c r="Z1074" s="29" t="n"/>
      <c r="AA1074" s="29" t="n"/>
      <c r="AB1074" s="29" t="n"/>
      <c r="AC1074" s="29" t="n"/>
      <c r="AD1074" s="29" t="n"/>
      <c r="AE1074" s="29" t="n"/>
      <c r="AF1074" s="29" t="n"/>
      <c r="AG1074" s="29" t="n"/>
      <c r="AH1074" s="29" t="n"/>
      <c r="AI1074" s="29" t="n"/>
    </row>
    <row r="1075">
      <c r="L1075" s="29" t="n"/>
      <c r="M1075" s="29" t="n"/>
      <c r="N1075" s="29" t="n"/>
      <c r="O1075" s="29" t="n"/>
      <c r="P1075" s="29" t="n"/>
      <c r="Q1075" s="29" t="n"/>
      <c r="R1075" s="29" t="n"/>
      <c r="S1075" s="29" t="n"/>
      <c r="T1075" s="29" t="n"/>
      <c r="U1075" s="29" t="n"/>
      <c r="V1075" s="29" t="n"/>
      <c r="W1075" s="29" t="n"/>
      <c r="X1075" s="29" t="n"/>
      <c r="Y1075" s="29" t="n"/>
      <c r="Z1075" s="29" t="n"/>
      <c r="AA1075" s="29" t="n"/>
      <c r="AB1075" s="29" t="n"/>
      <c r="AC1075" s="29" t="n"/>
      <c r="AD1075" s="29" t="n"/>
      <c r="AE1075" s="29" t="n"/>
      <c r="AF1075" s="29" t="n"/>
      <c r="AG1075" s="29" t="n"/>
      <c r="AH1075" s="29" t="n"/>
      <c r="AI1075" s="29" t="n"/>
    </row>
    <row r="1076">
      <c r="L1076" s="29" t="n"/>
      <c r="M1076" s="29" t="n"/>
      <c r="N1076" s="29" t="n"/>
      <c r="O1076" s="29" t="n"/>
      <c r="P1076" s="29" t="n"/>
      <c r="Q1076" s="29" t="n"/>
      <c r="R1076" s="29" t="n"/>
      <c r="S1076" s="29" t="n"/>
      <c r="T1076" s="29" t="n"/>
      <c r="U1076" s="29" t="n"/>
      <c r="V1076" s="29" t="n"/>
      <c r="W1076" s="29" t="n"/>
      <c r="X1076" s="29" t="n"/>
      <c r="Y1076" s="29" t="n"/>
      <c r="Z1076" s="29" t="n"/>
      <c r="AA1076" s="29" t="n"/>
      <c r="AB1076" s="29" t="n"/>
      <c r="AC1076" s="29" t="n"/>
      <c r="AD1076" s="29" t="n"/>
      <c r="AE1076" s="29" t="n"/>
      <c r="AF1076" s="29" t="n"/>
      <c r="AG1076" s="29" t="n"/>
      <c r="AH1076" s="29" t="n"/>
      <c r="AI1076" s="29" t="n"/>
    </row>
    <row r="1077">
      <c r="L1077" s="29" t="n"/>
      <c r="M1077" s="29" t="n"/>
      <c r="N1077" s="29" t="n"/>
      <c r="O1077" s="29" t="n"/>
      <c r="P1077" s="29" t="n"/>
      <c r="Q1077" s="29" t="n"/>
      <c r="R1077" s="29" t="n"/>
      <c r="S1077" s="29" t="n"/>
      <c r="T1077" s="29" t="n"/>
      <c r="U1077" s="29" t="n"/>
      <c r="V1077" s="29" t="n"/>
      <c r="W1077" s="29" t="n"/>
      <c r="X1077" s="29" t="n"/>
      <c r="Y1077" s="29" t="n"/>
      <c r="Z1077" s="29" t="n"/>
      <c r="AA1077" s="29" t="n"/>
      <c r="AB1077" s="29" t="n"/>
      <c r="AC1077" s="29" t="n"/>
      <c r="AD1077" s="29" t="n"/>
      <c r="AE1077" s="29" t="n"/>
      <c r="AF1077" s="29" t="n"/>
      <c r="AG1077" s="29" t="n"/>
      <c r="AH1077" s="29" t="n"/>
      <c r="AI1077" s="29" t="n"/>
    </row>
    <row r="1078">
      <c r="L1078" s="29" t="n"/>
      <c r="M1078" s="29" t="n"/>
      <c r="N1078" s="29" t="n"/>
      <c r="O1078" s="29" t="n"/>
      <c r="P1078" s="29" t="n"/>
      <c r="Q1078" s="29" t="n"/>
      <c r="R1078" s="29" t="n"/>
      <c r="S1078" s="29" t="n"/>
      <c r="T1078" s="29" t="n"/>
      <c r="U1078" s="29" t="n"/>
      <c r="V1078" s="29" t="n"/>
      <c r="W1078" s="29" t="n"/>
      <c r="X1078" s="29" t="n"/>
      <c r="Y1078" s="29" t="n"/>
      <c r="Z1078" s="29" t="n"/>
      <c r="AA1078" s="29" t="n"/>
      <c r="AB1078" s="29" t="n"/>
      <c r="AC1078" s="29" t="n"/>
      <c r="AD1078" s="29" t="n"/>
      <c r="AE1078" s="29" t="n"/>
      <c r="AF1078" s="29" t="n"/>
      <c r="AG1078" s="29" t="n"/>
      <c r="AH1078" s="29" t="n"/>
      <c r="AI1078" s="29" t="n"/>
    </row>
    <row r="1079">
      <c r="L1079" s="29" t="n"/>
      <c r="M1079" s="29" t="n"/>
      <c r="N1079" s="29" t="n"/>
      <c r="O1079" s="29" t="n"/>
      <c r="P1079" s="29" t="n"/>
      <c r="Q1079" s="29" t="n"/>
      <c r="R1079" s="29" t="n"/>
      <c r="S1079" s="29" t="n"/>
      <c r="T1079" s="29" t="n"/>
      <c r="U1079" s="29" t="n"/>
      <c r="V1079" s="29" t="n"/>
      <c r="W1079" s="29" t="n"/>
      <c r="X1079" s="29" t="n"/>
      <c r="Y1079" s="29" t="n"/>
      <c r="Z1079" s="29" t="n"/>
      <c r="AA1079" s="29" t="n"/>
      <c r="AB1079" s="29" t="n"/>
      <c r="AC1079" s="29" t="n"/>
      <c r="AD1079" s="29" t="n"/>
      <c r="AE1079" s="29" t="n"/>
      <c r="AF1079" s="29" t="n"/>
      <c r="AG1079" s="29" t="n"/>
      <c r="AH1079" s="29" t="n"/>
      <c r="AI1079" s="29" t="n"/>
    </row>
    <row r="1080">
      <c r="L1080" s="29" t="n"/>
      <c r="M1080" s="29" t="n"/>
      <c r="N1080" s="29" t="n"/>
      <c r="O1080" s="29" t="n"/>
      <c r="P1080" s="29" t="n"/>
      <c r="Q1080" s="29" t="n"/>
      <c r="R1080" s="29" t="n"/>
      <c r="S1080" s="29" t="n"/>
      <c r="T1080" s="29" t="n"/>
      <c r="U1080" s="29" t="n"/>
      <c r="V1080" s="29" t="n"/>
      <c r="W1080" s="29" t="n"/>
      <c r="X1080" s="29" t="n"/>
      <c r="Y1080" s="29" t="n"/>
      <c r="Z1080" s="29" t="n"/>
      <c r="AA1080" s="29" t="n"/>
      <c r="AB1080" s="29" t="n"/>
      <c r="AC1080" s="29" t="n"/>
      <c r="AD1080" s="29" t="n"/>
      <c r="AE1080" s="29" t="n"/>
      <c r="AF1080" s="29" t="n"/>
      <c r="AG1080" s="29" t="n"/>
      <c r="AH1080" s="29" t="n"/>
      <c r="AI1080" s="29" t="n"/>
    </row>
    <row r="1081">
      <c r="L1081" s="29" t="n"/>
      <c r="M1081" s="29" t="n"/>
      <c r="N1081" s="29" t="n"/>
      <c r="O1081" s="29" t="n"/>
      <c r="P1081" s="29" t="n"/>
      <c r="Q1081" s="29" t="n"/>
      <c r="R1081" s="29" t="n"/>
      <c r="S1081" s="29" t="n"/>
      <c r="T1081" s="29" t="n"/>
      <c r="U1081" s="29" t="n"/>
      <c r="V1081" s="29" t="n"/>
      <c r="W1081" s="29" t="n"/>
      <c r="X1081" s="29" t="n"/>
      <c r="Y1081" s="29" t="n"/>
      <c r="Z1081" s="29" t="n"/>
      <c r="AA1081" s="29" t="n"/>
      <c r="AB1081" s="29" t="n"/>
      <c r="AC1081" s="29" t="n"/>
      <c r="AD1081" s="29" t="n"/>
      <c r="AE1081" s="29" t="n"/>
      <c r="AF1081" s="29" t="n"/>
      <c r="AG1081" s="29" t="n"/>
      <c r="AH1081" s="29" t="n"/>
      <c r="AI1081" s="29" t="n"/>
    </row>
    <row r="1082">
      <c r="L1082" s="29" t="n"/>
      <c r="M1082" s="29" t="n"/>
      <c r="N1082" s="29" t="n"/>
      <c r="O1082" s="29" t="n"/>
      <c r="P1082" s="29" t="n"/>
      <c r="Q1082" s="29" t="n"/>
      <c r="R1082" s="29" t="n"/>
      <c r="S1082" s="29" t="n"/>
      <c r="T1082" s="29" t="n"/>
      <c r="U1082" s="29" t="n"/>
      <c r="V1082" s="29" t="n"/>
      <c r="W1082" s="29" t="n"/>
      <c r="X1082" s="29" t="n"/>
      <c r="Y1082" s="29" t="n"/>
      <c r="Z1082" s="29" t="n"/>
      <c r="AA1082" s="29" t="n"/>
      <c r="AB1082" s="29" t="n"/>
      <c r="AC1082" s="29" t="n"/>
      <c r="AD1082" s="29" t="n"/>
      <c r="AE1082" s="29" t="n"/>
      <c r="AF1082" s="29" t="n"/>
      <c r="AG1082" s="29" t="n"/>
      <c r="AH1082" s="29" t="n"/>
      <c r="AI1082" s="29" t="n"/>
    </row>
    <row r="1083">
      <c r="L1083" s="29" t="n"/>
      <c r="M1083" s="29" t="n"/>
      <c r="N1083" s="29" t="n"/>
      <c r="O1083" s="29" t="n"/>
      <c r="P1083" s="29" t="n"/>
      <c r="Q1083" s="29" t="n"/>
      <c r="R1083" s="29" t="n"/>
      <c r="S1083" s="29" t="n"/>
      <c r="T1083" s="29" t="n"/>
      <c r="U1083" s="29" t="n"/>
      <c r="V1083" s="29" t="n"/>
      <c r="W1083" s="29" t="n"/>
      <c r="X1083" s="29" t="n"/>
      <c r="Y1083" s="29" t="n"/>
      <c r="Z1083" s="29" t="n"/>
      <c r="AA1083" s="29" t="n"/>
      <c r="AB1083" s="29" t="n"/>
      <c r="AC1083" s="29" t="n"/>
      <c r="AD1083" s="29" t="n"/>
      <c r="AE1083" s="29" t="n"/>
      <c r="AF1083" s="29" t="n"/>
      <c r="AG1083" s="29" t="n"/>
      <c r="AH1083" s="29" t="n"/>
      <c r="AI1083" s="29" t="n"/>
    </row>
    <row r="1084">
      <c r="L1084" s="29" t="n"/>
      <c r="M1084" s="29" t="n"/>
      <c r="N1084" s="29" t="n"/>
      <c r="O1084" s="29" t="n"/>
      <c r="P1084" s="29" t="n"/>
      <c r="Q1084" s="29" t="n"/>
      <c r="R1084" s="29" t="n"/>
      <c r="S1084" s="29" t="n"/>
      <c r="T1084" s="29" t="n"/>
      <c r="U1084" s="29" t="n"/>
      <c r="V1084" s="29" t="n"/>
      <c r="W1084" s="29" t="n"/>
      <c r="X1084" s="29" t="n"/>
      <c r="Y1084" s="29" t="n"/>
      <c r="Z1084" s="29" t="n"/>
      <c r="AA1084" s="29" t="n"/>
      <c r="AB1084" s="29" t="n"/>
      <c r="AC1084" s="29" t="n"/>
      <c r="AD1084" s="29" t="n"/>
      <c r="AE1084" s="29" t="n"/>
      <c r="AF1084" s="29" t="n"/>
      <c r="AG1084" s="29" t="n"/>
      <c r="AH1084" s="29" t="n"/>
      <c r="AI1084" s="29" t="n"/>
    </row>
    <row r="1085">
      <c r="L1085" s="29" t="n"/>
      <c r="M1085" s="29" t="n"/>
      <c r="N1085" s="29" t="n"/>
      <c r="O1085" s="29" t="n"/>
      <c r="P1085" s="29" t="n"/>
      <c r="Q1085" s="29" t="n"/>
      <c r="R1085" s="29" t="n"/>
      <c r="S1085" s="29" t="n"/>
      <c r="T1085" s="29" t="n"/>
      <c r="U1085" s="29" t="n"/>
      <c r="V1085" s="29" t="n"/>
      <c r="W1085" s="29" t="n"/>
      <c r="X1085" s="29" t="n"/>
      <c r="Y1085" s="29" t="n"/>
      <c r="Z1085" s="29" t="n"/>
      <c r="AA1085" s="29" t="n"/>
      <c r="AB1085" s="29" t="n"/>
      <c r="AC1085" s="29" t="n"/>
      <c r="AD1085" s="29" t="n"/>
      <c r="AE1085" s="29" t="n"/>
      <c r="AF1085" s="29" t="n"/>
      <c r="AG1085" s="29" t="n"/>
      <c r="AH1085" s="29" t="n"/>
      <c r="AI1085" s="29" t="n"/>
    </row>
    <row r="1086">
      <c r="L1086" s="29" t="n"/>
      <c r="M1086" s="29" t="n"/>
      <c r="N1086" s="29" t="n"/>
      <c r="O1086" s="29" t="n"/>
      <c r="P1086" s="29" t="n"/>
      <c r="Q1086" s="29" t="n"/>
      <c r="R1086" s="29" t="n"/>
      <c r="S1086" s="29" t="n"/>
      <c r="T1086" s="29" t="n"/>
      <c r="U1086" s="29" t="n"/>
      <c r="V1086" s="29" t="n"/>
      <c r="W1086" s="29" t="n"/>
      <c r="X1086" s="29" t="n"/>
      <c r="Y1086" s="29" t="n"/>
      <c r="Z1086" s="29" t="n"/>
      <c r="AA1086" s="29" t="n"/>
      <c r="AB1086" s="29" t="n"/>
      <c r="AC1086" s="29" t="n"/>
      <c r="AD1086" s="29" t="n"/>
      <c r="AE1086" s="29" t="n"/>
      <c r="AF1086" s="29" t="n"/>
      <c r="AG1086" s="29" t="n"/>
      <c r="AH1086" s="29" t="n"/>
      <c r="AI1086" s="29" t="n"/>
    </row>
    <row r="1087">
      <c r="L1087" s="29" t="n"/>
      <c r="M1087" s="29" t="n"/>
      <c r="N1087" s="29" t="n"/>
      <c r="O1087" s="29" t="n"/>
      <c r="P1087" s="29" t="n"/>
      <c r="Q1087" s="29" t="n"/>
      <c r="R1087" s="29" t="n"/>
      <c r="S1087" s="29" t="n"/>
      <c r="T1087" s="29" t="n"/>
      <c r="U1087" s="29" t="n"/>
      <c r="V1087" s="29" t="n"/>
      <c r="W1087" s="29" t="n"/>
      <c r="X1087" s="29" t="n"/>
      <c r="Y1087" s="29" t="n"/>
      <c r="Z1087" s="29" t="n"/>
      <c r="AA1087" s="29" t="n"/>
      <c r="AB1087" s="29" t="n"/>
      <c r="AC1087" s="29" t="n"/>
      <c r="AD1087" s="29" t="n"/>
      <c r="AE1087" s="29" t="n"/>
      <c r="AF1087" s="29" t="n"/>
      <c r="AG1087" s="29" t="n"/>
      <c r="AH1087" s="29" t="n"/>
      <c r="AI1087" s="29" t="n"/>
    </row>
    <row r="1088">
      <c r="L1088" s="29" t="n"/>
      <c r="M1088" s="29" t="n"/>
      <c r="N1088" s="29" t="n"/>
      <c r="O1088" s="29" t="n"/>
      <c r="P1088" s="29" t="n"/>
      <c r="Q1088" s="29" t="n"/>
      <c r="R1088" s="29" t="n"/>
      <c r="S1088" s="29" t="n"/>
      <c r="T1088" s="29" t="n"/>
      <c r="U1088" s="29" t="n"/>
      <c r="V1088" s="29" t="n"/>
      <c r="W1088" s="29" t="n"/>
      <c r="X1088" s="29" t="n"/>
      <c r="Y1088" s="29" t="n"/>
      <c r="Z1088" s="29" t="n"/>
      <c r="AA1088" s="29" t="n"/>
      <c r="AB1088" s="29" t="n"/>
      <c r="AC1088" s="29" t="n"/>
      <c r="AD1088" s="29" t="n"/>
      <c r="AE1088" s="29" t="n"/>
      <c r="AF1088" s="29" t="n"/>
      <c r="AG1088" s="29" t="n"/>
      <c r="AH1088" s="29" t="n"/>
      <c r="AI1088" s="29" t="n"/>
    </row>
    <row r="1089">
      <c r="L1089" s="29" t="n"/>
      <c r="M1089" s="29" t="n"/>
      <c r="N1089" s="29" t="n"/>
      <c r="O1089" s="29" t="n"/>
      <c r="P1089" s="29" t="n"/>
      <c r="Q1089" s="29" t="n"/>
      <c r="R1089" s="29" t="n"/>
      <c r="S1089" s="29" t="n"/>
      <c r="T1089" s="29" t="n"/>
      <c r="U1089" s="29" t="n"/>
      <c r="V1089" s="29" t="n"/>
      <c r="W1089" s="29" t="n"/>
      <c r="X1089" s="29" t="n"/>
      <c r="Y1089" s="29" t="n"/>
      <c r="Z1089" s="29" t="n"/>
      <c r="AA1089" s="29" t="n"/>
      <c r="AB1089" s="29" t="n"/>
      <c r="AC1089" s="29" t="n"/>
      <c r="AD1089" s="29" t="n"/>
      <c r="AE1089" s="29" t="n"/>
      <c r="AF1089" s="29" t="n"/>
      <c r="AG1089" s="29" t="n"/>
      <c r="AH1089" s="29" t="n"/>
      <c r="AI1089" s="29" t="n"/>
    </row>
    <row r="1090">
      <c r="L1090" s="29" t="n"/>
      <c r="M1090" s="29" t="n"/>
      <c r="N1090" s="29" t="n"/>
      <c r="O1090" s="29" t="n"/>
      <c r="P1090" s="29" t="n"/>
      <c r="Q1090" s="29" t="n"/>
      <c r="R1090" s="29" t="n"/>
      <c r="S1090" s="29" t="n"/>
      <c r="T1090" s="29" t="n"/>
      <c r="U1090" s="29" t="n"/>
      <c r="V1090" s="29" t="n"/>
      <c r="W1090" s="29" t="n"/>
      <c r="X1090" s="29" t="n"/>
      <c r="Y1090" s="29" t="n"/>
      <c r="Z1090" s="29" t="n"/>
      <c r="AA1090" s="29" t="n"/>
      <c r="AB1090" s="29" t="n"/>
      <c r="AC1090" s="29" t="n"/>
      <c r="AD1090" s="29" t="n"/>
      <c r="AE1090" s="29" t="n"/>
      <c r="AF1090" s="29" t="n"/>
      <c r="AG1090" s="29" t="n"/>
      <c r="AH1090" s="29" t="n"/>
      <c r="AI1090" s="29" t="n"/>
    </row>
    <row r="1091">
      <c r="L1091" s="29" t="n"/>
      <c r="M1091" s="29" t="n"/>
      <c r="N1091" s="29" t="n"/>
      <c r="O1091" s="29" t="n"/>
      <c r="P1091" s="29" t="n"/>
      <c r="Q1091" s="29" t="n"/>
      <c r="R1091" s="29" t="n"/>
      <c r="S1091" s="29" t="n"/>
      <c r="T1091" s="29" t="n"/>
      <c r="U1091" s="29" t="n"/>
      <c r="V1091" s="29" t="n"/>
      <c r="W1091" s="29" t="n"/>
      <c r="X1091" s="29" t="n"/>
      <c r="Y1091" s="29" t="n"/>
      <c r="Z1091" s="29" t="n"/>
      <c r="AA1091" s="29" t="n"/>
      <c r="AB1091" s="29" t="n"/>
      <c r="AC1091" s="29" t="n"/>
      <c r="AD1091" s="29" t="n"/>
      <c r="AE1091" s="29" t="n"/>
      <c r="AF1091" s="29" t="n"/>
      <c r="AG1091" s="29" t="n"/>
      <c r="AH1091" s="29" t="n"/>
      <c r="AI1091" s="29" t="n"/>
    </row>
    <row r="1092">
      <c r="L1092" s="29" t="n"/>
      <c r="M1092" s="29" t="n"/>
      <c r="N1092" s="29" t="n"/>
      <c r="O1092" s="29" t="n"/>
      <c r="P1092" s="29" t="n"/>
      <c r="Q1092" s="29" t="n"/>
      <c r="R1092" s="29" t="n"/>
      <c r="S1092" s="29" t="n"/>
      <c r="T1092" s="29" t="n"/>
      <c r="U1092" s="29" t="n"/>
      <c r="V1092" s="29" t="n"/>
      <c r="W1092" s="29" t="n"/>
      <c r="X1092" s="29" t="n"/>
      <c r="Y1092" s="29" t="n"/>
      <c r="Z1092" s="29" t="n"/>
      <c r="AA1092" s="29" t="n"/>
      <c r="AB1092" s="29" t="n"/>
      <c r="AC1092" s="29" t="n"/>
      <c r="AD1092" s="29" t="n"/>
      <c r="AE1092" s="29" t="n"/>
      <c r="AF1092" s="29" t="n"/>
      <c r="AG1092" s="29" t="n"/>
      <c r="AH1092" s="29" t="n"/>
      <c r="AI1092" s="29" t="n"/>
    </row>
    <row r="1093">
      <c r="L1093" s="29" t="n"/>
      <c r="M1093" s="29" t="n"/>
      <c r="N1093" s="29" t="n"/>
      <c r="O1093" s="29" t="n"/>
      <c r="P1093" s="29" t="n"/>
      <c r="Q1093" s="29" t="n"/>
      <c r="R1093" s="29" t="n"/>
      <c r="S1093" s="29" t="n"/>
      <c r="T1093" s="29" t="n"/>
      <c r="U1093" s="29" t="n"/>
      <c r="V1093" s="29" t="n"/>
      <c r="W1093" s="29" t="n"/>
      <c r="X1093" s="29" t="n"/>
      <c r="Y1093" s="29" t="n"/>
      <c r="Z1093" s="29" t="n"/>
      <c r="AA1093" s="29" t="n"/>
      <c r="AB1093" s="29" t="n"/>
      <c r="AC1093" s="29" t="n"/>
      <c r="AD1093" s="29" t="n"/>
      <c r="AE1093" s="29" t="n"/>
      <c r="AF1093" s="29" t="n"/>
      <c r="AG1093" s="29" t="n"/>
      <c r="AH1093" s="29" t="n"/>
      <c r="AI1093" s="29" t="n"/>
    </row>
    <row r="1094">
      <c r="L1094" s="29" t="n"/>
      <c r="M1094" s="29" t="n"/>
      <c r="N1094" s="29" t="n"/>
      <c r="O1094" s="29" t="n"/>
      <c r="P1094" s="29" t="n"/>
      <c r="Q1094" s="29" t="n"/>
      <c r="R1094" s="29" t="n"/>
      <c r="S1094" s="29" t="n"/>
      <c r="T1094" s="29" t="n"/>
      <c r="U1094" s="29" t="n"/>
      <c r="V1094" s="29" t="n"/>
      <c r="W1094" s="29" t="n"/>
      <c r="X1094" s="29" t="n"/>
      <c r="Y1094" s="29" t="n"/>
      <c r="Z1094" s="29" t="n"/>
      <c r="AA1094" s="29" t="n"/>
      <c r="AB1094" s="29" t="n"/>
      <c r="AC1094" s="29" t="n"/>
      <c r="AD1094" s="29" t="n"/>
      <c r="AE1094" s="29" t="n"/>
      <c r="AF1094" s="29" t="n"/>
      <c r="AG1094" s="29" t="n"/>
      <c r="AH1094" s="29" t="n"/>
      <c r="AI1094" s="29" t="n"/>
    </row>
    <row r="1095">
      <c r="L1095" s="29" t="n"/>
      <c r="M1095" s="29" t="n"/>
      <c r="N1095" s="29" t="n"/>
      <c r="O1095" s="29" t="n"/>
      <c r="P1095" s="29" t="n"/>
      <c r="Q1095" s="29" t="n"/>
      <c r="R1095" s="29" t="n"/>
      <c r="S1095" s="29" t="n"/>
      <c r="T1095" s="29" t="n"/>
      <c r="U1095" s="29" t="n"/>
      <c r="V1095" s="29" t="n"/>
      <c r="W1095" s="29" t="n"/>
      <c r="X1095" s="29" t="n"/>
      <c r="Y1095" s="29" t="n"/>
      <c r="Z1095" s="29" t="n"/>
      <c r="AA1095" s="29" t="n"/>
      <c r="AB1095" s="29" t="n"/>
      <c r="AC1095" s="29" t="n"/>
      <c r="AD1095" s="29" t="n"/>
      <c r="AE1095" s="29" t="n"/>
      <c r="AF1095" s="29" t="n"/>
      <c r="AG1095" s="29" t="n"/>
      <c r="AH1095" s="29" t="n"/>
      <c r="AI1095" s="29" t="n"/>
    </row>
    <row r="1096">
      <c r="L1096" s="29" t="n"/>
      <c r="M1096" s="29" t="n"/>
      <c r="N1096" s="29" t="n"/>
      <c r="O1096" s="29" t="n"/>
      <c r="P1096" s="29" t="n"/>
      <c r="Q1096" s="29" t="n"/>
      <c r="R1096" s="29" t="n"/>
      <c r="S1096" s="29" t="n"/>
      <c r="T1096" s="29" t="n"/>
      <c r="U1096" s="29" t="n"/>
      <c r="V1096" s="29" t="n"/>
      <c r="W1096" s="29" t="n"/>
      <c r="X1096" s="29" t="n"/>
      <c r="Y1096" s="29" t="n"/>
      <c r="Z1096" s="29" t="n"/>
      <c r="AA1096" s="29" t="n"/>
      <c r="AB1096" s="29" t="n"/>
      <c r="AC1096" s="29" t="n"/>
      <c r="AD1096" s="29" t="n"/>
      <c r="AE1096" s="29" t="n"/>
      <c r="AF1096" s="29" t="n"/>
      <c r="AG1096" s="29" t="n"/>
      <c r="AH1096" s="29" t="n"/>
      <c r="AI1096" s="29" t="n"/>
    </row>
    <row r="1097">
      <c r="L1097" s="29" t="n"/>
      <c r="M1097" s="29" t="n"/>
      <c r="N1097" s="29" t="n"/>
      <c r="O1097" s="29" t="n"/>
      <c r="P1097" s="29" t="n"/>
      <c r="Q1097" s="29" t="n"/>
      <c r="R1097" s="29" t="n"/>
      <c r="S1097" s="29" t="n"/>
      <c r="T1097" s="29" t="n"/>
      <c r="U1097" s="29" t="n"/>
      <c r="V1097" s="29" t="n"/>
      <c r="W1097" s="29" t="n"/>
      <c r="X1097" s="29" t="n"/>
      <c r="Y1097" s="29" t="n"/>
      <c r="Z1097" s="29" t="n"/>
      <c r="AA1097" s="29" t="n"/>
      <c r="AB1097" s="29" t="n"/>
      <c r="AC1097" s="29" t="n"/>
      <c r="AD1097" s="29" t="n"/>
      <c r="AE1097" s="29" t="n"/>
      <c r="AF1097" s="29" t="n"/>
      <c r="AG1097" s="29" t="n"/>
      <c r="AH1097" s="29" t="n"/>
      <c r="AI1097" s="29" t="n"/>
    </row>
    <row r="1098">
      <c r="L1098" s="29" t="n"/>
      <c r="M1098" s="29" t="n"/>
      <c r="N1098" s="29" t="n"/>
      <c r="O1098" s="29" t="n"/>
      <c r="P1098" s="29" t="n"/>
      <c r="Q1098" s="29" t="n"/>
      <c r="R1098" s="29" t="n"/>
      <c r="S1098" s="29" t="n"/>
      <c r="T1098" s="29" t="n"/>
      <c r="U1098" s="29" t="n"/>
      <c r="V1098" s="29" t="n"/>
      <c r="W1098" s="29" t="n"/>
      <c r="X1098" s="29" t="n"/>
      <c r="Y1098" s="29" t="n"/>
      <c r="Z1098" s="29" t="n"/>
      <c r="AA1098" s="29" t="n"/>
      <c r="AB1098" s="29" t="n"/>
      <c r="AC1098" s="29" t="n"/>
      <c r="AD1098" s="29" t="n"/>
      <c r="AE1098" s="29" t="n"/>
      <c r="AF1098" s="29" t="n"/>
      <c r="AG1098" s="29" t="n"/>
      <c r="AH1098" s="29" t="n"/>
      <c r="AI1098" s="29" t="n"/>
    </row>
    <row r="1099">
      <c r="L1099" s="29" t="n"/>
      <c r="M1099" s="29" t="n"/>
      <c r="N1099" s="29" t="n"/>
      <c r="O1099" s="29" t="n"/>
      <c r="P1099" s="29" t="n"/>
      <c r="Q1099" s="29" t="n"/>
      <c r="R1099" s="29" t="n"/>
      <c r="S1099" s="29" t="n"/>
      <c r="T1099" s="29" t="n"/>
      <c r="U1099" s="29" t="n"/>
      <c r="V1099" s="29" t="n"/>
      <c r="W1099" s="29" t="n"/>
      <c r="X1099" s="29" t="n"/>
      <c r="Y1099" s="29" t="n"/>
      <c r="Z1099" s="29" t="n"/>
      <c r="AA1099" s="29" t="n"/>
      <c r="AB1099" s="29" t="n"/>
      <c r="AC1099" s="29" t="n"/>
      <c r="AD1099" s="29" t="n"/>
      <c r="AE1099" s="29" t="n"/>
      <c r="AF1099" s="29" t="n"/>
      <c r="AG1099" s="29" t="n"/>
      <c r="AH1099" s="29" t="n"/>
      <c r="AI1099" s="29" t="n"/>
    </row>
    <row r="1100">
      <c r="L1100" s="29" t="n"/>
      <c r="M1100" s="29" t="n"/>
      <c r="N1100" s="29" t="n"/>
      <c r="O1100" s="29" t="n"/>
      <c r="P1100" s="29" t="n"/>
      <c r="Q1100" s="29" t="n"/>
      <c r="R1100" s="29" t="n"/>
      <c r="S1100" s="29" t="n"/>
      <c r="T1100" s="29" t="n"/>
      <c r="U1100" s="29" t="n"/>
      <c r="V1100" s="29" t="n"/>
      <c r="W1100" s="29" t="n"/>
      <c r="X1100" s="29" t="n"/>
      <c r="Y1100" s="29" t="n"/>
      <c r="Z1100" s="29" t="n"/>
      <c r="AA1100" s="29" t="n"/>
      <c r="AB1100" s="29" t="n"/>
      <c r="AC1100" s="29" t="n"/>
      <c r="AD1100" s="29" t="n"/>
      <c r="AE1100" s="29" t="n"/>
      <c r="AF1100" s="29" t="n"/>
      <c r="AG1100" s="29" t="n"/>
      <c r="AH1100" s="29" t="n"/>
      <c r="AI1100" s="29" t="n"/>
    </row>
    <row r="1101">
      <c r="L1101" s="29" t="n"/>
      <c r="M1101" s="29" t="n"/>
      <c r="N1101" s="29" t="n"/>
      <c r="O1101" s="29" t="n"/>
      <c r="P1101" s="29" t="n"/>
      <c r="Q1101" s="29" t="n"/>
      <c r="R1101" s="29" t="n"/>
      <c r="S1101" s="29" t="n"/>
      <c r="T1101" s="29" t="n"/>
      <c r="U1101" s="29" t="n"/>
      <c r="V1101" s="29" t="n"/>
      <c r="W1101" s="29" t="n"/>
      <c r="X1101" s="29" t="n"/>
      <c r="Y1101" s="29" t="n"/>
      <c r="Z1101" s="29" t="n"/>
      <c r="AA1101" s="29" t="n"/>
      <c r="AB1101" s="29" t="n"/>
      <c r="AC1101" s="29" t="n"/>
      <c r="AD1101" s="29" t="n"/>
      <c r="AE1101" s="29" t="n"/>
      <c r="AF1101" s="29" t="n"/>
      <c r="AG1101" s="29" t="n"/>
      <c r="AH1101" s="29" t="n"/>
      <c r="AI1101" s="29" t="n"/>
    </row>
    <row r="1102">
      <c r="L1102" s="29" t="n"/>
      <c r="M1102" s="29" t="n"/>
      <c r="N1102" s="29" t="n"/>
      <c r="O1102" s="29" t="n"/>
      <c r="P1102" s="29" t="n"/>
      <c r="Q1102" s="29" t="n"/>
      <c r="R1102" s="29" t="n"/>
      <c r="S1102" s="29" t="n"/>
      <c r="T1102" s="29" t="n"/>
      <c r="U1102" s="29" t="n"/>
      <c r="V1102" s="29" t="n"/>
      <c r="W1102" s="29" t="n"/>
      <c r="X1102" s="29" t="n"/>
      <c r="Y1102" s="29" t="n"/>
      <c r="Z1102" s="29" t="n"/>
      <c r="AA1102" s="29" t="n"/>
      <c r="AB1102" s="29" t="n"/>
      <c r="AC1102" s="29" t="n"/>
      <c r="AD1102" s="29" t="n"/>
      <c r="AE1102" s="29" t="n"/>
      <c r="AF1102" s="29" t="n"/>
      <c r="AG1102" s="29" t="n"/>
      <c r="AH1102" s="29" t="n"/>
      <c r="AI1102" s="29" t="n"/>
    </row>
    <row r="1103">
      <c r="L1103" s="29" t="n"/>
      <c r="M1103" s="29" t="n"/>
      <c r="N1103" s="29" t="n"/>
      <c r="O1103" s="29" t="n"/>
      <c r="P1103" s="29" t="n"/>
      <c r="Q1103" s="29" t="n"/>
      <c r="R1103" s="29" t="n"/>
      <c r="S1103" s="29" t="n"/>
      <c r="T1103" s="29" t="n"/>
      <c r="U1103" s="29" t="n"/>
      <c r="V1103" s="29" t="n"/>
      <c r="W1103" s="29" t="n"/>
      <c r="X1103" s="29" t="n"/>
      <c r="Y1103" s="29" t="n"/>
      <c r="Z1103" s="29" t="n"/>
      <c r="AA1103" s="29" t="n"/>
      <c r="AB1103" s="29" t="n"/>
      <c r="AC1103" s="29" t="n"/>
      <c r="AD1103" s="29" t="n"/>
      <c r="AE1103" s="29" t="n"/>
      <c r="AF1103" s="29" t="n"/>
      <c r="AG1103" s="29" t="n"/>
      <c r="AH1103" s="29" t="n"/>
      <c r="AI1103" s="29" t="n"/>
    </row>
    <row r="1104">
      <c r="L1104" s="29" t="n"/>
      <c r="M1104" s="29" t="n"/>
      <c r="N1104" s="29" t="n"/>
      <c r="O1104" s="29" t="n"/>
      <c r="P1104" s="29" t="n"/>
      <c r="Q1104" s="29" t="n"/>
      <c r="R1104" s="29" t="n"/>
      <c r="S1104" s="29" t="n"/>
      <c r="T1104" s="29" t="n"/>
      <c r="U1104" s="29" t="n"/>
      <c r="V1104" s="29" t="n"/>
      <c r="W1104" s="29" t="n"/>
      <c r="X1104" s="29" t="n"/>
      <c r="Y1104" s="29" t="n"/>
      <c r="Z1104" s="29" t="n"/>
      <c r="AA1104" s="29" t="n"/>
      <c r="AB1104" s="29" t="n"/>
      <c r="AC1104" s="29" t="n"/>
      <c r="AD1104" s="29" t="n"/>
      <c r="AE1104" s="29" t="n"/>
      <c r="AF1104" s="29" t="n"/>
      <c r="AG1104" s="29" t="n"/>
      <c r="AH1104" s="29" t="n"/>
      <c r="AI1104" s="29" t="n"/>
    </row>
    <row r="1105">
      <c r="L1105" s="29" t="n"/>
      <c r="M1105" s="29" t="n"/>
      <c r="N1105" s="29" t="n"/>
      <c r="O1105" s="29" t="n"/>
      <c r="P1105" s="29" t="n"/>
      <c r="Q1105" s="29" t="n"/>
      <c r="R1105" s="29" t="n"/>
      <c r="S1105" s="29" t="n"/>
      <c r="T1105" s="29" t="n"/>
      <c r="U1105" s="29" t="n"/>
      <c r="V1105" s="29" t="n"/>
      <c r="W1105" s="29" t="n"/>
      <c r="X1105" s="29" t="n"/>
      <c r="Y1105" s="29" t="n"/>
      <c r="Z1105" s="29" t="n"/>
      <c r="AA1105" s="29" t="n"/>
      <c r="AB1105" s="29" t="n"/>
      <c r="AC1105" s="29" t="n"/>
      <c r="AD1105" s="29" t="n"/>
      <c r="AE1105" s="29" t="n"/>
      <c r="AF1105" s="29" t="n"/>
      <c r="AG1105" s="29" t="n"/>
      <c r="AH1105" s="29" t="n"/>
      <c r="AI1105" s="29" t="n"/>
    </row>
    <row r="1106">
      <c r="L1106" s="29" t="n"/>
      <c r="M1106" s="29" t="n"/>
      <c r="N1106" s="29" t="n"/>
      <c r="O1106" s="29" t="n"/>
      <c r="P1106" s="29" t="n"/>
      <c r="Q1106" s="29" t="n"/>
      <c r="R1106" s="29" t="n"/>
      <c r="S1106" s="29" t="n"/>
      <c r="T1106" s="29" t="n"/>
      <c r="U1106" s="29" t="n"/>
      <c r="V1106" s="29" t="n"/>
      <c r="W1106" s="29" t="n"/>
      <c r="X1106" s="29" t="n"/>
      <c r="Y1106" s="29" t="n"/>
      <c r="Z1106" s="29" t="n"/>
      <c r="AA1106" s="29" t="n"/>
      <c r="AB1106" s="29" t="n"/>
      <c r="AC1106" s="29" t="n"/>
      <c r="AD1106" s="29" t="n"/>
      <c r="AE1106" s="29" t="n"/>
      <c r="AF1106" s="29" t="n"/>
      <c r="AG1106" s="29" t="n"/>
      <c r="AH1106" s="29" t="n"/>
      <c r="AI1106" s="29" t="n"/>
    </row>
    <row r="1107">
      <c r="L1107" s="29" t="n"/>
      <c r="M1107" s="29" t="n"/>
      <c r="N1107" s="29" t="n"/>
      <c r="O1107" s="29" t="n"/>
      <c r="P1107" s="29" t="n"/>
      <c r="Q1107" s="29" t="n"/>
      <c r="R1107" s="29" t="n"/>
      <c r="S1107" s="29" t="n"/>
      <c r="T1107" s="29" t="n"/>
      <c r="U1107" s="29" t="n"/>
      <c r="V1107" s="29" t="n"/>
      <c r="W1107" s="29" t="n"/>
      <c r="X1107" s="29" t="n"/>
      <c r="Y1107" s="29" t="n"/>
      <c r="Z1107" s="29" t="n"/>
      <c r="AA1107" s="29" t="n"/>
      <c r="AB1107" s="29" t="n"/>
      <c r="AC1107" s="29" t="n"/>
      <c r="AD1107" s="29" t="n"/>
      <c r="AE1107" s="29" t="n"/>
      <c r="AF1107" s="29" t="n"/>
      <c r="AG1107" s="29" t="n"/>
      <c r="AH1107" s="29" t="n"/>
      <c r="AI1107" s="29" t="n"/>
    </row>
    <row r="1108">
      <c r="L1108" s="29" t="n"/>
      <c r="M1108" s="29" t="n"/>
      <c r="N1108" s="29" t="n"/>
      <c r="O1108" s="29" t="n"/>
      <c r="P1108" s="29" t="n"/>
      <c r="Q1108" s="29" t="n"/>
      <c r="R1108" s="29" t="n"/>
      <c r="S1108" s="29" t="n"/>
      <c r="T1108" s="29" t="n"/>
      <c r="U1108" s="29" t="n"/>
      <c r="V1108" s="29" t="n"/>
      <c r="W1108" s="29" t="n"/>
      <c r="X1108" s="29" t="n"/>
      <c r="Y1108" s="29" t="n"/>
      <c r="Z1108" s="29" t="n"/>
      <c r="AA1108" s="29" t="n"/>
      <c r="AB1108" s="29" t="n"/>
      <c r="AC1108" s="29" t="n"/>
      <c r="AD1108" s="29" t="n"/>
      <c r="AE1108" s="29" t="n"/>
      <c r="AF1108" s="29" t="n"/>
      <c r="AG1108" s="29" t="n"/>
      <c r="AH1108" s="29" t="n"/>
      <c r="AI1108" s="29" t="n"/>
    </row>
    <row r="1109">
      <c r="L1109" s="29" t="n"/>
      <c r="M1109" s="29" t="n"/>
      <c r="N1109" s="29" t="n"/>
      <c r="O1109" s="29" t="n"/>
      <c r="P1109" s="29" t="n"/>
      <c r="Q1109" s="29" t="n"/>
      <c r="R1109" s="29" t="n"/>
      <c r="S1109" s="29" t="n"/>
      <c r="T1109" s="29" t="n"/>
      <c r="U1109" s="29" t="n"/>
      <c r="V1109" s="29" t="n"/>
      <c r="W1109" s="29" t="n"/>
      <c r="X1109" s="29" t="n"/>
      <c r="Y1109" s="29" t="n"/>
      <c r="Z1109" s="29" t="n"/>
      <c r="AA1109" s="29" t="n"/>
      <c r="AB1109" s="29" t="n"/>
      <c r="AC1109" s="29" t="n"/>
      <c r="AD1109" s="29" t="n"/>
      <c r="AE1109" s="29" t="n"/>
      <c r="AF1109" s="29" t="n"/>
      <c r="AG1109" s="29" t="n"/>
      <c r="AH1109" s="29" t="n"/>
      <c r="AI1109" s="29" t="n"/>
    </row>
    <row r="1110">
      <c r="L1110" s="29" t="n"/>
      <c r="M1110" s="29" t="n"/>
      <c r="N1110" s="29" t="n"/>
      <c r="O1110" s="29" t="n"/>
      <c r="P1110" s="29" t="n"/>
      <c r="Q1110" s="29" t="n"/>
      <c r="R1110" s="29" t="n"/>
      <c r="S1110" s="29" t="n"/>
      <c r="T1110" s="29" t="n"/>
      <c r="U1110" s="29" t="n"/>
      <c r="V1110" s="29" t="n"/>
      <c r="W1110" s="29" t="n"/>
      <c r="X1110" s="29" t="n"/>
      <c r="Y1110" s="29" t="n"/>
      <c r="Z1110" s="29" t="n"/>
      <c r="AA1110" s="29" t="n"/>
      <c r="AB1110" s="29" t="n"/>
      <c r="AC1110" s="29" t="n"/>
      <c r="AD1110" s="29" t="n"/>
      <c r="AE1110" s="29" t="n"/>
      <c r="AF1110" s="29" t="n"/>
      <c r="AG1110" s="29" t="n"/>
      <c r="AH1110" s="29" t="n"/>
      <c r="AI1110" s="29" t="n"/>
    </row>
    <row r="1111">
      <c r="L1111" s="29" t="n"/>
      <c r="M1111" s="29" t="n"/>
      <c r="N1111" s="29" t="n"/>
      <c r="O1111" s="29" t="n"/>
      <c r="P1111" s="29" t="n"/>
      <c r="Q1111" s="29" t="n"/>
      <c r="R1111" s="29" t="n"/>
      <c r="S1111" s="29" t="n"/>
      <c r="T1111" s="29" t="n"/>
      <c r="U1111" s="29" t="n"/>
      <c r="V1111" s="29" t="n"/>
      <c r="W1111" s="29" t="n"/>
      <c r="X1111" s="29" t="n"/>
      <c r="Y1111" s="29" t="n"/>
      <c r="Z1111" s="29" t="n"/>
      <c r="AA1111" s="29" t="n"/>
      <c r="AB1111" s="29" t="n"/>
      <c r="AC1111" s="29" t="n"/>
      <c r="AD1111" s="29" t="n"/>
      <c r="AE1111" s="29" t="n"/>
      <c r="AF1111" s="29" t="n"/>
      <c r="AG1111" s="29" t="n"/>
      <c r="AH1111" s="29" t="n"/>
      <c r="AI1111" s="29" t="n"/>
    </row>
    <row r="1112">
      <c r="L1112" s="29" t="n"/>
      <c r="M1112" s="29" t="n"/>
      <c r="N1112" s="29" t="n"/>
      <c r="O1112" s="29" t="n"/>
      <c r="P1112" s="29" t="n"/>
      <c r="Q1112" s="29" t="n"/>
      <c r="R1112" s="29" t="n"/>
      <c r="S1112" s="29" t="n"/>
      <c r="T1112" s="29" t="n"/>
      <c r="U1112" s="29" t="n"/>
      <c r="V1112" s="29" t="n"/>
      <c r="W1112" s="29" t="n"/>
      <c r="X1112" s="29" t="n"/>
      <c r="Y1112" s="29" t="n"/>
      <c r="Z1112" s="29" t="n"/>
      <c r="AA1112" s="29" t="n"/>
      <c r="AB1112" s="29" t="n"/>
      <c r="AC1112" s="29" t="n"/>
      <c r="AD1112" s="29" t="n"/>
      <c r="AE1112" s="29" t="n"/>
      <c r="AF1112" s="29" t="n"/>
      <c r="AG1112" s="29" t="n"/>
      <c r="AH1112" s="29" t="n"/>
      <c r="AI1112" s="29" t="n"/>
    </row>
    <row r="1113">
      <c r="L1113" s="29" t="n"/>
      <c r="M1113" s="29" t="n"/>
      <c r="N1113" s="29" t="n"/>
      <c r="O1113" s="29" t="n"/>
      <c r="P1113" s="29" t="n"/>
      <c r="Q1113" s="29" t="n"/>
      <c r="R1113" s="29" t="n"/>
      <c r="S1113" s="29" t="n"/>
      <c r="T1113" s="29" t="n"/>
      <c r="U1113" s="29" t="n"/>
      <c r="V1113" s="29" t="n"/>
      <c r="W1113" s="29" t="n"/>
      <c r="X1113" s="29" t="n"/>
      <c r="Y1113" s="29" t="n"/>
      <c r="Z1113" s="29" t="n"/>
      <c r="AA1113" s="29" t="n"/>
      <c r="AB1113" s="29" t="n"/>
      <c r="AC1113" s="29" t="n"/>
      <c r="AD1113" s="29" t="n"/>
      <c r="AE1113" s="29" t="n"/>
      <c r="AF1113" s="29" t="n"/>
      <c r="AG1113" s="29" t="n"/>
      <c r="AH1113" s="29" t="n"/>
      <c r="AI1113" s="29" t="n"/>
    </row>
    <row r="1114">
      <c r="L1114" s="29" t="n"/>
      <c r="M1114" s="29" t="n"/>
      <c r="N1114" s="29" t="n"/>
      <c r="O1114" s="29" t="n"/>
      <c r="P1114" s="29" t="n"/>
      <c r="Q1114" s="29" t="n"/>
      <c r="R1114" s="29" t="n"/>
      <c r="S1114" s="29" t="n"/>
      <c r="T1114" s="29" t="n"/>
      <c r="U1114" s="29" t="n"/>
      <c r="V1114" s="29" t="n"/>
      <c r="W1114" s="29" t="n"/>
      <c r="X1114" s="29" t="n"/>
      <c r="Y1114" s="29" t="n"/>
      <c r="Z1114" s="29" t="n"/>
      <c r="AA1114" s="29" t="n"/>
      <c r="AB1114" s="29" t="n"/>
      <c r="AC1114" s="29" t="n"/>
      <c r="AD1114" s="29" t="n"/>
      <c r="AE1114" s="29" t="n"/>
      <c r="AF1114" s="29" t="n"/>
      <c r="AG1114" s="29" t="n"/>
      <c r="AH1114" s="29" t="n"/>
      <c r="AI1114" s="29" t="n"/>
    </row>
    <row r="1115">
      <c r="L1115" s="29" t="n"/>
      <c r="M1115" s="29" t="n"/>
      <c r="N1115" s="29" t="n"/>
      <c r="O1115" s="29" t="n"/>
      <c r="P1115" s="29" t="n"/>
      <c r="Q1115" s="29" t="n"/>
      <c r="R1115" s="29" t="n"/>
      <c r="S1115" s="29" t="n"/>
      <c r="T1115" s="29" t="n"/>
      <c r="U1115" s="29" t="n"/>
      <c r="V1115" s="29" t="n"/>
      <c r="W1115" s="29" t="n"/>
      <c r="X1115" s="29" t="n"/>
      <c r="Y1115" s="29" t="n"/>
      <c r="Z1115" s="29" t="n"/>
      <c r="AA1115" s="29" t="n"/>
      <c r="AB1115" s="29" t="n"/>
      <c r="AC1115" s="29" t="n"/>
      <c r="AD1115" s="29" t="n"/>
      <c r="AE1115" s="29" t="n"/>
      <c r="AF1115" s="29" t="n"/>
      <c r="AG1115" s="29" t="n"/>
      <c r="AH1115" s="29" t="n"/>
      <c r="AI1115" s="29" t="n"/>
    </row>
    <row r="1116">
      <c r="L1116" s="29" t="n"/>
      <c r="M1116" s="29" t="n"/>
      <c r="N1116" s="29" t="n"/>
      <c r="O1116" s="29" t="n"/>
      <c r="P1116" s="29" t="n"/>
      <c r="Q1116" s="29" t="n"/>
      <c r="R1116" s="29" t="n"/>
      <c r="S1116" s="29" t="n"/>
      <c r="T1116" s="29" t="n"/>
      <c r="U1116" s="29" t="n"/>
      <c r="V1116" s="29" t="n"/>
      <c r="W1116" s="29" t="n"/>
      <c r="X1116" s="29" t="n"/>
      <c r="Y1116" s="29" t="n"/>
      <c r="Z1116" s="29" t="n"/>
      <c r="AA1116" s="29" t="n"/>
      <c r="AB1116" s="29" t="n"/>
      <c r="AC1116" s="29" t="n"/>
      <c r="AD1116" s="29" t="n"/>
      <c r="AE1116" s="29" t="n"/>
      <c r="AF1116" s="29" t="n"/>
      <c r="AG1116" s="29" t="n"/>
      <c r="AH1116" s="29" t="n"/>
      <c r="AI1116" s="29" t="n"/>
    </row>
    <row r="1117">
      <c r="L1117" s="29" t="n"/>
      <c r="M1117" s="29" t="n"/>
      <c r="N1117" s="29" t="n"/>
      <c r="O1117" s="29" t="n"/>
      <c r="P1117" s="29" t="n"/>
      <c r="Q1117" s="29" t="n"/>
      <c r="R1117" s="29" t="n"/>
      <c r="S1117" s="29" t="n"/>
      <c r="T1117" s="29" t="n"/>
      <c r="U1117" s="29" t="n"/>
      <c r="V1117" s="29" t="n"/>
      <c r="W1117" s="29" t="n"/>
      <c r="X1117" s="29" t="n"/>
      <c r="Y1117" s="29" t="n"/>
      <c r="Z1117" s="29" t="n"/>
      <c r="AA1117" s="29" t="n"/>
      <c r="AB1117" s="29" t="n"/>
      <c r="AC1117" s="29" t="n"/>
      <c r="AD1117" s="29" t="n"/>
      <c r="AE1117" s="29" t="n"/>
      <c r="AF1117" s="29" t="n"/>
      <c r="AG1117" s="29" t="n"/>
      <c r="AH1117" s="29" t="n"/>
      <c r="AI1117" s="29" t="n"/>
    </row>
    <row r="1118">
      <c r="L1118" s="29" t="n"/>
      <c r="M1118" s="29" t="n"/>
      <c r="N1118" s="29" t="n"/>
      <c r="O1118" s="29" t="n"/>
      <c r="P1118" s="29" t="n"/>
      <c r="Q1118" s="29" t="n"/>
      <c r="R1118" s="29" t="n"/>
      <c r="S1118" s="29" t="n"/>
      <c r="T1118" s="29" t="n"/>
      <c r="U1118" s="29" t="n"/>
      <c r="V1118" s="29" t="n"/>
      <c r="W1118" s="29" t="n"/>
      <c r="X1118" s="29" t="n"/>
      <c r="Y1118" s="29" t="n"/>
      <c r="Z1118" s="29" t="n"/>
      <c r="AA1118" s="29" t="n"/>
      <c r="AB1118" s="29" t="n"/>
      <c r="AC1118" s="29" t="n"/>
      <c r="AD1118" s="29" t="n"/>
      <c r="AE1118" s="29" t="n"/>
      <c r="AF1118" s="29" t="n"/>
      <c r="AG1118" s="29" t="n"/>
      <c r="AH1118" s="29" t="n"/>
      <c r="AI1118" s="29" t="n"/>
    </row>
    <row r="1119">
      <c r="L1119" s="29" t="n"/>
      <c r="M1119" s="29" t="n"/>
      <c r="N1119" s="29" t="n"/>
      <c r="O1119" s="29" t="n"/>
      <c r="P1119" s="29" t="n"/>
      <c r="Q1119" s="29" t="n"/>
      <c r="R1119" s="29" t="n"/>
      <c r="S1119" s="29" t="n"/>
      <c r="T1119" s="29" t="n"/>
      <c r="U1119" s="29" t="n"/>
      <c r="V1119" s="29" t="n"/>
      <c r="W1119" s="29" t="n"/>
      <c r="X1119" s="29" t="n"/>
      <c r="Y1119" s="29" t="n"/>
      <c r="Z1119" s="29" t="n"/>
      <c r="AA1119" s="29" t="n"/>
      <c r="AB1119" s="29" t="n"/>
      <c r="AC1119" s="29" t="n"/>
      <c r="AD1119" s="29" t="n"/>
      <c r="AE1119" s="29" t="n"/>
      <c r="AF1119" s="29" t="n"/>
      <c r="AG1119" s="29" t="n"/>
      <c r="AH1119" s="29" t="n"/>
      <c r="AI1119" s="29" t="n"/>
    </row>
    <row r="1120">
      <c r="L1120" s="29" t="n"/>
      <c r="M1120" s="29" t="n"/>
      <c r="N1120" s="29" t="n"/>
      <c r="O1120" s="29" t="n"/>
      <c r="P1120" s="29" t="n"/>
      <c r="Q1120" s="29" t="n"/>
      <c r="R1120" s="29" t="n"/>
      <c r="S1120" s="29" t="n"/>
      <c r="T1120" s="29" t="n"/>
      <c r="U1120" s="29" t="n"/>
      <c r="V1120" s="29" t="n"/>
      <c r="W1120" s="29" t="n"/>
      <c r="X1120" s="29" t="n"/>
      <c r="Y1120" s="29" t="n"/>
      <c r="Z1120" s="29" t="n"/>
      <c r="AA1120" s="29" t="n"/>
      <c r="AB1120" s="29" t="n"/>
      <c r="AC1120" s="29" t="n"/>
      <c r="AD1120" s="29" t="n"/>
      <c r="AE1120" s="29" t="n"/>
      <c r="AF1120" s="29" t="n"/>
      <c r="AG1120" s="29" t="n"/>
      <c r="AH1120" s="29" t="n"/>
      <c r="AI1120" s="29" t="n"/>
    </row>
    <row r="1121">
      <c r="L1121" s="29" t="n"/>
      <c r="M1121" s="29" t="n"/>
      <c r="N1121" s="29" t="n"/>
      <c r="O1121" s="29" t="n"/>
      <c r="P1121" s="29" t="n"/>
      <c r="Q1121" s="29" t="n"/>
      <c r="R1121" s="29" t="n"/>
      <c r="S1121" s="29" t="n"/>
      <c r="T1121" s="29" t="n"/>
      <c r="U1121" s="29" t="n"/>
      <c r="V1121" s="29" t="n"/>
      <c r="W1121" s="29" t="n"/>
      <c r="X1121" s="29" t="n"/>
      <c r="Y1121" s="29" t="n"/>
      <c r="Z1121" s="29" t="n"/>
      <c r="AA1121" s="29" t="n"/>
      <c r="AB1121" s="29" t="n"/>
      <c r="AC1121" s="29" t="n"/>
      <c r="AD1121" s="29" t="n"/>
      <c r="AE1121" s="29" t="n"/>
      <c r="AF1121" s="29" t="n"/>
      <c r="AG1121" s="29" t="n"/>
      <c r="AH1121" s="29" t="n"/>
      <c r="AI1121" s="29" t="n"/>
    </row>
    <row r="1122">
      <c r="L1122" s="29" t="n"/>
      <c r="M1122" s="29" t="n"/>
      <c r="N1122" s="29" t="n"/>
      <c r="O1122" s="29" t="n"/>
      <c r="P1122" s="29" t="n"/>
      <c r="Q1122" s="29" t="n"/>
      <c r="R1122" s="29" t="n"/>
      <c r="S1122" s="29" t="n"/>
      <c r="T1122" s="29" t="n"/>
      <c r="U1122" s="29" t="n"/>
      <c r="V1122" s="29" t="n"/>
      <c r="W1122" s="29" t="n"/>
      <c r="X1122" s="29" t="n"/>
      <c r="Y1122" s="29" t="n"/>
      <c r="Z1122" s="29" t="n"/>
      <c r="AA1122" s="29" t="n"/>
      <c r="AB1122" s="29" t="n"/>
      <c r="AC1122" s="29" t="n"/>
      <c r="AD1122" s="29" t="n"/>
      <c r="AE1122" s="29" t="n"/>
      <c r="AF1122" s="29" t="n"/>
      <c r="AG1122" s="29" t="n"/>
      <c r="AH1122" s="29" t="n"/>
      <c r="AI1122" s="29" t="n"/>
    </row>
    <row r="1123">
      <c r="L1123" s="29" t="n"/>
      <c r="M1123" s="29" t="n"/>
      <c r="N1123" s="29" t="n"/>
      <c r="O1123" s="29" t="n"/>
      <c r="P1123" s="29" t="n"/>
      <c r="Q1123" s="29" t="n"/>
      <c r="R1123" s="29" t="n"/>
      <c r="S1123" s="29" t="n"/>
      <c r="T1123" s="29" t="n"/>
      <c r="U1123" s="29" t="n"/>
      <c r="V1123" s="29" t="n"/>
      <c r="W1123" s="29" t="n"/>
      <c r="X1123" s="29" t="n"/>
      <c r="Y1123" s="29" t="n"/>
      <c r="Z1123" s="29" t="n"/>
      <c r="AA1123" s="29" t="n"/>
      <c r="AB1123" s="29" t="n"/>
      <c r="AC1123" s="29" t="n"/>
      <c r="AD1123" s="29" t="n"/>
      <c r="AE1123" s="29" t="n"/>
      <c r="AF1123" s="29" t="n"/>
      <c r="AG1123" s="29" t="n"/>
      <c r="AH1123" s="29" t="n"/>
      <c r="AI1123" s="29" t="n"/>
    </row>
    <row r="1124">
      <c r="L1124" s="29" t="n"/>
      <c r="M1124" s="29" t="n"/>
      <c r="N1124" s="29" t="n"/>
      <c r="O1124" s="29" t="n"/>
      <c r="P1124" s="29" t="n"/>
      <c r="Q1124" s="29" t="n"/>
      <c r="R1124" s="29" t="n"/>
      <c r="S1124" s="29" t="n"/>
      <c r="T1124" s="29" t="n"/>
      <c r="U1124" s="29" t="n"/>
      <c r="V1124" s="29" t="n"/>
      <c r="W1124" s="29" t="n"/>
      <c r="X1124" s="29" t="n"/>
      <c r="Y1124" s="29" t="n"/>
      <c r="Z1124" s="29" t="n"/>
      <c r="AA1124" s="29" t="n"/>
      <c r="AB1124" s="29" t="n"/>
      <c r="AC1124" s="29" t="n"/>
      <c r="AD1124" s="29" t="n"/>
      <c r="AE1124" s="29" t="n"/>
      <c r="AF1124" s="29" t="n"/>
      <c r="AG1124" s="29" t="n"/>
      <c r="AH1124" s="29" t="n"/>
      <c r="AI1124" s="29" t="n"/>
    </row>
    <row r="1125">
      <c r="L1125" s="29" t="n"/>
      <c r="M1125" s="29" t="n"/>
      <c r="N1125" s="29" t="n"/>
      <c r="O1125" s="29" t="n"/>
      <c r="P1125" s="29" t="n"/>
      <c r="Q1125" s="29" t="n"/>
      <c r="R1125" s="29" t="n"/>
      <c r="S1125" s="29" t="n"/>
      <c r="T1125" s="29" t="n"/>
      <c r="U1125" s="29" t="n"/>
      <c r="V1125" s="29" t="n"/>
      <c r="W1125" s="29" t="n"/>
      <c r="X1125" s="29" t="n"/>
      <c r="Y1125" s="29" t="n"/>
      <c r="Z1125" s="29" t="n"/>
      <c r="AA1125" s="29" t="n"/>
      <c r="AB1125" s="29" t="n"/>
      <c r="AC1125" s="29" t="n"/>
      <c r="AD1125" s="29" t="n"/>
      <c r="AE1125" s="29" t="n"/>
      <c r="AF1125" s="29" t="n"/>
      <c r="AG1125" s="29" t="n"/>
      <c r="AH1125" s="29" t="n"/>
      <c r="AI1125" s="29" t="n"/>
    </row>
    <row r="1126">
      <c r="L1126" s="29" t="n"/>
      <c r="M1126" s="29" t="n"/>
      <c r="N1126" s="29" t="n"/>
      <c r="O1126" s="29" t="n"/>
      <c r="P1126" s="29" t="n"/>
      <c r="Q1126" s="29" t="n"/>
      <c r="R1126" s="29" t="n"/>
      <c r="S1126" s="29" t="n"/>
      <c r="T1126" s="29" t="n"/>
      <c r="U1126" s="29" t="n"/>
      <c r="V1126" s="29" t="n"/>
      <c r="W1126" s="29" t="n"/>
      <c r="X1126" s="29" t="n"/>
      <c r="Y1126" s="29" t="n"/>
      <c r="Z1126" s="29" t="n"/>
      <c r="AA1126" s="29" t="n"/>
      <c r="AB1126" s="29" t="n"/>
      <c r="AC1126" s="29" t="n"/>
      <c r="AD1126" s="29" t="n"/>
      <c r="AE1126" s="29" t="n"/>
      <c r="AF1126" s="29" t="n"/>
      <c r="AG1126" s="29" t="n"/>
      <c r="AH1126" s="29" t="n"/>
      <c r="AI1126" s="29" t="n"/>
    </row>
    <row r="1127">
      <c r="L1127" s="29" t="n"/>
      <c r="M1127" s="29" t="n"/>
      <c r="N1127" s="29" t="n"/>
      <c r="O1127" s="29" t="n"/>
      <c r="P1127" s="29" t="n"/>
      <c r="Q1127" s="29" t="n"/>
      <c r="R1127" s="29" t="n"/>
      <c r="S1127" s="29" t="n"/>
      <c r="T1127" s="29" t="n"/>
      <c r="U1127" s="29" t="n"/>
      <c r="V1127" s="29" t="n"/>
      <c r="W1127" s="29" t="n"/>
      <c r="X1127" s="29" t="n"/>
      <c r="Y1127" s="29" t="n"/>
      <c r="Z1127" s="29" t="n"/>
      <c r="AA1127" s="29" t="n"/>
      <c r="AB1127" s="29" t="n"/>
      <c r="AC1127" s="29" t="n"/>
      <c r="AD1127" s="29" t="n"/>
      <c r="AE1127" s="29" t="n"/>
      <c r="AF1127" s="29" t="n"/>
      <c r="AG1127" s="29" t="n"/>
      <c r="AH1127" s="29" t="n"/>
      <c r="AI1127" s="29" t="n"/>
    </row>
    <row r="1128">
      <c r="L1128" s="29" t="n"/>
      <c r="M1128" s="29" t="n"/>
      <c r="N1128" s="29" t="n"/>
      <c r="O1128" s="29" t="n"/>
      <c r="P1128" s="29" t="n"/>
      <c r="Q1128" s="29" t="n"/>
      <c r="R1128" s="29" t="n"/>
      <c r="S1128" s="29" t="n"/>
      <c r="T1128" s="29" t="n"/>
      <c r="U1128" s="29" t="n"/>
      <c r="V1128" s="29" t="n"/>
      <c r="W1128" s="29" t="n"/>
      <c r="X1128" s="29" t="n"/>
      <c r="Y1128" s="29" t="n"/>
      <c r="Z1128" s="29" t="n"/>
      <c r="AA1128" s="29" t="n"/>
      <c r="AB1128" s="29" t="n"/>
      <c r="AC1128" s="29" t="n"/>
      <c r="AD1128" s="29" t="n"/>
      <c r="AE1128" s="29" t="n"/>
      <c r="AF1128" s="29" t="n"/>
      <c r="AG1128" s="29" t="n"/>
      <c r="AH1128" s="29" t="n"/>
      <c r="AI1128" s="29" t="n"/>
    </row>
    <row r="1129">
      <c r="L1129" s="29" t="n"/>
      <c r="M1129" s="29" t="n"/>
      <c r="N1129" s="29" t="n"/>
      <c r="O1129" s="29" t="n"/>
      <c r="P1129" s="29" t="n"/>
      <c r="Q1129" s="29" t="n"/>
      <c r="R1129" s="29" t="n"/>
      <c r="S1129" s="29" t="n"/>
      <c r="T1129" s="29" t="n"/>
      <c r="U1129" s="29" t="n"/>
      <c r="V1129" s="29" t="n"/>
      <c r="W1129" s="29" t="n"/>
      <c r="X1129" s="29" t="n"/>
      <c r="Y1129" s="29" t="n"/>
      <c r="Z1129" s="29" t="n"/>
      <c r="AA1129" s="29" t="n"/>
      <c r="AB1129" s="29" t="n"/>
      <c r="AC1129" s="29" t="n"/>
      <c r="AD1129" s="29" t="n"/>
      <c r="AE1129" s="29" t="n"/>
      <c r="AF1129" s="29" t="n"/>
      <c r="AG1129" s="29" t="n"/>
      <c r="AH1129" s="29" t="n"/>
      <c r="AI1129" s="29" t="n"/>
    </row>
    <row r="1130">
      <c r="L1130" s="29" t="n"/>
      <c r="M1130" s="29" t="n"/>
      <c r="N1130" s="29" t="n"/>
      <c r="O1130" s="29" t="n"/>
      <c r="P1130" s="29" t="n"/>
      <c r="Q1130" s="29" t="n"/>
      <c r="R1130" s="29" t="n"/>
      <c r="S1130" s="29" t="n"/>
      <c r="T1130" s="29" t="n"/>
      <c r="U1130" s="29" t="n"/>
      <c r="V1130" s="29" t="n"/>
      <c r="W1130" s="29" t="n"/>
      <c r="X1130" s="29" t="n"/>
      <c r="Y1130" s="29" t="n"/>
      <c r="Z1130" s="29" t="n"/>
      <c r="AA1130" s="29" t="n"/>
      <c r="AB1130" s="29" t="n"/>
      <c r="AC1130" s="29" t="n"/>
      <c r="AD1130" s="29" t="n"/>
      <c r="AE1130" s="29" t="n"/>
      <c r="AF1130" s="29" t="n"/>
      <c r="AG1130" s="29" t="n"/>
      <c r="AH1130" s="29" t="n"/>
      <c r="AI1130" s="29" t="n"/>
    </row>
    <row r="1131">
      <c r="L1131" s="29" t="n"/>
      <c r="M1131" s="29" t="n"/>
      <c r="N1131" s="29" t="n"/>
      <c r="O1131" s="29" t="n"/>
      <c r="P1131" s="29" t="n"/>
      <c r="Q1131" s="29" t="n"/>
      <c r="R1131" s="29" t="n"/>
      <c r="S1131" s="29" t="n"/>
      <c r="T1131" s="29" t="n"/>
      <c r="U1131" s="29" t="n"/>
      <c r="V1131" s="29" t="n"/>
      <c r="W1131" s="29" t="n"/>
      <c r="X1131" s="29" t="n"/>
      <c r="Y1131" s="29" t="n"/>
      <c r="Z1131" s="29" t="n"/>
      <c r="AA1131" s="29" t="n"/>
      <c r="AB1131" s="29" t="n"/>
      <c r="AC1131" s="29" t="n"/>
      <c r="AD1131" s="29" t="n"/>
      <c r="AE1131" s="29" t="n"/>
      <c r="AF1131" s="29" t="n"/>
      <c r="AG1131" s="29" t="n"/>
      <c r="AH1131" s="29" t="n"/>
      <c r="AI1131" s="29" t="n"/>
    </row>
    <row r="1132">
      <c r="L1132" s="29" t="n"/>
      <c r="M1132" s="29" t="n"/>
      <c r="N1132" s="29" t="n"/>
      <c r="O1132" s="29" t="n"/>
      <c r="P1132" s="29" t="n"/>
      <c r="Q1132" s="29" t="n"/>
      <c r="R1132" s="29" t="n"/>
      <c r="S1132" s="29" t="n"/>
      <c r="T1132" s="29" t="n"/>
      <c r="U1132" s="29" t="n"/>
      <c r="V1132" s="29" t="n"/>
      <c r="W1132" s="29" t="n"/>
      <c r="X1132" s="29" t="n"/>
      <c r="Y1132" s="29" t="n"/>
      <c r="Z1132" s="29" t="n"/>
      <c r="AA1132" s="29" t="n"/>
      <c r="AB1132" s="29" t="n"/>
      <c r="AC1132" s="29" t="n"/>
      <c r="AD1132" s="29" t="n"/>
      <c r="AE1132" s="29" t="n"/>
      <c r="AF1132" s="29" t="n"/>
      <c r="AG1132" s="29" t="n"/>
      <c r="AH1132" s="29" t="n"/>
      <c r="AI1132" s="29" t="n"/>
    </row>
    <row r="1133">
      <c r="L1133" s="29" t="n"/>
      <c r="M1133" s="29" t="n"/>
      <c r="N1133" s="29" t="n"/>
      <c r="O1133" s="29" t="n"/>
      <c r="P1133" s="29" t="n"/>
      <c r="Q1133" s="29" t="n"/>
      <c r="R1133" s="29" t="n"/>
      <c r="S1133" s="29" t="n"/>
      <c r="T1133" s="29" t="n"/>
      <c r="U1133" s="29" t="n"/>
      <c r="V1133" s="29" t="n"/>
      <c r="W1133" s="29" t="n"/>
      <c r="X1133" s="29" t="n"/>
      <c r="Y1133" s="29" t="n"/>
      <c r="Z1133" s="29" t="n"/>
      <c r="AA1133" s="29" t="n"/>
      <c r="AB1133" s="29" t="n"/>
      <c r="AC1133" s="29" t="n"/>
      <c r="AD1133" s="29" t="n"/>
      <c r="AE1133" s="29" t="n"/>
      <c r="AF1133" s="29" t="n"/>
      <c r="AG1133" s="29" t="n"/>
      <c r="AH1133" s="29" t="n"/>
      <c r="AI1133" s="29" t="n"/>
    </row>
    <row r="1134">
      <c r="L1134" s="29" t="n"/>
      <c r="M1134" s="29" t="n"/>
      <c r="N1134" s="29" t="n"/>
      <c r="O1134" s="29" t="n"/>
      <c r="P1134" s="29" t="n"/>
      <c r="Q1134" s="29" t="n"/>
      <c r="R1134" s="29" t="n"/>
      <c r="S1134" s="29" t="n"/>
      <c r="T1134" s="29" t="n"/>
      <c r="U1134" s="29" t="n"/>
      <c r="V1134" s="29" t="n"/>
      <c r="W1134" s="29" t="n"/>
      <c r="X1134" s="29" t="n"/>
      <c r="Y1134" s="29" t="n"/>
      <c r="Z1134" s="29" t="n"/>
      <c r="AA1134" s="29" t="n"/>
      <c r="AB1134" s="29" t="n"/>
      <c r="AC1134" s="29" t="n"/>
      <c r="AD1134" s="29" t="n"/>
      <c r="AE1134" s="29" t="n"/>
      <c r="AF1134" s="29" t="n"/>
      <c r="AG1134" s="29" t="n"/>
      <c r="AH1134" s="29" t="n"/>
      <c r="AI1134" s="29" t="n"/>
    </row>
    <row r="1135">
      <c r="L1135" s="29" t="n"/>
      <c r="M1135" s="29" t="n"/>
      <c r="N1135" s="29" t="n"/>
      <c r="O1135" s="29" t="n"/>
      <c r="P1135" s="29" t="n"/>
      <c r="Q1135" s="29" t="n"/>
      <c r="R1135" s="29" t="n"/>
      <c r="S1135" s="29" t="n"/>
      <c r="T1135" s="29" t="n"/>
      <c r="U1135" s="29" t="n"/>
      <c r="V1135" s="29" t="n"/>
      <c r="W1135" s="29" t="n"/>
      <c r="X1135" s="29" t="n"/>
      <c r="Y1135" s="29" t="n"/>
      <c r="Z1135" s="29" t="n"/>
      <c r="AA1135" s="29" t="n"/>
      <c r="AB1135" s="29" t="n"/>
      <c r="AC1135" s="29" t="n"/>
      <c r="AD1135" s="29" t="n"/>
      <c r="AE1135" s="29" t="n"/>
      <c r="AF1135" s="29" t="n"/>
      <c r="AG1135" s="29" t="n"/>
      <c r="AH1135" s="29" t="n"/>
      <c r="AI1135" s="29" t="n"/>
    </row>
    <row r="1136">
      <c r="L1136" s="29" t="n"/>
      <c r="M1136" s="29" t="n"/>
      <c r="N1136" s="29" t="n"/>
      <c r="O1136" s="29" t="n"/>
      <c r="P1136" s="29" t="n"/>
      <c r="Q1136" s="29" t="n"/>
      <c r="R1136" s="29" t="n"/>
      <c r="S1136" s="29" t="n"/>
      <c r="T1136" s="29" t="n"/>
      <c r="U1136" s="29" t="n"/>
      <c r="V1136" s="29" t="n"/>
      <c r="W1136" s="29" t="n"/>
      <c r="X1136" s="29" t="n"/>
      <c r="Y1136" s="29" t="n"/>
      <c r="Z1136" s="29" t="n"/>
      <c r="AA1136" s="29" t="n"/>
      <c r="AB1136" s="29" t="n"/>
      <c r="AC1136" s="29" t="n"/>
      <c r="AD1136" s="29" t="n"/>
      <c r="AE1136" s="29" t="n"/>
      <c r="AF1136" s="29" t="n"/>
      <c r="AG1136" s="29" t="n"/>
      <c r="AH1136" s="29" t="n"/>
      <c r="AI1136" s="29" t="n"/>
    </row>
    <row r="1137">
      <c r="L1137" s="29" t="n"/>
      <c r="M1137" s="29" t="n"/>
      <c r="N1137" s="29" t="n"/>
      <c r="O1137" s="29" t="n"/>
      <c r="P1137" s="29" t="n"/>
      <c r="Q1137" s="29" t="n"/>
      <c r="R1137" s="29" t="n"/>
      <c r="S1137" s="29" t="n"/>
      <c r="T1137" s="29" t="n"/>
      <c r="U1137" s="29" t="n"/>
      <c r="V1137" s="29" t="n"/>
      <c r="W1137" s="29" t="n"/>
      <c r="X1137" s="29" t="n"/>
      <c r="Y1137" s="29" t="n"/>
      <c r="Z1137" s="29" t="n"/>
      <c r="AA1137" s="29" t="n"/>
      <c r="AB1137" s="29" t="n"/>
      <c r="AC1137" s="29" t="n"/>
      <c r="AD1137" s="29" t="n"/>
      <c r="AE1137" s="29" t="n"/>
      <c r="AF1137" s="29" t="n"/>
      <c r="AG1137" s="29" t="n"/>
      <c r="AH1137" s="29" t="n"/>
      <c r="AI1137" s="29" t="n"/>
    </row>
    <row r="1138">
      <c r="L1138" s="29" t="n"/>
      <c r="M1138" s="29" t="n"/>
      <c r="N1138" s="29" t="n"/>
      <c r="O1138" s="29" t="n"/>
      <c r="P1138" s="29" t="n"/>
      <c r="Q1138" s="29" t="n"/>
      <c r="R1138" s="29" t="n"/>
      <c r="S1138" s="29" t="n"/>
      <c r="T1138" s="29" t="n"/>
      <c r="U1138" s="29" t="n"/>
      <c r="V1138" s="29" t="n"/>
      <c r="W1138" s="29" t="n"/>
      <c r="X1138" s="29" t="n"/>
      <c r="Y1138" s="29" t="n"/>
      <c r="Z1138" s="29" t="n"/>
      <c r="AA1138" s="29" t="n"/>
      <c r="AB1138" s="29" t="n"/>
      <c r="AC1138" s="29" t="n"/>
      <c r="AD1138" s="29" t="n"/>
      <c r="AE1138" s="29" t="n"/>
      <c r="AF1138" s="29" t="n"/>
      <c r="AG1138" s="29" t="n"/>
      <c r="AH1138" s="29" t="n"/>
      <c r="AI1138" s="29" t="n"/>
    </row>
    <row r="1139">
      <c r="L1139" s="29" t="n"/>
      <c r="M1139" s="29" t="n"/>
      <c r="N1139" s="29" t="n"/>
      <c r="O1139" s="29" t="n"/>
      <c r="P1139" s="29" t="n"/>
      <c r="Q1139" s="29" t="n"/>
      <c r="R1139" s="29" t="n"/>
      <c r="S1139" s="29" t="n"/>
      <c r="T1139" s="29" t="n"/>
      <c r="U1139" s="29" t="n"/>
      <c r="V1139" s="29" t="n"/>
      <c r="W1139" s="29" t="n"/>
      <c r="X1139" s="29" t="n"/>
      <c r="Y1139" s="29" t="n"/>
      <c r="Z1139" s="29" t="n"/>
      <c r="AA1139" s="29" t="n"/>
      <c r="AB1139" s="29" t="n"/>
      <c r="AC1139" s="29" t="n"/>
      <c r="AD1139" s="29" t="n"/>
      <c r="AE1139" s="29" t="n"/>
      <c r="AF1139" s="29" t="n"/>
      <c r="AG1139" s="29" t="n"/>
      <c r="AH1139" s="29" t="n"/>
      <c r="AI1139" s="29" t="n"/>
    </row>
    <row r="1140">
      <c r="L1140" s="29" t="n"/>
      <c r="M1140" s="29" t="n"/>
      <c r="N1140" s="29" t="n"/>
      <c r="O1140" s="29" t="n"/>
      <c r="P1140" s="29" t="n"/>
      <c r="Q1140" s="29" t="n"/>
      <c r="R1140" s="29" t="n"/>
      <c r="S1140" s="29" t="n"/>
      <c r="T1140" s="29" t="n"/>
      <c r="U1140" s="29" t="n"/>
      <c r="V1140" s="29" t="n"/>
      <c r="W1140" s="29" t="n"/>
      <c r="X1140" s="29" t="n"/>
      <c r="Y1140" s="29" t="n"/>
      <c r="Z1140" s="29" t="n"/>
      <c r="AA1140" s="29" t="n"/>
      <c r="AB1140" s="29" t="n"/>
      <c r="AC1140" s="29" t="n"/>
      <c r="AD1140" s="29" t="n"/>
      <c r="AE1140" s="29" t="n"/>
      <c r="AF1140" s="29" t="n"/>
      <c r="AG1140" s="29" t="n"/>
      <c r="AH1140" s="29" t="n"/>
      <c r="AI1140" s="29" t="n"/>
    </row>
    <row r="1141">
      <c r="L1141" s="29" t="n"/>
      <c r="M1141" s="29" t="n"/>
      <c r="N1141" s="29" t="n"/>
      <c r="O1141" s="29" t="n"/>
      <c r="P1141" s="29" t="n"/>
      <c r="Q1141" s="29" t="n"/>
      <c r="R1141" s="29" t="n"/>
      <c r="S1141" s="29" t="n"/>
      <c r="T1141" s="29" t="n"/>
      <c r="U1141" s="29" t="n"/>
      <c r="V1141" s="29" t="n"/>
      <c r="W1141" s="29" t="n"/>
      <c r="X1141" s="29" t="n"/>
      <c r="Y1141" s="29" t="n"/>
      <c r="Z1141" s="29" t="n"/>
      <c r="AA1141" s="29" t="n"/>
      <c r="AB1141" s="29" t="n"/>
      <c r="AC1141" s="29" t="n"/>
      <c r="AD1141" s="29" t="n"/>
      <c r="AE1141" s="29" t="n"/>
      <c r="AF1141" s="29" t="n"/>
      <c r="AG1141" s="29" t="n"/>
      <c r="AH1141" s="29" t="n"/>
      <c r="AI1141" s="29" t="n"/>
    </row>
    <row r="1142">
      <c r="L1142" s="29" t="n"/>
      <c r="M1142" s="29" t="n"/>
      <c r="N1142" s="29" t="n"/>
      <c r="O1142" s="29" t="n"/>
      <c r="P1142" s="29" t="n"/>
      <c r="Q1142" s="29" t="n"/>
      <c r="R1142" s="29" t="n"/>
      <c r="S1142" s="29" t="n"/>
      <c r="T1142" s="29" t="n"/>
      <c r="U1142" s="29" t="n"/>
      <c r="V1142" s="29" t="n"/>
      <c r="W1142" s="29" t="n"/>
      <c r="X1142" s="29" t="n"/>
      <c r="Y1142" s="29" t="n"/>
      <c r="Z1142" s="29" t="n"/>
      <c r="AA1142" s="29" t="n"/>
      <c r="AB1142" s="29" t="n"/>
      <c r="AC1142" s="29" t="n"/>
      <c r="AD1142" s="29" t="n"/>
      <c r="AE1142" s="29" t="n"/>
      <c r="AF1142" s="29" t="n"/>
      <c r="AG1142" s="29" t="n"/>
      <c r="AH1142" s="29" t="n"/>
      <c r="AI1142" s="29" t="n"/>
    </row>
    <row r="1143">
      <c r="L1143" s="29" t="n"/>
      <c r="M1143" s="29" t="n"/>
      <c r="N1143" s="29" t="n"/>
      <c r="O1143" s="29" t="n"/>
      <c r="P1143" s="29" t="n"/>
      <c r="Q1143" s="29" t="n"/>
      <c r="R1143" s="29" t="n"/>
      <c r="S1143" s="29" t="n"/>
      <c r="T1143" s="29" t="n"/>
      <c r="U1143" s="29" t="n"/>
      <c r="V1143" s="29" t="n"/>
      <c r="W1143" s="29" t="n"/>
      <c r="X1143" s="29" t="n"/>
      <c r="Y1143" s="29" t="n"/>
      <c r="Z1143" s="29" t="n"/>
      <c r="AA1143" s="29" t="n"/>
      <c r="AB1143" s="29" t="n"/>
      <c r="AC1143" s="29" t="n"/>
      <c r="AD1143" s="29" t="n"/>
      <c r="AE1143" s="29" t="n"/>
      <c r="AF1143" s="29" t="n"/>
      <c r="AG1143" s="29" t="n"/>
      <c r="AH1143" s="29" t="n"/>
      <c r="AI1143" s="29" t="n"/>
    </row>
    <row r="1144">
      <c r="L1144" s="29" t="n"/>
      <c r="M1144" s="29" t="n"/>
      <c r="N1144" s="29" t="n"/>
      <c r="O1144" s="29" t="n"/>
      <c r="P1144" s="29" t="n"/>
      <c r="Q1144" s="29" t="n"/>
      <c r="R1144" s="29" t="n"/>
      <c r="S1144" s="29" t="n"/>
      <c r="T1144" s="29" t="n"/>
      <c r="U1144" s="29" t="n"/>
      <c r="V1144" s="29" t="n"/>
      <c r="W1144" s="29" t="n"/>
      <c r="X1144" s="29" t="n"/>
      <c r="Y1144" s="29" t="n"/>
      <c r="Z1144" s="29" t="n"/>
      <c r="AA1144" s="29" t="n"/>
      <c r="AB1144" s="29" t="n"/>
      <c r="AC1144" s="29" t="n"/>
      <c r="AD1144" s="29" t="n"/>
      <c r="AE1144" s="29" t="n"/>
      <c r="AF1144" s="29" t="n"/>
      <c r="AG1144" s="29" t="n"/>
      <c r="AH1144" s="29" t="n"/>
      <c r="AI1144" s="29" t="n"/>
    </row>
    <row r="1145">
      <c r="L1145" s="29" t="n"/>
      <c r="M1145" s="29" t="n"/>
      <c r="N1145" s="29" t="n"/>
      <c r="O1145" s="29" t="n"/>
      <c r="P1145" s="29" t="n"/>
      <c r="Q1145" s="29" t="n"/>
      <c r="R1145" s="29" t="n"/>
      <c r="S1145" s="29" t="n"/>
      <c r="T1145" s="29" t="n"/>
      <c r="U1145" s="29" t="n"/>
      <c r="V1145" s="29" t="n"/>
      <c r="W1145" s="29" t="n"/>
      <c r="X1145" s="29" t="n"/>
      <c r="Y1145" s="29" t="n"/>
      <c r="Z1145" s="29" t="n"/>
      <c r="AA1145" s="29" t="n"/>
      <c r="AB1145" s="29" t="n"/>
      <c r="AC1145" s="29" t="n"/>
      <c r="AD1145" s="29" t="n"/>
      <c r="AE1145" s="29" t="n"/>
      <c r="AF1145" s="29" t="n"/>
      <c r="AG1145" s="29" t="n"/>
      <c r="AH1145" s="29" t="n"/>
      <c r="AI1145" s="29" t="n"/>
    </row>
    <row r="1146">
      <c r="L1146" s="29" t="n"/>
      <c r="M1146" s="29" t="n"/>
      <c r="N1146" s="29" t="n"/>
      <c r="O1146" s="29" t="n"/>
      <c r="P1146" s="29" t="n"/>
      <c r="Q1146" s="29" t="n"/>
      <c r="R1146" s="29" t="n"/>
      <c r="S1146" s="29" t="n"/>
      <c r="T1146" s="29" t="n"/>
      <c r="U1146" s="29" t="n"/>
      <c r="V1146" s="29" t="n"/>
      <c r="W1146" s="29" t="n"/>
      <c r="X1146" s="29" t="n"/>
      <c r="Y1146" s="29" t="n"/>
      <c r="Z1146" s="29" t="n"/>
      <c r="AA1146" s="29" t="n"/>
      <c r="AB1146" s="29" t="n"/>
      <c r="AC1146" s="29" t="n"/>
      <c r="AD1146" s="29" t="n"/>
      <c r="AE1146" s="29" t="n"/>
      <c r="AF1146" s="29" t="n"/>
      <c r="AG1146" s="29" t="n"/>
      <c r="AH1146" s="29" t="n"/>
      <c r="AI1146" s="29" t="n"/>
    </row>
    <row r="1147">
      <c r="L1147" s="29" t="n"/>
      <c r="M1147" s="29" t="n"/>
      <c r="N1147" s="29" t="n"/>
      <c r="O1147" s="29" t="n"/>
      <c r="P1147" s="29" t="n"/>
      <c r="Q1147" s="29" t="n"/>
      <c r="R1147" s="29" t="n"/>
      <c r="S1147" s="29" t="n"/>
      <c r="T1147" s="29" t="n"/>
      <c r="U1147" s="29" t="n"/>
      <c r="V1147" s="29" t="n"/>
      <c r="W1147" s="29" t="n"/>
      <c r="X1147" s="29" t="n"/>
      <c r="Y1147" s="29" t="n"/>
      <c r="Z1147" s="29" t="n"/>
      <c r="AA1147" s="29" t="n"/>
      <c r="AB1147" s="29" t="n"/>
      <c r="AC1147" s="29" t="n"/>
      <c r="AD1147" s="29" t="n"/>
      <c r="AE1147" s="29" t="n"/>
      <c r="AF1147" s="29" t="n"/>
      <c r="AG1147" s="29" t="n"/>
      <c r="AH1147" s="29" t="n"/>
      <c r="AI1147" s="29" t="n"/>
    </row>
    <row r="1148">
      <c r="L1148" s="29" t="n"/>
      <c r="M1148" s="29" t="n"/>
      <c r="N1148" s="29" t="n"/>
      <c r="O1148" s="29" t="n"/>
      <c r="P1148" s="29" t="n"/>
      <c r="Q1148" s="29" t="n"/>
      <c r="R1148" s="29" t="n"/>
      <c r="S1148" s="29" t="n"/>
      <c r="T1148" s="29" t="n"/>
      <c r="U1148" s="29" t="n"/>
      <c r="V1148" s="29" t="n"/>
      <c r="W1148" s="29" t="n"/>
      <c r="X1148" s="29" t="n"/>
      <c r="Y1148" s="29" t="n"/>
      <c r="Z1148" s="29" t="n"/>
      <c r="AA1148" s="29" t="n"/>
      <c r="AB1148" s="29" t="n"/>
      <c r="AC1148" s="29" t="n"/>
      <c r="AD1148" s="29" t="n"/>
      <c r="AE1148" s="29" t="n"/>
      <c r="AF1148" s="29" t="n"/>
      <c r="AG1148" s="29" t="n"/>
      <c r="AH1148" s="29" t="n"/>
      <c r="AI1148" s="29" t="n"/>
    </row>
    <row r="1149">
      <c r="L1149" s="29" t="n"/>
      <c r="M1149" s="29" t="n"/>
      <c r="N1149" s="29" t="n"/>
      <c r="O1149" s="29" t="n"/>
      <c r="P1149" s="29" t="n"/>
      <c r="Q1149" s="29" t="n"/>
      <c r="R1149" s="29" t="n"/>
      <c r="S1149" s="29" t="n"/>
      <c r="T1149" s="29" t="n"/>
      <c r="U1149" s="29" t="n"/>
      <c r="V1149" s="29" t="n"/>
      <c r="W1149" s="29" t="n"/>
      <c r="X1149" s="29" t="n"/>
      <c r="Y1149" s="29" t="n"/>
      <c r="Z1149" s="29" t="n"/>
      <c r="AA1149" s="29" t="n"/>
      <c r="AB1149" s="29" t="n"/>
      <c r="AC1149" s="29" t="n"/>
      <c r="AD1149" s="29" t="n"/>
      <c r="AE1149" s="29" t="n"/>
      <c r="AF1149" s="29" t="n"/>
      <c r="AG1149" s="29" t="n"/>
      <c r="AH1149" s="29" t="n"/>
      <c r="AI1149" s="29" t="n"/>
    </row>
    <row r="1150">
      <c r="L1150" s="29" t="n"/>
      <c r="M1150" s="29" t="n"/>
      <c r="N1150" s="29" t="n"/>
      <c r="O1150" s="29" t="n"/>
      <c r="P1150" s="29" t="n"/>
      <c r="Q1150" s="29" t="n"/>
      <c r="R1150" s="29" t="n"/>
      <c r="S1150" s="29" t="n"/>
      <c r="T1150" s="29" t="n"/>
      <c r="U1150" s="29" t="n"/>
      <c r="V1150" s="29" t="n"/>
      <c r="W1150" s="29" t="n"/>
      <c r="X1150" s="29" t="n"/>
      <c r="Y1150" s="29" t="n"/>
      <c r="Z1150" s="29" t="n"/>
      <c r="AA1150" s="29" t="n"/>
      <c r="AB1150" s="29" t="n"/>
      <c r="AC1150" s="29" t="n"/>
      <c r="AD1150" s="29" t="n"/>
      <c r="AE1150" s="29" t="n"/>
      <c r="AF1150" s="29" t="n"/>
      <c r="AG1150" s="29" t="n"/>
      <c r="AH1150" s="29" t="n"/>
      <c r="AI1150" s="29" t="n"/>
    </row>
    <row r="1151">
      <c r="L1151" s="29" t="n"/>
      <c r="M1151" s="29" t="n"/>
      <c r="N1151" s="29" t="n"/>
      <c r="O1151" s="29" t="n"/>
      <c r="P1151" s="29" t="n"/>
      <c r="Q1151" s="29" t="n"/>
      <c r="R1151" s="29" t="n"/>
      <c r="S1151" s="29" t="n"/>
      <c r="T1151" s="29" t="n"/>
      <c r="U1151" s="29" t="n"/>
      <c r="V1151" s="29" t="n"/>
      <c r="W1151" s="29" t="n"/>
      <c r="X1151" s="29" t="n"/>
      <c r="Y1151" s="29" t="n"/>
      <c r="Z1151" s="29" t="n"/>
      <c r="AA1151" s="29" t="n"/>
      <c r="AB1151" s="29" t="n"/>
      <c r="AC1151" s="29" t="n"/>
      <c r="AD1151" s="29" t="n"/>
      <c r="AE1151" s="29" t="n"/>
      <c r="AF1151" s="29" t="n"/>
      <c r="AG1151" s="29" t="n"/>
      <c r="AH1151" s="29" t="n"/>
      <c r="AI1151" s="29" t="n"/>
    </row>
    <row r="1152">
      <c r="L1152" s="29" t="n"/>
      <c r="M1152" s="29" t="n"/>
      <c r="N1152" s="29" t="n"/>
      <c r="O1152" s="29" t="n"/>
      <c r="P1152" s="29" t="n"/>
      <c r="Q1152" s="29" t="n"/>
      <c r="R1152" s="29" t="n"/>
      <c r="S1152" s="29" t="n"/>
      <c r="T1152" s="29" t="n"/>
      <c r="U1152" s="29" t="n"/>
      <c r="V1152" s="29" t="n"/>
      <c r="W1152" s="29" t="n"/>
      <c r="X1152" s="29" t="n"/>
      <c r="Y1152" s="29" t="n"/>
      <c r="Z1152" s="29" t="n"/>
      <c r="AA1152" s="29" t="n"/>
      <c r="AB1152" s="29" t="n"/>
      <c r="AC1152" s="29" t="n"/>
      <c r="AD1152" s="29" t="n"/>
      <c r="AE1152" s="29" t="n"/>
      <c r="AF1152" s="29" t="n"/>
      <c r="AG1152" s="29" t="n"/>
      <c r="AH1152" s="29" t="n"/>
      <c r="AI1152" s="29" t="n"/>
    </row>
    <row r="1153">
      <c r="L1153" s="29" t="n"/>
      <c r="M1153" s="29" t="n"/>
      <c r="N1153" s="29" t="n"/>
      <c r="O1153" s="29" t="n"/>
      <c r="P1153" s="29" t="n"/>
      <c r="Q1153" s="29" t="n"/>
      <c r="R1153" s="29" t="n"/>
      <c r="S1153" s="29" t="n"/>
      <c r="T1153" s="29" t="n"/>
      <c r="U1153" s="29" t="n"/>
      <c r="V1153" s="29" t="n"/>
      <c r="W1153" s="29" t="n"/>
      <c r="X1153" s="29" t="n"/>
      <c r="Y1153" s="29" t="n"/>
      <c r="Z1153" s="29" t="n"/>
      <c r="AA1153" s="29" t="n"/>
      <c r="AB1153" s="29" t="n"/>
      <c r="AC1153" s="29" t="n"/>
      <c r="AD1153" s="29" t="n"/>
      <c r="AE1153" s="29" t="n"/>
      <c r="AF1153" s="29" t="n"/>
      <c r="AG1153" s="29" t="n"/>
      <c r="AH1153" s="29" t="n"/>
      <c r="AI1153" s="29" t="n"/>
    </row>
    <row r="1154">
      <c r="L1154" s="29" t="n"/>
      <c r="M1154" s="29" t="n"/>
      <c r="N1154" s="29" t="n"/>
      <c r="O1154" s="29" t="n"/>
      <c r="P1154" s="29" t="n"/>
      <c r="Q1154" s="29" t="n"/>
      <c r="R1154" s="29" t="n"/>
      <c r="S1154" s="29" t="n"/>
      <c r="T1154" s="29" t="n"/>
      <c r="U1154" s="29" t="n"/>
      <c r="V1154" s="29" t="n"/>
      <c r="W1154" s="29" t="n"/>
      <c r="X1154" s="29" t="n"/>
      <c r="Y1154" s="29" t="n"/>
      <c r="Z1154" s="29" t="n"/>
      <c r="AA1154" s="29" t="n"/>
      <c r="AB1154" s="29" t="n"/>
      <c r="AC1154" s="29" t="n"/>
      <c r="AD1154" s="29" t="n"/>
      <c r="AE1154" s="29" t="n"/>
      <c r="AF1154" s="29" t="n"/>
      <c r="AG1154" s="29" t="n"/>
      <c r="AH1154" s="29" t="n"/>
      <c r="AI1154" s="29" t="n"/>
    </row>
    <row r="1155">
      <c r="L1155" s="29" t="n"/>
      <c r="M1155" s="29" t="n"/>
      <c r="N1155" s="29" t="n"/>
      <c r="O1155" s="29" t="n"/>
      <c r="P1155" s="29" t="n"/>
      <c r="Q1155" s="29" t="n"/>
      <c r="R1155" s="29" t="n"/>
      <c r="S1155" s="29" t="n"/>
      <c r="T1155" s="29" t="n"/>
      <c r="U1155" s="29" t="n"/>
      <c r="V1155" s="29" t="n"/>
      <c r="W1155" s="29" t="n"/>
      <c r="X1155" s="29" t="n"/>
      <c r="Y1155" s="29" t="n"/>
      <c r="Z1155" s="29" t="n"/>
      <c r="AA1155" s="29" t="n"/>
      <c r="AB1155" s="29" t="n"/>
      <c r="AC1155" s="29" t="n"/>
      <c r="AD1155" s="29" t="n"/>
      <c r="AE1155" s="29" t="n"/>
      <c r="AF1155" s="29" t="n"/>
      <c r="AG1155" s="29" t="n"/>
      <c r="AH1155" s="29" t="n"/>
      <c r="AI1155" s="29" t="n"/>
    </row>
    <row r="1156">
      <c r="L1156" s="29" t="n"/>
      <c r="M1156" s="29" t="n"/>
      <c r="N1156" s="29" t="n"/>
      <c r="O1156" s="29" t="n"/>
      <c r="P1156" s="29" t="n"/>
      <c r="Q1156" s="29" t="n"/>
      <c r="R1156" s="29" t="n"/>
      <c r="S1156" s="29" t="n"/>
      <c r="T1156" s="29" t="n"/>
      <c r="U1156" s="29" t="n"/>
      <c r="V1156" s="29" t="n"/>
      <c r="W1156" s="29" t="n"/>
      <c r="X1156" s="29" t="n"/>
      <c r="Y1156" s="29" t="n"/>
      <c r="Z1156" s="29" t="n"/>
      <c r="AA1156" s="29" t="n"/>
      <c r="AB1156" s="29" t="n"/>
      <c r="AC1156" s="29" t="n"/>
      <c r="AD1156" s="29" t="n"/>
      <c r="AE1156" s="29" t="n"/>
      <c r="AF1156" s="29" t="n"/>
      <c r="AG1156" s="29" t="n"/>
      <c r="AH1156" s="29" t="n"/>
      <c r="AI1156" s="29" t="n"/>
    </row>
    <row r="1157">
      <c r="L1157" s="29" t="n"/>
      <c r="M1157" s="29" t="n"/>
      <c r="N1157" s="29" t="n"/>
      <c r="O1157" s="29" t="n"/>
      <c r="P1157" s="29" t="n"/>
      <c r="Q1157" s="29" t="n"/>
      <c r="R1157" s="29" t="n"/>
      <c r="S1157" s="29" t="n"/>
      <c r="T1157" s="29" t="n"/>
      <c r="U1157" s="29" t="n"/>
      <c r="V1157" s="29" t="n"/>
      <c r="W1157" s="29" t="n"/>
      <c r="X1157" s="29" t="n"/>
      <c r="Y1157" s="29" t="n"/>
      <c r="Z1157" s="29" t="n"/>
      <c r="AA1157" s="29" t="n"/>
      <c r="AB1157" s="29" t="n"/>
      <c r="AC1157" s="29" t="n"/>
      <c r="AD1157" s="29" t="n"/>
      <c r="AE1157" s="29" t="n"/>
      <c r="AF1157" s="29" t="n"/>
      <c r="AG1157" s="29" t="n"/>
      <c r="AH1157" s="29" t="n"/>
      <c r="AI1157" s="29" t="n"/>
    </row>
    <row r="1158">
      <c r="L1158" s="29" t="n"/>
      <c r="M1158" s="29" t="n"/>
      <c r="N1158" s="29" t="n"/>
      <c r="O1158" s="29" t="n"/>
      <c r="P1158" s="29" t="n"/>
      <c r="Q1158" s="29" t="n"/>
      <c r="R1158" s="29" t="n"/>
      <c r="S1158" s="29" t="n"/>
      <c r="T1158" s="29" t="n"/>
      <c r="U1158" s="29" t="n"/>
      <c r="V1158" s="29" t="n"/>
      <c r="W1158" s="29" t="n"/>
      <c r="X1158" s="29" t="n"/>
      <c r="Y1158" s="29" t="n"/>
      <c r="Z1158" s="29" t="n"/>
      <c r="AA1158" s="29" t="n"/>
      <c r="AB1158" s="29" t="n"/>
      <c r="AC1158" s="29" t="n"/>
      <c r="AD1158" s="29" t="n"/>
      <c r="AE1158" s="29" t="n"/>
      <c r="AF1158" s="29" t="n"/>
      <c r="AG1158" s="29" t="n"/>
      <c r="AH1158" s="29" t="n"/>
      <c r="AI1158" s="29" t="n"/>
    </row>
    <row r="1159">
      <c r="L1159" s="29" t="n"/>
      <c r="M1159" s="29" t="n"/>
      <c r="N1159" s="29" t="n"/>
      <c r="O1159" s="29" t="n"/>
      <c r="P1159" s="29" t="n"/>
      <c r="Q1159" s="29" t="n"/>
      <c r="R1159" s="29" t="n"/>
      <c r="S1159" s="29" t="n"/>
      <c r="T1159" s="29" t="n"/>
      <c r="U1159" s="29" t="n"/>
      <c r="V1159" s="29" t="n"/>
      <c r="W1159" s="29" t="n"/>
      <c r="X1159" s="29" t="n"/>
      <c r="Y1159" s="29" t="n"/>
      <c r="Z1159" s="29" t="n"/>
      <c r="AA1159" s="29" t="n"/>
      <c r="AB1159" s="29" t="n"/>
      <c r="AC1159" s="29" t="n"/>
      <c r="AD1159" s="29" t="n"/>
      <c r="AE1159" s="29" t="n"/>
      <c r="AF1159" s="29" t="n"/>
      <c r="AG1159" s="29" t="n"/>
      <c r="AH1159" s="29" t="n"/>
      <c r="AI1159" s="29" t="n"/>
    </row>
    <row r="1160">
      <c r="L1160" s="29" t="n"/>
      <c r="M1160" s="29" t="n"/>
      <c r="N1160" s="29" t="n"/>
      <c r="O1160" s="29" t="n"/>
      <c r="P1160" s="29" t="n"/>
      <c r="Q1160" s="29" t="n"/>
      <c r="R1160" s="29" t="n"/>
      <c r="S1160" s="29" t="n"/>
      <c r="T1160" s="29" t="n"/>
      <c r="U1160" s="29" t="n"/>
      <c r="V1160" s="29" t="n"/>
      <c r="W1160" s="29" t="n"/>
      <c r="X1160" s="29" t="n"/>
      <c r="Y1160" s="29" t="n"/>
      <c r="Z1160" s="29" t="n"/>
      <c r="AA1160" s="29" t="n"/>
      <c r="AB1160" s="29" t="n"/>
      <c r="AC1160" s="29" t="n"/>
      <c r="AD1160" s="29" t="n"/>
      <c r="AE1160" s="29" t="n"/>
      <c r="AF1160" s="29" t="n"/>
      <c r="AG1160" s="29" t="n"/>
      <c r="AH1160" s="29" t="n"/>
      <c r="AI1160" s="29" t="n"/>
    </row>
    <row r="1161">
      <c r="L1161" s="29" t="n"/>
      <c r="M1161" s="29" t="n"/>
      <c r="N1161" s="29" t="n"/>
      <c r="O1161" s="29" t="n"/>
      <c r="P1161" s="29" t="n"/>
      <c r="Q1161" s="29" t="n"/>
      <c r="R1161" s="29" t="n"/>
      <c r="S1161" s="29" t="n"/>
      <c r="T1161" s="29" t="n"/>
      <c r="U1161" s="29" t="n"/>
      <c r="V1161" s="29" t="n"/>
      <c r="W1161" s="29" t="n"/>
      <c r="X1161" s="29" t="n"/>
      <c r="Y1161" s="29" t="n"/>
      <c r="Z1161" s="29" t="n"/>
      <c r="AA1161" s="29" t="n"/>
      <c r="AB1161" s="29" t="n"/>
      <c r="AC1161" s="29" t="n"/>
      <c r="AD1161" s="29" t="n"/>
      <c r="AE1161" s="29" t="n"/>
      <c r="AF1161" s="29" t="n"/>
      <c r="AG1161" s="29" t="n"/>
      <c r="AH1161" s="29" t="n"/>
      <c r="AI1161" s="29" t="n"/>
    </row>
    <row r="1162">
      <c r="L1162" s="29" t="n"/>
      <c r="M1162" s="29" t="n"/>
      <c r="N1162" s="29" t="n"/>
      <c r="O1162" s="29" t="n"/>
      <c r="P1162" s="29" t="n"/>
      <c r="Q1162" s="29" t="n"/>
      <c r="R1162" s="29" t="n"/>
      <c r="S1162" s="29" t="n"/>
      <c r="T1162" s="29" t="n"/>
      <c r="U1162" s="29" t="n"/>
      <c r="V1162" s="29" t="n"/>
      <c r="W1162" s="29" t="n"/>
      <c r="X1162" s="29" t="n"/>
      <c r="Y1162" s="29" t="n"/>
      <c r="Z1162" s="29" t="n"/>
      <c r="AA1162" s="29" t="n"/>
      <c r="AB1162" s="29" t="n"/>
      <c r="AC1162" s="29" t="n"/>
      <c r="AD1162" s="29" t="n"/>
      <c r="AE1162" s="29" t="n"/>
      <c r="AF1162" s="29" t="n"/>
      <c r="AG1162" s="29" t="n"/>
      <c r="AH1162" s="29" t="n"/>
      <c r="AI1162" s="29" t="n"/>
    </row>
    <row r="1163">
      <c r="L1163" s="29" t="n"/>
      <c r="M1163" s="29" t="n"/>
      <c r="N1163" s="29" t="n"/>
      <c r="O1163" s="29" t="n"/>
      <c r="P1163" s="29" t="n"/>
      <c r="Q1163" s="29" t="n"/>
      <c r="R1163" s="29" t="n"/>
      <c r="S1163" s="29" t="n"/>
      <c r="T1163" s="29" t="n"/>
      <c r="U1163" s="29" t="n"/>
      <c r="V1163" s="29" t="n"/>
      <c r="W1163" s="29" t="n"/>
      <c r="X1163" s="29" t="n"/>
      <c r="Y1163" s="29" t="n"/>
      <c r="Z1163" s="29" t="n"/>
      <c r="AA1163" s="29" t="n"/>
      <c r="AB1163" s="29" t="n"/>
      <c r="AC1163" s="29" t="n"/>
      <c r="AD1163" s="29" t="n"/>
      <c r="AE1163" s="29" t="n"/>
      <c r="AF1163" s="29" t="n"/>
      <c r="AG1163" s="29" t="n"/>
      <c r="AH1163" s="29" t="n"/>
      <c r="AI1163" s="29" t="n"/>
    </row>
    <row r="1164">
      <c r="L1164" s="29" t="n"/>
      <c r="M1164" s="29" t="n"/>
      <c r="N1164" s="29" t="n"/>
      <c r="O1164" s="29" t="n"/>
      <c r="P1164" s="29" t="n"/>
      <c r="Q1164" s="29" t="n"/>
      <c r="R1164" s="29" t="n"/>
      <c r="S1164" s="29" t="n"/>
      <c r="T1164" s="29" t="n"/>
      <c r="U1164" s="29" t="n"/>
      <c r="V1164" s="29" t="n"/>
      <c r="W1164" s="29" t="n"/>
      <c r="X1164" s="29" t="n"/>
      <c r="Y1164" s="29" t="n"/>
      <c r="Z1164" s="29" t="n"/>
      <c r="AA1164" s="29" t="n"/>
      <c r="AB1164" s="29" t="n"/>
      <c r="AC1164" s="29" t="n"/>
      <c r="AD1164" s="29" t="n"/>
      <c r="AE1164" s="29" t="n"/>
      <c r="AF1164" s="29" t="n"/>
      <c r="AG1164" s="29" t="n"/>
      <c r="AH1164" s="29" t="n"/>
      <c r="AI1164" s="29" t="n"/>
    </row>
    <row r="1165">
      <c r="L1165" s="29" t="n"/>
      <c r="M1165" s="29" t="n"/>
      <c r="N1165" s="29" t="n"/>
      <c r="O1165" s="29" t="n"/>
      <c r="P1165" s="29" t="n"/>
      <c r="Q1165" s="29" t="n"/>
      <c r="R1165" s="29" t="n"/>
      <c r="S1165" s="29" t="n"/>
      <c r="T1165" s="29" t="n"/>
      <c r="U1165" s="29" t="n"/>
      <c r="V1165" s="29" t="n"/>
      <c r="W1165" s="29" t="n"/>
      <c r="X1165" s="29" t="n"/>
      <c r="Y1165" s="29" t="n"/>
      <c r="Z1165" s="29" t="n"/>
      <c r="AA1165" s="29" t="n"/>
      <c r="AB1165" s="29" t="n"/>
      <c r="AC1165" s="29" t="n"/>
      <c r="AD1165" s="29" t="n"/>
      <c r="AE1165" s="29" t="n"/>
      <c r="AF1165" s="29" t="n"/>
      <c r="AG1165" s="29" t="n"/>
      <c r="AH1165" s="29" t="n"/>
      <c r="AI1165" s="29" t="n"/>
    </row>
    <row r="1166">
      <c r="L1166" s="29" t="n"/>
      <c r="M1166" s="29" t="n"/>
      <c r="N1166" s="29" t="n"/>
      <c r="O1166" s="29" t="n"/>
      <c r="P1166" s="29" t="n"/>
      <c r="Q1166" s="29" t="n"/>
      <c r="R1166" s="29" t="n"/>
      <c r="S1166" s="29" t="n"/>
      <c r="T1166" s="29" t="n"/>
      <c r="U1166" s="29" t="n"/>
      <c r="V1166" s="29" t="n"/>
      <c r="W1166" s="29" t="n"/>
      <c r="X1166" s="29" t="n"/>
      <c r="Y1166" s="29" t="n"/>
      <c r="Z1166" s="29" t="n"/>
      <c r="AA1166" s="29" t="n"/>
      <c r="AB1166" s="29" t="n"/>
      <c r="AC1166" s="29" t="n"/>
      <c r="AD1166" s="29" t="n"/>
      <c r="AE1166" s="29" t="n"/>
      <c r="AF1166" s="29" t="n"/>
      <c r="AG1166" s="29" t="n"/>
      <c r="AH1166" s="29" t="n"/>
      <c r="AI1166" s="29" t="n"/>
    </row>
    <row r="1167">
      <c r="L1167" s="29" t="n"/>
      <c r="M1167" s="29" t="n"/>
      <c r="N1167" s="29" t="n"/>
      <c r="O1167" s="29" t="n"/>
      <c r="P1167" s="29" t="n"/>
      <c r="Q1167" s="29" t="n"/>
      <c r="R1167" s="29" t="n"/>
      <c r="S1167" s="29" t="n"/>
      <c r="T1167" s="29" t="n"/>
      <c r="U1167" s="29" t="n"/>
      <c r="V1167" s="29" t="n"/>
      <c r="W1167" s="29" t="n"/>
      <c r="X1167" s="29" t="n"/>
      <c r="Y1167" s="29" t="n"/>
      <c r="Z1167" s="29" t="n"/>
      <c r="AA1167" s="29" t="n"/>
      <c r="AB1167" s="29" t="n"/>
      <c r="AC1167" s="29" t="n"/>
      <c r="AD1167" s="29" t="n"/>
      <c r="AE1167" s="29" t="n"/>
      <c r="AF1167" s="29" t="n"/>
      <c r="AG1167" s="29" t="n"/>
      <c r="AH1167" s="29" t="n"/>
      <c r="AI1167" s="29" t="n"/>
    </row>
    <row r="1168">
      <c r="L1168" s="29" t="n"/>
      <c r="M1168" s="29" t="n"/>
      <c r="N1168" s="29" t="n"/>
      <c r="O1168" s="29" t="n"/>
      <c r="P1168" s="29" t="n"/>
      <c r="Q1168" s="29" t="n"/>
      <c r="R1168" s="29" t="n"/>
      <c r="S1168" s="29" t="n"/>
      <c r="T1168" s="29" t="n"/>
      <c r="U1168" s="29" t="n"/>
      <c r="V1168" s="29" t="n"/>
      <c r="W1168" s="29" t="n"/>
      <c r="X1168" s="29" t="n"/>
      <c r="Y1168" s="29" t="n"/>
      <c r="Z1168" s="29" t="n"/>
      <c r="AA1168" s="29" t="n"/>
      <c r="AB1168" s="29" t="n"/>
      <c r="AC1168" s="29" t="n"/>
      <c r="AD1168" s="29" t="n"/>
      <c r="AE1168" s="29" t="n"/>
      <c r="AF1168" s="29" t="n"/>
      <c r="AG1168" s="29" t="n"/>
      <c r="AH1168" s="29" t="n"/>
      <c r="AI1168" s="29" t="n"/>
    </row>
    <row r="1169">
      <c r="L1169" s="29" t="n"/>
      <c r="M1169" s="29" t="n"/>
      <c r="N1169" s="29" t="n"/>
      <c r="O1169" s="29" t="n"/>
      <c r="P1169" s="29" t="n"/>
      <c r="Q1169" s="29" t="n"/>
      <c r="R1169" s="29" t="n"/>
      <c r="S1169" s="29" t="n"/>
      <c r="T1169" s="29" t="n"/>
      <c r="U1169" s="29" t="n"/>
      <c r="V1169" s="29" t="n"/>
      <c r="W1169" s="29" t="n"/>
      <c r="X1169" s="29" t="n"/>
      <c r="Y1169" s="29" t="n"/>
      <c r="Z1169" s="29" t="n"/>
      <c r="AA1169" s="29" t="n"/>
      <c r="AB1169" s="29" t="n"/>
      <c r="AC1169" s="29" t="n"/>
      <c r="AD1169" s="29" t="n"/>
      <c r="AE1169" s="29" t="n"/>
      <c r="AF1169" s="29" t="n"/>
      <c r="AG1169" s="29" t="n"/>
      <c r="AH1169" s="29" t="n"/>
      <c r="AI1169" s="29" t="n"/>
    </row>
    <row r="1170">
      <c r="L1170" s="29" t="n"/>
      <c r="M1170" s="29" t="n"/>
      <c r="N1170" s="29" t="n"/>
      <c r="O1170" s="29" t="n"/>
      <c r="P1170" s="29" t="n"/>
      <c r="Q1170" s="29" t="n"/>
      <c r="R1170" s="29" t="n"/>
      <c r="S1170" s="29" t="n"/>
      <c r="T1170" s="29" t="n"/>
      <c r="U1170" s="29" t="n"/>
      <c r="V1170" s="29" t="n"/>
      <c r="W1170" s="29" t="n"/>
      <c r="X1170" s="29" t="n"/>
      <c r="Y1170" s="29" t="n"/>
      <c r="Z1170" s="29" t="n"/>
      <c r="AA1170" s="29" t="n"/>
      <c r="AB1170" s="29" t="n"/>
      <c r="AC1170" s="29" t="n"/>
      <c r="AD1170" s="29" t="n"/>
      <c r="AE1170" s="29" t="n"/>
      <c r="AF1170" s="29" t="n"/>
      <c r="AG1170" s="29" t="n"/>
      <c r="AH1170" s="29" t="n"/>
      <c r="AI1170" s="29" t="n"/>
    </row>
    <row r="1171">
      <c r="L1171" s="29" t="n"/>
      <c r="M1171" s="29" t="n"/>
      <c r="N1171" s="29" t="n"/>
      <c r="O1171" s="29" t="n"/>
      <c r="P1171" s="29" t="n"/>
      <c r="Q1171" s="29" t="n"/>
      <c r="R1171" s="29" t="n"/>
      <c r="S1171" s="29" t="n"/>
      <c r="T1171" s="29" t="n"/>
      <c r="U1171" s="29" t="n"/>
      <c r="V1171" s="29" t="n"/>
      <c r="W1171" s="29" t="n"/>
      <c r="X1171" s="29" t="n"/>
      <c r="Y1171" s="29" t="n"/>
      <c r="Z1171" s="29" t="n"/>
      <c r="AA1171" s="29" t="n"/>
      <c r="AB1171" s="29" t="n"/>
      <c r="AC1171" s="29" t="n"/>
      <c r="AD1171" s="29" t="n"/>
      <c r="AE1171" s="29" t="n"/>
      <c r="AF1171" s="29" t="n"/>
      <c r="AG1171" s="29" t="n"/>
      <c r="AH1171" s="29" t="n"/>
      <c r="AI1171" s="29" t="n"/>
    </row>
    <row r="1172">
      <c r="L1172" s="29" t="n"/>
      <c r="M1172" s="29" t="n"/>
      <c r="N1172" s="29" t="n"/>
      <c r="O1172" s="29" t="n"/>
      <c r="P1172" s="29" t="n"/>
      <c r="Q1172" s="29" t="n"/>
      <c r="R1172" s="29" t="n"/>
      <c r="S1172" s="29" t="n"/>
      <c r="T1172" s="29" t="n"/>
      <c r="U1172" s="29" t="n"/>
      <c r="V1172" s="29" t="n"/>
      <c r="W1172" s="29" t="n"/>
      <c r="X1172" s="29" t="n"/>
      <c r="Y1172" s="29" t="n"/>
      <c r="Z1172" s="29" t="n"/>
      <c r="AA1172" s="29" t="n"/>
      <c r="AB1172" s="29" t="n"/>
      <c r="AC1172" s="29" t="n"/>
      <c r="AD1172" s="29" t="n"/>
      <c r="AE1172" s="29" t="n"/>
      <c r="AF1172" s="29" t="n"/>
      <c r="AG1172" s="29" t="n"/>
      <c r="AH1172" s="29" t="n"/>
      <c r="AI1172" s="29" t="n"/>
    </row>
    <row r="1173">
      <c r="L1173" s="29" t="n"/>
      <c r="M1173" s="29" t="n"/>
      <c r="N1173" s="29" t="n"/>
      <c r="O1173" s="29" t="n"/>
      <c r="P1173" s="29" t="n"/>
      <c r="Q1173" s="29" t="n"/>
      <c r="R1173" s="29" t="n"/>
      <c r="S1173" s="29" t="n"/>
      <c r="T1173" s="29" t="n"/>
      <c r="U1173" s="29" t="n"/>
      <c r="V1173" s="29" t="n"/>
      <c r="W1173" s="29" t="n"/>
      <c r="X1173" s="29" t="n"/>
      <c r="Y1173" s="29" t="n"/>
      <c r="Z1173" s="29" t="n"/>
      <c r="AA1173" s="29" t="n"/>
      <c r="AB1173" s="29" t="n"/>
      <c r="AC1173" s="29" t="n"/>
      <c r="AD1173" s="29" t="n"/>
      <c r="AE1173" s="29" t="n"/>
      <c r="AF1173" s="29" t="n"/>
      <c r="AG1173" s="29" t="n"/>
      <c r="AH1173" s="29" t="n"/>
      <c r="AI1173" s="29" t="n"/>
    </row>
    <row r="1174">
      <c r="L1174" s="29" t="n"/>
      <c r="M1174" s="29" t="n"/>
      <c r="N1174" s="29" t="n"/>
      <c r="O1174" s="29" t="n"/>
      <c r="P1174" s="29" t="n"/>
      <c r="Q1174" s="29" t="n"/>
      <c r="R1174" s="29" t="n"/>
      <c r="S1174" s="29" t="n"/>
      <c r="T1174" s="29" t="n"/>
      <c r="U1174" s="29" t="n"/>
      <c r="V1174" s="29" t="n"/>
      <c r="W1174" s="29" t="n"/>
      <c r="X1174" s="29" t="n"/>
      <c r="Y1174" s="29" t="n"/>
      <c r="Z1174" s="29" t="n"/>
      <c r="AA1174" s="29" t="n"/>
      <c r="AB1174" s="29" t="n"/>
      <c r="AC1174" s="29" t="n"/>
      <c r="AD1174" s="29" t="n"/>
      <c r="AE1174" s="29" t="n"/>
      <c r="AF1174" s="29" t="n"/>
      <c r="AG1174" s="29" t="n"/>
      <c r="AH1174" s="29" t="n"/>
      <c r="AI1174" s="29" t="n"/>
    </row>
    <row r="1175">
      <c r="L1175" s="29" t="n"/>
      <c r="M1175" s="29" t="n"/>
      <c r="N1175" s="29" t="n"/>
      <c r="O1175" s="29" t="n"/>
      <c r="P1175" s="29" t="n"/>
      <c r="Q1175" s="29" t="n"/>
      <c r="R1175" s="29" t="n"/>
      <c r="S1175" s="29" t="n"/>
      <c r="T1175" s="29" t="n"/>
      <c r="U1175" s="29" t="n"/>
      <c r="V1175" s="29" t="n"/>
      <c r="W1175" s="29" t="n"/>
      <c r="X1175" s="29" t="n"/>
      <c r="Y1175" s="29" t="n"/>
      <c r="Z1175" s="29" t="n"/>
      <c r="AA1175" s="29" t="n"/>
      <c r="AB1175" s="29" t="n"/>
      <c r="AC1175" s="29" t="n"/>
      <c r="AD1175" s="29" t="n"/>
      <c r="AE1175" s="29" t="n"/>
      <c r="AF1175" s="29" t="n"/>
      <c r="AG1175" s="29" t="n"/>
      <c r="AH1175" s="29" t="n"/>
      <c r="AI1175" s="29" t="n"/>
    </row>
    <row r="1176">
      <c r="L1176" s="29" t="n"/>
      <c r="M1176" s="29" t="n"/>
      <c r="N1176" s="29" t="n"/>
      <c r="O1176" s="29" t="n"/>
      <c r="P1176" s="29" t="n"/>
      <c r="Q1176" s="29" t="n"/>
      <c r="R1176" s="29" t="n"/>
      <c r="S1176" s="29" t="n"/>
      <c r="T1176" s="29" t="n"/>
      <c r="U1176" s="29" t="n"/>
      <c r="V1176" s="29" t="n"/>
      <c r="W1176" s="29" t="n"/>
      <c r="X1176" s="29" t="n"/>
      <c r="Y1176" s="29" t="n"/>
      <c r="Z1176" s="29" t="n"/>
      <c r="AA1176" s="29" t="n"/>
      <c r="AB1176" s="29" t="n"/>
      <c r="AC1176" s="29" t="n"/>
      <c r="AD1176" s="29" t="n"/>
      <c r="AE1176" s="29" t="n"/>
      <c r="AF1176" s="29" t="n"/>
      <c r="AG1176" s="29" t="n"/>
      <c r="AH1176" s="29" t="n"/>
      <c r="AI1176" s="29" t="n"/>
    </row>
    <row r="1177">
      <c r="L1177" s="29" t="n"/>
      <c r="M1177" s="29" t="n"/>
      <c r="N1177" s="29" t="n"/>
      <c r="O1177" s="29" t="n"/>
      <c r="P1177" s="29" t="n"/>
      <c r="Q1177" s="29" t="n"/>
      <c r="R1177" s="29" t="n"/>
      <c r="S1177" s="29" t="n"/>
      <c r="T1177" s="29" t="n"/>
      <c r="U1177" s="29" t="n"/>
      <c r="V1177" s="29" t="n"/>
      <c r="W1177" s="29" t="n"/>
      <c r="X1177" s="29" t="n"/>
      <c r="Y1177" s="29" t="n"/>
      <c r="Z1177" s="29" t="n"/>
      <c r="AA1177" s="29" t="n"/>
      <c r="AB1177" s="29" t="n"/>
      <c r="AC1177" s="29" t="n"/>
      <c r="AD1177" s="29" t="n"/>
      <c r="AE1177" s="29" t="n"/>
      <c r="AF1177" s="29" t="n"/>
      <c r="AG1177" s="29" t="n"/>
      <c r="AH1177" s="29" t="n"/>
      <c r="AI1177" s="29" t="n"/>
    </row>
    <row r="1178">
      <c r="L1178" s="29" t="n"/>
      <c r="M1178" s="29" t="n"/>
      <c r="N1178" s="29" t="n"/>
      <c r="O1178" s="29" t="n"/>
      <c r="P1178" s="29" t="n"/>
      <c r="Q1178" s="29" t="n"/>
      <c r="R1178" s="29" t="n"/>
      <c r="S1178" s="29" t="n"/>
      <c r="T1178" s="29" t="n"/>
      <c r="U1178" s="29" t="n"/>
      <c r="V1178" s="29" t="n"/>
      <c r="W1178" s="29" t="n"/>
      <c r="X1178" s="29" t="n"/>
      <c r="Y1178" s="29" t="n"/>
      <c r="Z1178" s="29" t="n"/>
      <c r="AA1178" s="29" t="n"/>
      <c r="AB1178" s="29" t="n"/>
      <c r="AC1178" s="29" t="n"/>
      <c r="AD1178" s="29" t="n"/>
      <c r="AE1178" s="29" t="n"/>
      <c r="AF1178" s="29" t="n"/>
      <c r="AG1178" s="29" t="n"/>
      <c r="AH1178" s="29" t="n"/>
      <c r="AI1178" s="29" t="n"/>
    </row>
    <row r="1179">
      <c r="L1179" s="29" t="n"/>
      <c r="M1179" s="29" t="n"/>
      <c r="N1179" s="29" t="n"/>
      <c r="O1179" s="29" t="n"/>
      <c r="P1179" s="29" t="n"/>
      <c r="Q1179" s="29" t="n"/>
      <c r="R1179" s="29" t="n"/>
      <c r="S1179" s="29" t="n"/>
      <c r="T1179" s="29" t="n"/>
      <c r="U1179" s="29" t="n"/>
      <c r="V1179" s="29" t="n"/>
      <c r="W1179" s="29" t="n"/>
      <c r="X1179" s="29" t="n"/>
      <c r="Y1179" s="29" t="n"/>
      <c r="Z1179" s="29" t="n"/>
      <c r="AA1179" s="29" t="n"/>
      <c r="AB1179" s="29" t="n"/>
      <c r="AC1179" s="29" t="n"/>
      <c r="AD1179" s="29" t="n"/>
      <c r="AE1179" s="29" t="n"/>
      <c r="AF1179" s="29" t="n"/>
      <c r="AG1179" s="29" t="n"/>
      <c r="AH1179" s="29" t="n"/>
      <c r="AI1179" s="29" t="n"/>
    </row>
    <row r="1180">
      <c r="L1180" s="29" t="n"/>
      <c r="M1180" s="29" t="n"/>
      <c r="N1180" s="29" t="n"/>
      <c r="O1180" s="29" t="n"/>
      <c r="P1180" s="29" t="n"/>
      <c r="Q1180" s="29" t="n"/>
      <c r="R1180" s="29" t="n"/>
      <c r="S1180" s="29" t="n"/>
      <c r="T1180" s="29" t="n"/>
      <c r="U1180" s="29" t="n"/>
      <c r="V1180" s="29" t="n"/>
      <c r="W1180" s="29" t="n"/>
      <c r="X1180" s="29" t="n"/>
      <c r="Y1180" s="29" t="n"/>
      <c r="Z1180" s="29" t="n"/>
      <c r="AA1180" s="29" t="n"/>
      <c r="AB1180" s="29" t="n"/>
      <c r="AC1180" s="29" t="n"/>
      <c r="AD1180" s="29" t="n"/>
      <c r="AE1180" s="29" t="n"/>
      <c r="AF1180" s="29" t="n"/>
      <c r="AG1180" s="29" t="n"/>
      <c r="AH1180" s="29" t="n"/>
      <c r="AI1180" s="29" t="n"/>
    </row>
    <row r="1181">
      <c r="L1181" s="29" t="n"/>
      <c r="M1181" s="29" t="n"/>
      <c r="N1181" s="29" t="n"/>
      <c r="O1181" s="29" t="n"/>
      <c r="P1181" s="29" t="n"/>
      <c r="Q1181" s="29" t="n"/>
      <c r="R1181" s="29" t="n"/>
      <c r="S1181" s="29" t="n"/>
      <c r="T1181" s="29" t="n"/>
      <c r="U1181" s="29" t="n"/>
      <c r="V1181" s="29" t="n"/>
      <c r="W1181" s="29" t="n"/>
      <c r="X1181" s="29" t="n"/>
      <c r="Y1181" s="29" t="n"/>
      <c r="Z1181" s="29" t="n"/>
      <c r="AA1181" s="29" t="n"/>
      <c r="AB1181" s="29" t="n"/>
      <c r="AC1181" s="29" t="n"/>
      <c r="AD1181" s="29" t="n"/>
      <c r="AE1181" s="29" t="n"/>
      <c r="AF1181" s="29" t="n"/>
      <c r="AG1181" s="29" t="n"/>
      <c r="AH1181" s="29" t="n"/>
      <c r="AI1181" s="29" t="n"/>
    </row>
    <row r="1182">
      <c r="L1182" s="29" t="n"/>
      <c r="M1182" s="29" t="n"/>
      <c r="N1182" s="29" t="n"/>
      <c r="O1182" s="29" t="n"/>
      <c r="P1182" s="29" t="n"/>
      <c r="Q1182" s="29" t="n"/>
      <c r="R1182" s="29" t="n"/>
      <c r="S1182" s="29" t="n"/>
      <c r="T1182" s="29" t="n"/>
      <c r="U1182" s="29" t="n"/>
      <c r="V1182" s="29" t="n"/>
      <c r="W1182" s="29" t="n"/>
      <c r="X1182" s="29" t="n"/>
      <c r="Y1182" s="29" t="n"/>
      <c r="Z1182" s="29" t="n"/>
      <c r="AA1182" s="29" t="n"/>
      <c r="AB1182" s="29" t="n"/>
      <c r="AC1182" s="29" t="n"/>
      <c r="AD1182" s="29" t="n"/>
      <c r="AE1182" s="29" t="n"/>
      <c r="AF1182" s="29" t="n"/>
      <c r="AG1182" s="29" t="n"/>
      <c r="AH1182" s="29" t="n"/>
      <c r="AI1182" s="29" t="n"/>
    </row>
    <row r="1183">
      <c r="L1183" s="29" t="n"/>
      <c r="M1183" s="29" t="n"/>
      <c r="N1183" s="29" t="n"/>
      <c r="O1183" s="29" t="n"/>
      <c r="P1183" s="29" t="n"/>
      <c r="Q1183" s="29" t="n"/>
      <c r="R1183" s="29" t="n"/>
      <c r="S1183" s="29" t="n"/>
      <c r="T1183" s="29" t="n"/>
      <c r="U1183" s="29" t="n"/>
      <c r="V1183" s="29" t="n"/>
      <c r="W1183" s="29" t="n"/>
      <c r="X1183" s="29" t="n"/>
      <c r="Y1183" s="29" t="n"/>
      <c r="Z1183" s="29" t="n"/>
      <c r="AA1183" s="29" t="n"/>
      <c r="AB1183" s="29" t="n"/>
      <c r="AC1183" s="29" t="n"/>
      <c r="AD1183" s="29" t="n"/>
      <c r="AE1183" s="29" t="n"/>
      <c r="AF1183" s="29" t="n"/>
      <c r="AG1183" s="29" t="n"/>
      <c r="AH1183" s="29" t="n"/>
      <c r="AI1183" s="29" t="n"/>
    </row>
    <row r="1184">
      <c r="L1184" s="29" t="n"/>
      <c r="M1184" s="29" t="n"/>
      <c r="N1184" s="29" t="n"/>
      <c r="O1184" s="29" t="n"/>
      <c r="P1184" s="29" t="n"/>
      <c r="Q1184" s="29" t="n"/>
      <c r="R1184" s="29" t="n"/>
      <c r="S1184" s="29" t="n"/>
      <c r="T1184" s="29" t="n"/>
      <c r="U1184" s="29" t="n"/>
      <c r="V1184" s="29" t="n"/>
      <c r="W1184" s="29" t="n"/>
      <c r="X1184" s="29" t="n"/>
      <c r="Y1184" s="29" t="n"/>
      <c r="Z1184" s="29" t="n"/>
      <c r="AA1184" s="29" t="n"/>
      <c r="AB1184" s="29" t="n"/>
      <c r="AC1184" s="29" t="n"/>
      <c r="AD1184" s="29" t="n"/>
      <c r="AE1184" s="29" t="n"/>
      <c r="AF1184" s="29" t="n"/>
      <c r="AG1184" s="29" t="n"/>
      <c r="AH1184" s="29" t="n"/>
      <c r="AI1184" s="29" t="n"/>
    </row>
    <row r="1185">
      <c r="L1185" s="29" t="n"/>
      <c r="M1185" s="29" t="n"/>
      <c r="N1185" s="29" t="n"/>
      <c r="O1185" s="29" t="n"/>
      <c r="P1185" s="29" t="n"/>
      <c r="Q1185" s="29" t="n"/>
      <c r="R1185" s="29" t="n"/>
      <c r="S1185" s="29" t="n"/>
      <c r="T1185" s="29" t="n"/>
      <c r="U1185" s="29" t="n"/>
      <c r="V1185" s="29" t="n"/>
      <c r="W1185" s="29" t="n"/>
      <c r="X1185" s="29" t="n"/>
      <c r="Y1185" s="29" t="n"/>
      <c r="Z1185" s="29" t="n"/>
      <c r="AA1185" s="29" t="n"/>
      <c r="AB1185" s="29" t="n"/>
      <c r="AC1185" s="29" t="n"/>
      <c r="AD1185" s="29" t="n"/>
      <c r="AE1185" s="29" t="n"/>
      <c r="AF1185" s="29" t="n"/>
      <c r="AG1185" s="29" t="n"/>
      <c r="AH1185" s="29" t="n"/>
      <c r="AI1185" s="29" t="n"/>
    </row>
    <row r="1186">
      <c r="L1186" s="29" t="n"/>
      <c r="M1186" s="29" t="n"/>
      <c r="N1186" s="29" t="n"/>
      <c r="O1186" s="29" t="n"/>
      <c r="P1186" s="29" t="n"/>
      <c r="Q1186" s="29" t="n"/>
      <c r="R1186" s="29" t="n"/>
      <c r="S1186" s="29" t="n"/>
      <c r="T1186" s="29" t="n"/>
      <c r="U1186" s="29" t="n"/>
      <c r="V1186" s="29" t="n"/>
      <c r="W1186" s="29" t="n"/>
      <c r="X1186" s="29" t="n"/>
      <c r="Y1186" s="29" t="n"/>
      <c r="Z1186" s="29" t="n"/>
      <c r="AA1186" s="29" t="n"/>
      <c r="AB1186" s="29" t="n"/>
      <c r="AC1186" s="29" t="n"/>
      <c r="AD1186" s="29" t="n"/>
      <c r="AE1186" s="29" t="n"/>
      <c r="AF1186" s="29" t="n"/>
      <c r="AG1186" s="29" t="n"/>
      <c r="AH1186" s="29" t="n"/>
      <c r="AI1186" s="29" t="n"/>
    </row>
    <row r="1187">
      <c r="L1187" s="29" t="n"/>
      <c r="M1187" s="29" t="n"/>
      <c r="N1187" s="29" t="n"/>
      <c r="O1187" s="29" t="n"/>
      <c r="P1187" s="29" t="n"/>
      <c r="Q1187" s="29" t="n"/>
      <c r="R1187" s="29" t="n"/>
      <c r="S1187" s="29" t="n"/>
      <c r="T1187" s="29" t="n"/>
      <c r="U1187" s="29" t="n"/>
      <c r="V1187" s="29" t="n"/>
      <c r="W1187" s="29" t="n"/>
      <c r="X1187" s="29" t="n"/>
      <c r="Y1187" s="29" t="n"/>
      <c r="Z1187" s="29" t="n"/>
      <c r="AA1187" s="29" t="n"/>
      <c r="AB1187" s="29" t="n"/>
      <c r="AC1187" s="29" t="n"/>
      <c r="AD1187" s="29" t="n"/>
      <c r="AE1187" s="29" t="n"/>
      <c r="AF1187" s="29" t="n"/>
      <c r="AG1187" s="29" t="n"/>
      <c r="AH1187" s="29" t="n"/>
      <c r="AI1187" s="29" t="n"/>
    </row>
    <row r="1188">
      <c r="L1188" s="29" t="n"/>
      <c r="M1188" s="29" t="n"/>
      <c r="N1188" s="29" t="n"/>
      <c r="O1188" s="29" t="n"/>
      <c r="P1188" s="29" t="n"/>
      <c r="Q1188" s="29" t="n"/>
      <c r="R1188" s="29" t="n"/>
      <c r="S1188" s="29" t="n"/>
      <c r="T1188" s="29" t="n"/>
      <c r="U1188" s="29" t="n"/>
      <c r="V1188" s="29" t="n"/>
      <c r="W1188" s="29" t="n"/>
      <c r="X1188" s="29" t="n"/>
      <c r="Y1188" s="29" t="n"/>
      <c r="Z1188" s="29" t="n"/>
      <c r="AA1188" s="29" t="n"/>
      <c r="AB1188" s="29" t="n"/>
      <c r="AC1188" s="29" t="n"/>
      <c r="AD1188" s="29" t="n"/>
      <c r="AE1188" s="29" t="n"/>
      <c r="AF1188" s="29" t="n"/>
      <c r="AG1188" s="29" t="n"/>
      <c r="AH1188" s="29" t="n"/>
      <c r="AI1188" s="29" t="n"/>
    </row>
    <row r="1189">
      <c r="L1189" s="29" t="n"/>
      <c r="M1189" s="29" t="n"/>
      <c r="N1189" s="29" t="n"/>
      <c r="O1189" s="29" t="n"/>
      <c r="P1189" s="29" t="n"/>
      <c r="Q1189" s="29" t="n"/>
      <c r="R1189" s="29" t="n"/>
      <c r="S1189" s="29" t="n"/>
      <c r="T1189" s="29" t="n"/>
      <c r="U1189" s="29" t="n"/>
      <c r="V1189" s="29" t="n"/>
      <c r="W1189" s="29" t="n"/>
      <c r="X1189" s="29" t="n"/>
      <c r="Y1189" s="29" t="n"/>
      <c r="Z1189" s="29" t="n"/>
      <c r="AA1189" s="29" t="n"/>
      <c r="AB1189" s="29" t="n"/>
      <c r="AC1189" s="29" t="n"/>
      <c r="AD1189" s="29" t="n"/>
      <c r="AE1189" s="29" t="n"/>
      <c r="AF1189" s="29" t="n"/>
      <c r="AG1189" s="29" t="n"/>
      <c r="AH1189" s="29" t="n"/>
      <c r="AI1189" s="29" t="n"/>
    </row>
    <row r="1190">
      <c r="L1190" s="29" t="n"/>
      <c r="M1190" s="29" t="n"/>
      <c r="N1190" s="29" t="n"/>
      <c r="O1190" s="29" t="n"/>
      <c r="P1190" s="29" t="n"/>
      <c r="Q1190" s="29" t="n"/>
      <c r="R1190" s="29" t="n"/>
      <c r="S1190" s="29" t="n"/>
      <c r="T1190" s="29" t="n"/>
      <c r="U1190" s="29" t="n"/>
      <c r="V1190" s="29" t="n"/>
      <c r="W1190" s="29" t="n"/>
      <c r="X1190" s="29" t="n"/>
      <c r="Y1190" s="29" t="n"/>
      <c r="Z1190" s="29" t="n"/>
      <c r="AA1190" s="29" t="n"/>
      <c r="AB1190" s="29" t="n"/>
      <c r="AC1190" s="29" t="n"/>
      <c r="AD1190" s="29" t="n"/>
      <c r="AE1190" s="29" t="n"/>
      <c r="AF1190" s="29" t="n"/>
      <c r="AG1190" s="29" t="n"/>
      <c r="AH1190" s="29" t="n"/>
      <c r="AI1190" s="29" t="n"/>
    </row>
    <row r="1191">
      <c r="L1191" s="29" t="n"/>
      <c r="M1191" s="29" t="n"/>
      <c r="N1191" s="29" t="n"/>
      <c r="O1191" s="29" t="n"/>
      <c r="P1191" s="29" t="n"/>
      <c r="Q1191" s="29" t="n"/>
      <c r="R1191" s="29" t="n"/>
      <c r="S1191" s="29" t="n"/>
      <c r="T1191" s="29" t="n"/>
      <c r="U1191" s="29" t="n"/>
      <c r="V1191" s="29" t="n"/>
      <c r="W1191" s="29" t="n"/>
      <c r="X1191" s="29" t="n"/>
      <c r="Y1191" s="29" t="n"/>
      <c r="Z1191" s="29" t="n"/>
      <c r="AA1191" s="29" t="n"/>
      <c r="AB1191" s="29" t="n"/>
      <c r="AC1191" s="29" t="n"/>
      <c r="AD1191" s="29" t="n"/>
      <c r="AE1191" s="29" t="n"/>
      <c r="AF1191" s="29" t="n"/>
      <c r="AG1191" s="29" t="n"/>
      <c r="AH1191" s="29" t="n"/>
      <c r="AI1191" s="29" t="n"/>
    </row>
    <row r="1192">
      <c r="L1192" s="29" t="n"/>
      <c r="M1192" s="29" t="n"/>
      <c r="N1192" s="29" t="n"/>
      <c r="O1192" s="29" t="n"/>
      <c r="P1192" s="29" t="n"/>
      <c r="Q1192" s="29" t="n"/>
      <c r="R1192" s="29" t="n"/>
      <c r="S1192" s="29" t="n"/>
      <c r="T1192" s="29" t="n"/>
      <c r="U1192" s="29" t="n"/>
      <c r="V1192" s="29" t="n"/>
      <c r="W1192" s="29" t="n"/>
      <c r="X1192" s="29" t="n"/>
      <c r="Y1192" s="29" t="n"/>
      <c r="Z1192" s="29" t="n"/>
      <c r="AA1192" s="29" t="n"/>
      <c r="AB1192" s="29" t="n"/>
      <c r="AC1192" s="29" t="n"/>
      <c r="AD1192" s="29" t="n"/>
      <c r="AE1192" s="29" t="n"/>
      <c r="AF1192" s="29" t="n"/>
      <c r="AG1192" s="29" t="n"/>
      <c r="AH1192" s="29" t="n"/>
      <c r="AI1192" s="29" t="n"/>
    </row>
    <row r="1193">
      <c r="L1193" s="29" t="n"/>
      <c r="M1193" s="29" t="n"/>
      <c r="N1193" s="29" t="n"/>
      <c r="O1193" s="29" t="n"/>
      <c r="P1193" s="29" t="n"/>
      <c r="Q1193" s="29" t="n"/>
      <c r="R1193" s="29" t="n"/>
      <c r="S1193" s="29" t="n"/>
      <c r="T1193" s="29" t="n"/>
      <c r="U1193" s="29" t="n"/>
      <c r="V1193" s="29" t="n"/>
      <c r="W1193" s="29" t="n"/>
      <c r="X1193" s="29" t="n"/>
      <c r="Y1193" s="29" t="n"/>
      <c r="Z1193" s="29" t="n"/>
      <c r="AA1193" s="29" t="n"/>
      <c r="AB1193" s="29" t="n"/>
      <c r="AC1193" s="29" t="n"/>
      <c r="AD1193" s="29" t="n"/>
      <c r="AE1193" s="29" t="n"/>
      <c r="AF1193" s="29" t="n"/>
      <c r="AG1193" s="29" t="n"/>
      <c r="AH1193" s="29" t="n"/>
      <c r="AI1193" s="29" t="n"/>
    </row>
    <row r="1194">
      <c r="L1194" s="29" t="n"/>
      <c r="M1194" s="29" t="n"/>
      <c r="N1194" s="29" t="n"/>
      <c r="O1194" s="29" t="n"/>
      <c r="P1194" s="29" t="n"/>
      <c r="Q1194" s="29" t="n"/>
      <c r="R1194" s="29" t="n"/>
      <c r="S1194" s="29" t="n"/>
      <c r="T1194" s="29" t="n"/>
      <c r="U1194" s="29" t="n"/>
      <c r="V1194" s="29" t="n"/>
      <c r="W1194" s="29" t="n"/>
      <c r="X1194" s="29" t="n"/>
      <c r="Y1194" s="29" t="n"/>
      <c r="Z1194" s="29" t="n"/>
      <c r="AA1194" s="29" t="n"/>
      <c r="AB1194" s="29" t="n"/>
      <c r="AC1194" s="29" t="n"/>
      <c r="AD1194" s="29" t="n"/>
      <c r="AE1194" s="29" t="n"/>
      <c r="AF1194" s="29" t="n"/>
      <c r="AG1194" s="29" t="n"/>
      <c r="AH1194" s="29" t="n"/>
      <c r="AI1194" s="29" t="n"/>
    </row>
    <row r="1195">
      <c r="L1195" s="29" t="n"/>
      <c r="M1195" s="29" t="n"/>
      <c r="N1195" s="29" t="n"/>
      <c r="O1195" s="29" t="n"/>
      <c r="P1195" s="29" t="n"/>
      <c r="Q1195" s="29" t="n"/>
      <c r="R1195" s="29" t="n"/>
      <c r="S1195" s="29" t="n"/>
      <c r="T1195" s="29" t="n"/>
      <c r="U1195" s="29" t="n"/>
      <c r="V1195" s="29" t="n"/>
      <c r="W1195" s="29" t="n"/>
      <c r="X1195" s="29" t="n"/>
      <c r="Y1195" s="29" t="n"/>
      <c r="Z1195" s="29" t="n"/>
      <c r="AA1195" s="29" t="n"/>
      <c r="AB1195" s="29" t="n"/>
      <c r="AC1195" s="29" t="n"/>
      <c r="AD1195" s="29" t="n"/>
      <c r="AE1195" s="29" t="n"/>
      <c r="AF1195" s="29" t="n"/>
      <c r="AG1195" s="29" t="n"/>
      <c r="AH1195" s="29" t="n"/>
      <c r="AI1195" s="29" t="n"/>
    </row>
    <row r="1196">
      <c r="L1196" s="29" t="n"/>
      <c r="M1196" s="29" t="n"/>
      <c r="N1196" s="29" t="n"/>
      <c r="O1196" s="29" t="n"/>
      <c r="P1196" s="29" t="n"/>
      <c r="Q1196" s="29" t="n"/>
      <c r="R1196" s="29" t="n"/>
      <c r="S1196" s="29" t="n"/>
      <c r="T1196" s="29" t="n"/>
      <c r="U1196" s="29" t="n"/>
      <c r="V1196" s="29" t="n"/>
      <c r="W1196" s="29" t="n"/>
      <c r="X1196" s="29" t="n"/>
      <c r="Y1196" s="29" t="n"/>
      <c r="Z1196" s="29" t="n"/>
      <c r="AA1196" s="29" t="n"/>
      <c r="AB1196" s="29" t="n"/>
      <c r="AC1196" s="29" t="n"/>
      <c r="AD1196" s="29" t="n"/>
      <c r="AE1196" s="29" t="n"/>
      <c r="AF1196" s="29" t="n"/>
      <c r="AG1196" s="29" t="n"/>
      <c r="AH1196" s="29" t="n"/>
      <c r="AI1196" s="29" t="n"/>
    </row>
    <row r="1197">
      <c r="L1197" s="29" t="n"/>
      <c r="M1197" s="29" t="n"/>
      <c r="N1197" s="29" t="n"/>
      <c r="O1197" s="29" t="n"/>
      <c r="P1197" s="29" t="n"/>
      <c r="Q1197" s="29" t="n"/>
      <c r="R1197" s="29" t="n"/>
      <c r="S1197" s="29" t="n"/>
      <c r="T1197" s="29" t="n"/>
      <c r="U1197" s="29" t="n"/>
      <c r="V1197" s="29" t="n"/>
      <c r="W1197" s="29" t="n"/>
      <c r="X1197" s="29" t="n"/>
      <c r="Y1197" s="29" t="n"/>
      <c r="Z1197" s="29" t="n"/>
      <c r="AA1197" s="29" t="n"/>
      <c r="AB1197" s="29" t="n"/>
      <c r="AC1197" s="29" t="n"/>
      <c r="AD1197" s="29" t="n"/>
      <c r="AE1197" s="29" t="n"/>
      <c r="AF1197" s="29" t="n"/>
      <c r="AG1197" s="29" t="n"/>
      <c r="AH1197" s="29" t="n"/>
      <c r="AI1197" s="29" t="n"/>
    </row>
    <row r="1198">
      <c r="L1198" s="29" t="n"/>
      <c r="M1198" s="29" t="n"/>
      <c r="N1198" s="29" t="n"/>
      <c r="O1198" s="29" t="n"/>
      <c r="P1198" s="29" t="n"/>
      <c r="Q1198" s="29" t="n"/>
      <c r="R1198" s="29" t="n"/>
      <c r="S1198" s="29" t="n"/>
      <c r="T1198" s="29" t="n"/>
      <c r="U1198" s="29" t="n"/>
      <c r="V1198" s="29" t="n"/>
      <c r="W1198" s="29" t="n"/>
      <c r="X1198" s="29" t="n"/>
      <c r="Y1198" s="29" t="n"/>
      <c r="Z1198" s="29" t="n"/>
      <c r="AA1198" s="29" t="n"/>
      <c r="AB1198" s="29" t="n"/>
      <c r="AC1198" s="29" t="n"/>
      <c r="AD1198" s="29" t="n"/>
      <c r="AE1198" s="29" t="n"/>
      <c r="AF1198" s="29" t="n"/>
      <c r="AG1198" s="29" t="n"/>
      <c r="AH1198" s="29" t="n"/>
      <c r="AI1198" s="29" t="n"/>
    </row>
    <row r="1199">
      <c r="L1199" s="29" t="n"/>
      <c r="M1199" s="29" t="n"/>
      <c r="N1199" s="29" t="n"/>
      <c r="O1199" s="29" t="n"/>
      <c r="P1199" s="29" t="n"/>
      <c r="Q1199" s="29" t="n"/>
      <c r="R1199" s="29" t="n"/>
      <c r="S1199" s="29" t="n"/>
      <c r="T1199" s="29" t="n"/>
      <c r="U1199" s="29" t="n"/>
      <c r="V1199" s="29" t="n"/>
      <c r="W1199" s="29" t="n"/>
      <c r="X1199" s="29" t="n"/>
      <c r="Y1199" s="29" t="n"/>
      <c r="Z1199" s="29" t="n"/>
      <c r="AA1199" s="29" t="n"/>
      <c r="AB1199" s="29" t="n"/>
      <c r="AC1199" s="29" t="n"/>
      <c r="AD1199" s="29" t="n"/>
      <c r="AE1199" s="29" t="n"/>
      <c r="AF1199" s="29" t="n"/>
      <c r="AG1199" s="29" t="n"/>
      <c r="AH1199" s="29" t="n"/>
      <c r="AI1199" s="29" t="n"/>
    </row>
    <row r="1200">
      <c r="L1200" s="29" t="n"/>
      <c r="M1200" s="29" t="n"/>
      <c r="N1200" s="29" t="n"/>
      <c r="O1200" s="29" t="n"/>
      <c r="P1200" s="29" t="n"/>
      <c r="Q1200" s="29" t="n"/>
      <c r="R1200" s="29" t="n"/>
      <c r="S1200" s="29" t="n"/>
      <c r="T1200" s="29" t="n"/>
      <c r="U1200" s="29" t="n"/>
      <c r="V1200" s="29" t="n"/>
      <c r="W1200" s="29" t="n"/>
      <c r="X1200" s="29" t="n"/>
      <c r="Y1200" s="29" t="n"/>
      <c r="Z1200" s="29" t="n"/>
      <c r="AA1200" s="29" t="n"/>
      <c r="AB1200" s="29" t="n"/>
      <c r="AC1200" s="29" t="n"/>
      <c r="AD1200" s="29" t="n"/>
      <c r="AE1200" s="29" t="n"/>
      <c r="AF1200" s="29" t="n"/>
      <c r="AG1200" s="29" t="n"/>
      <c r="AH1200" s="29" t="n"/>
      <c r="AI1200" s="29" t="n"/>
    </row>
    <row r="1201">
      <c r="L1201" s="29" t="n"/>
      <c r="M1201" s="29" t="n"/>
      <c r="N1201" s="29" t="n"/>
      <c r="O1201" s="29" t="n"/>
      <c r="P1201" s="29" t="n"/>
      <c r="Q1201" s="29" t="n"/>
      <c r="R1201" s="29" t="n"/>
      <c r="S1201" s="29" t="n"/>
      <c r="T1201" s="29" t="n"/>
      <c r="U1201" s="29" t="n"/>
      <c r="V1201" s="29" t="n"/>
      <c r="W1201" s="29" t="n"/>
      <c r="X1201" s="29" t="n"/>
      <c r="Y1201" s="29" t="n"/>
      <c r="Z1201" s="29" t="n"/>
      <c r="AA1201" s="29" t="n"/>
      <c r="AB1201" s="29" t="n"/>
      <c r="AC1201" s="29" t="n"/>
      <c r="AD1201" s="29" t="n"/>
      <c r="AE1201" s="29" t="n"/>
      <c r="AF1201" s="29" t="n"/>
      <c r="AG1201" s="29" t="n"/>
      <c r="AH1201" s="29" t="n"/>
      <c r="AI1201" s="29" t="n"/>
    </row>
    <row r="1202">
      <c r="L1202" s="29" t="n"/>
      <c r="M1202" s="29" t="n"/>
      <c r="N1202" s="29" t="n"/>
      <c r="O1202" s="29" t="n"/>
      <c r="P1202" s="29" t="n"/>
      <c r="Q1202" s="29" t="n"/>
      <c r="R1202" s="29" t="n"/>
      <c r="S1202" s="29" t="n"/>
      <c r="T1202" s="29" t="n"/>
      <c r="U1202" s="29" t="n"/>
      <c r="V1202" s="29" t="n"/>
      <c r="W1202" s="29" t="n"/>
      <c r="X1202" s="29" t="n"/>
      <c r="Y1202" s="29" t="n"/>
      <c r="Z1202" s="29" t="n"/>
      <c r="AA1202" s="29" t="n"/>
      <c r="AB1202" s="29" t="n"/>
      <c r="AC1202" s="29" t="n"/>
      <c r="AD1202" s="29" t="n"/>
      <c r="AE1202" s="29" t="n"/>
      <c r="AF1202" s="29" t="n"/>
      <c r="AG1202" s="29" t="n"/>
      <c r="AH1202" s="29" t="n"/>
      <c r="AI1202" s="29" t="n"/>
    </row>
    <row r="1203">
      <c r="L1203" s="29" t="n"/>
      <c r="M1203" s="29" t="n"/>
      <c r="N1203" s="29" t="n"/>
      <c r="O1203" s="29" t="n"/>
      <c r="P1203" s="29" t="n"/>
      <c r="Q1203" s="29" t="n"/>
      <c r="R1203" s="29" t="n"/>
      <c r="S1203" s="29" t="n"/>
      <c r="T1203" s="29" t="n"/>
      <c r="U1203" s="29" t="n"/>
      <c r="V1203" s="29" t="n"/>
      <c r="W1203" s="29" t="n"/>
      <c r="X1203" s="29" t="n"/>
      <c r="Y1203" s="29" t="n"/>
      <c r="Z1203" s="29" t="n"/>
      <c r="AA1203" s="29" t="n"/>
      <c r="AB1203" s="29" t="n"/>
      <c r="AC1203" s="29" t="n"/>
      <c r="AD1203" s="29" t="n"/>
      <c r="AE1203" s="29" t="n"/>
      <c r="AF1203" s="29" t="n"/>
      <c r="AG1203" s="29" t="n"/>
      <c r="AH1203" s="29" t="n"/>
      <c r="AI1203" s="29" t="n"/>
    </row>
    <row r="1204">
      <c r="L1204" s="29" t="n"/>
      <c r="M1204" s="29" t="n"/>
      <c r="N1204" s="29" t="n"/>
      <c r="O1204" s="29" t="n"/>
      <c r="P1204" s="29" t="n"/>
      <c r="Q1204" s="29" t="n"/>
      <c r="R1204" s="29" t="n"/>
      <c r="S1204" s="29" t="n"/>
      <c r="T1204" s="29" t="n"/>
      <c r="U1204" s="29" t="n"/>
      <c r="V1204" s="29" t="n"/>
      <c r="W1204" s="29" t="n"/>
      <c r="X1204" s="29" t="n"/>
      <c r="Y1204" s="29" t="n"/>
      <c r="Z1204" s="29" t="n"/>
      <c r="AA1204" s="29" t="n"/>
      <c r="AB1204" s="29" t="n"/>
      <c r="AC1204" s="29" t="n"/>
      <c r="AD1204" s="29" t="n"/>
      <c r="AE1204" s="29" t="n"/>
      <c r="AF1204" s="29" t="n"/>
      <c r="AG1204" s="29" t="n"/>
      <c r="AH1204" s="29" t="n"/>
      <c r="AI1204" s="29" t="n"/>
    </row>
    <row r="1205">
      <c r="L1205" s="29" t="n"/>
      <c r="M1205" s="29" t="n"/>
      <c r="N1205" s="29" t="n"/>
      <c r="O1205" s="29" t="n"/>
      <c r="P1205" s="29" t="n"/>
      <c r="Q1205" s="29" t="n"/>
      <c r="R1205" s="29" t="n"/>
      <c r="S1205" s="29" t="n"/>
      <c r="T1205" s="29" t="n"/>
      <c r="U1205" s="29" t="n"/>
      <c r="V1205" s="29" t="n"/>
      <c r="W1205" s="29" t="n"/>
      <c r="X1205" s="29" t="n"/>
      <c r="Y1205" s="29" t="n"/>
      <c r="Z1205" s="29" t="n"/>
      <c r="AA1205" s="29" t="n"/>
      <c r="AB1205" s="29" t="n"/>
      <c r="AC1205" s="29" t="n"/>
      <c r="AD1205" s="29" t="n"/>
      <c r="AE1205" s="29" t="n"/>
      <c r="AF1205" s="29" t="n"/>
      <c r="AG1205" s="29" t="n"/>
      <c r="AH1205" s="29" t="n"/>
      <c r="AI1205" s="29" t="n"/>
    </row>
    <row r="1206">
      <c r="L1206" s="29" t="n"/>
      <c r="M1206" s="29" t="n"/>
      <c r="N1206" s="29" t="n"/>
      <c r="O1206" s="29" t="n"/>
      <c r="P1206" s="29" t="n"/>
      <c r="Q1206" s="29" t="n"/>
      <c r="R1206" s="29" t="n"/>
      <c r="S1206" s="29" t="n"/>
      <c r="T1206" s="29" t="n"/>
      <c r="U1206" s="29" t="n"/>
      <c r="V1206" s="29" t="n"/>
      <c r="W1206" s="29" t="n"/>
      <c r="X1206" s="29" t="n"/>
      <c r="Y1206" s="29" t="n"/>
      <c r="Z1206" s="29" t="n"/>
      <c r="AA1206" s="29" t="n"/>
      <c r="AB1206" s="29" t="n"/>
      <c r="AC1206" s="29" t="n"/>
      <c r="AD1206" s="29" t="n"/>
      <c r="AE1206" s="29" t="n"/>
      <c r="AF1206" s="29" t="n"/>
      <c r="AG1206" s="29" t="n"/>
      <c r="AH1206" s="29" t="n"/>
      <c r="AI1206" s="29" t="n"/>
    </row>
    <row r="1207">
      <c r="L1207" s="29" t="n"/>
      <c r="M1207" s="29" t="n"/>
      <c r="N1207" s="29" t="n"/>
      <c r="O1207" s="29" t="n"/>
      <c r="P1207" s="29" t="n"/>
      <c r="Q1207" s="29" t="n"/>
      <c r="R1207" s="29" t="n"/>
      <c r="S1207" s="29" t="n"/>
      <c r="T1207" s="29" t="n"/>
      <c r="U1207" s="29" t="n"/>
      <c r="V1207" s="29" t="n"/>
      <c r="W1207" s="29" t="n"/>
      <c r="X1207" s="29" t="n"/>
      <c r="Y1207" s="29" t="n"/>
      <c r="Z1207" s="29" t="n"/>
      <c r="AA1207" s="29" t="n"/>
      <c r="AB1207" s="29" t="n"/>
      <c r="AC1207" s="29" t="n"/>
      <c r="AD1207" s="29" t="n"/>
      <c r="AE1207" s="29" t="n"/>
      <c r="AF1207" s="29" t="n"/>
      <c r="AG1207" s="29" t="n"/>
      <c r="AH1207" s="29" t="n"/>
      <c r="AI1207" s="29" t="n"/>
    </row>
    <row r="1208">
      <c r="L1208" s="29" t="n"/>
      <c r="M1208" s="29" t="n"/>
      <c r="N1208" s="29" t="n"/>
      <c r="O1208" s="29" t="n"/>
      <c r="P1208" s="29" t="n"/>
      <c r="Q1208" s="29" t="n"/>
      <c r="R1208" s="29" t="n"/>
      <c r="S1208" s="29" t="n"/>
      <c r="T1208" s="29" t="n"/>
      <c r="U1208" s="29" t="n"/>
      <c r="V1208" s="29" t="n"/>
      <c r="W1208" s="29" t="n"/>
      <c r="X1208" s="29" t="n"/>
      <c r="Y1208" s="29" t="n"/>
      <c r="Z1208" s="29" t="n"/>
      <c r="AA1208" s="29" t="n"/>
      <c r="AB1208" s="29" t="n"/>
      <c r="AC1208" s="29" t="n"/>
      <c r="AD1208" s="29" t="n"/>
      <c r="AE1208" s="29" t="n"/>
      <c r="AF1208" s="29" t="n"/>
      <c r="AG1208" s="29" t="n"/>
      <c r="AH1208" s="29" t="n"/>
      <c r="AI1208" s="29" t="n"/>
    </row>
    <row r="1209">
      <c r="L1209" s="29" t="n"/>
      <c r="M1209" s="29" t="n"/>
      <c r="N1209" s="29" t="n"/>
      <c r="O1209" s="29" t="n"/>
      <c r="P1209" s="29" t="n"/>
      <c r="Q1209" s="29" t="n"/>
      <c r="R1209" s="29" t="n"/>
      <c r="S1209" s="29" t="n"/>
      <c r="T1209" s="29" t="n"/>
      <c r="U1209" s="29" t="n"/>
      <c r="V1209" s="29" t="n"/>
      <c r="W1209" s="29" t="n"/>
      <c r="X1209" s="29" t="n"/>
      <c r="Y1209" s="29" t="n"/>
      <c r="Z1209" s="29" t="n"/>
      <c r="AA1209" s="29" t="n"/>
      <c r="AB1209" s="29" t="n"/>
      <c r="AC1209" s="29" t="n"/>
      <c r="AD1209" s="29" t="n"/>
      <c r="AE1209" s="29" t="n"/>
      <c r="AF1209" s="29" t="n"/>
      <c r="AG1209" s="29" t="n"/>
      <c r="AH1209" s="29" t="n"/>
      <c r="AI1209" s="29" t="n"/>
    </row>
    <row r="1210">
      <c r="L1210" s="29" t="n"/>
      <c r="M1210" s="29" t="n"/>
      <c r="N1210" s="29" t="n"/>
      <c r="O1210" s="29" t="n"/>
      <c r="P1210" s="29" t="n"/>
      <c r="Q1210" s="29" t="n"/>
      <c r="R1210" s="29" t="n"/>
      <c r="S1210" s="29" t="n"/>
      <c r="T1210" s="29" t="n"/>
      <c r="U1210" s="29" t="n"/>
      <c r="V1210" s="29" t="n"/>
      <c r="W1210" s="29" t="n"/>
      <c r="X1210" s="29" t="n"/>
      <c r="Y1210" s="29" t="n"/>
      <c r="Z1210" s="29" t="n"/>
      <c r="AA1210" s="29" t="n"/>
      <c r="AB1210" s="29" t="n"/>
      <c r="AC1210" s="29" t="n"/>
      <c r="AD1210" s="29" t="n"/>
      <c r="AE1210" s="29" t="n"/>
      <c r="AF1210" s="29" t="n"/>
      <c r="AG1210" s="29" t="n"/>
      <c r="AH1210" s="29" t="n"/>
      <c r="AI1210" s="29" t="n"/>
    </row>
    <row r="1211">
      <c r="L1211" s="29" t="n"/>
      <c r="M1211" s="29" t="n"/>
      <c r="N1211" s="29" t="n"/>
      <c r="O1211" s="29" t="n"/>
      <c r="P1211" s="29" t="n"/>
      <c r="Q1211" s="29" t="n"/>
      <c r="R1211" s="29" t="n"/>
      <c r="S1211" s="29" t="n"/>
      <c r="T1211" s="29" t="n"/>
      <c r="U1211" s="29" t="n"/>
      <c r="V1211" s="29" t="n"/>
      <c r="W1211" s="29" t="n"/>
      <c r="X1211" s="29" t="n"/>
      <c r="Y1211" s="29" t="n"/>
      <c r="Z1211" s="29" t="n"/>
      <c r="AA1211" s="29" t="n"/>
      <c r="AB1211" s="29" t="n"/>
      <c r="AC1211" s="29" t="n"/>
      <c r="AD1211" s="29" t="n"/>
      <c r="AE1211" s="29" t="n"/>
      <c r="AF1211" s="29" t="n"/>
      <c r="AG1211" s="29" t="n"/>
      <c r="AH1211" s="29" t="n"/>
      <c r="AI1211" s="29" t="n"/>
    </row>
    <row r="1212">
      <c r="L1212" s="29" t="n"/>
      <c r="M1212" s="29" t="n"/>
      <c r="N1212" s="29" t="n"/>
      <c r="O1212" s="29" t="n"/>
      <c r="P1212" s="29" t="n"/>
      <c r="Q1212" s="29" t="n"/>
      <c r="R1212" s="29" t="n"/>
      <c r="S1212" s="29" t="n"/>
      <c r="T1212" s="29" t="n"/>
      <c r="U1212" s="29" t="n"/>
      <c r="V1212" s="29" t="n"/>
      <c r="W1212" s="29" t="n"/>
      <c r="X1212" s="29" t="n"/>
      <c r="Y1212" s="29" t="n"/>
      <c r="Z1212" s="29" t="n"/>
      <c r="AA1212" s="29" t="n"/>
      <c r="AB1212" s="29" t="n"/>
      <c r="AC1212" s="29" t="n"/>
      <c r="AD1212" s="29" t="n"/>
      <c r="AE1212" s="29" t="n"/>
      <c r="AF1212" s="29" t="n"/>
      <c r="AG1212" s="29" t="n"/>
      <c r="AH1212" s="29" t="n"/>
      <c r="AI1212" s="29" t="n"/>
    </row>
    <row r="1213">
      <c r="L1213" s="29" t="n"/>
      <c r="M1213" s="29" t="n"/>
      <c r="N1213" s="29" t="n"/>
      <c r="O1213" s="29" t="n"/>
      <c r="P1213" s="29" t="n"/>
      <c r="Q1213" s="29" t="n"/>
      <c r="R1213" s="29" t="n"/>
      <c r="S1213" s="29" t="n"/>
      <c r="T1213" s="29" t="n"/>
      <c r="U1213" s="29" t="n"/>
      <c r="V1213" s="29" t="n"/>
      <c r="W1213" s="29" t="n"/>
      <c r="X1213" s="29" t="n"/>
      <c r="Y1213" s="29" t="n"/>
      <c r="Z1213" s="29" t="n"/>
      <c r="AA1213" s="29" t="n"/>
      <c r="AB1213" s="29" t="n"/>
      <c r="AC1213" s="29" t="n"/>
      <c r="AD1213" s="29" t="n"/>
      <c r="AE1213" s="29" t="n"/>
      <c r="AF1213" s="29" t="n"/>
      <c r="AG1213" s="29" t="n"/>
      <c r="AH1213" s="29" t="n"/>
      <c r="AI1213" s="29" t="n"/>
    </row>
    <row r="1214">
      <c r="L1214" s="29" t="n"/>
      <c r="M1214" s="29" t="n"/>
      <c r="N1214" s="29" t="n"/>
      <c r="O1214" s="29" t="n"/>
      <c r="P1214" s="29" t="n"/>
      <c r="Q1214" s="29" t="n"/>
      <c r="R1214" s="29" t="n"/>
      <c r="S1214" s="29" t="n"/>
      <c r="T1214" s="29" t="n"/>
      <c r="U1214" s="29" t="n"/>
      <c r="V1214" s="29" t="n"/>
      <c r="W1214" s="29" t="n"/>
      <c r="X1214" s="29" t="n"/>
      <c r="Y1214" s="29" t="n"/>
      <c r="Z1214" s="29" t="n"/>
      <c r="AA1214" s="29" t="n"/>
      <c r="AB1214" s="29" t="n"/>
      <c r="AC1214" s="29" t="n"/>
      <c r="AD1214" s="29" t="n"/>
      <c r="AE1214" s="29" t="n"/>
      <c r="AF1214" s="29" t="n"/>
      <c r="AG1214" s="29" t="n"/>
      <c r="AH1214" s="29" t="n"/>
      <c r="AI1214" s="29" t="n"/>
    </row>
    <row r="1215">
      <c r="L1215" s="29" t="n"/>
      <c r="M1215" s="29" t="n"/>
      <c r="N1215" s="29" t="n"/>
      <c r="O1215" s="29" t="n"/>
      <c r="P1215" s="29" t="n"/>
      <c r="Q1215" s="29" t="n"/>
      <c r="R1215" s="29" t="n"/>
      <c r="S1215" s="29" t="n"/>
      <c r="T1215" s="29" t="n"/>
      <c r="U1215" s="29" t="n"/>
      <c r="V1215" s="29" t="n"/>
      <c r="W1215" s="29" t="n"/>
      <c r="X1215" s="29" t="n"/>
      <c r="Y1215" s="29" t="n"/>
      <c r="Z1215" s="29" t="n"/>
      <c r="AA1215" s="29" t="n"/>
      <c r="AB1215" s="29" t="n"/>
      <c r="AC1215" s="29" t="n"/>
      <c r="AD1215" s="29" t="n"/>
      <c r="AE1215" s="29" t="n"/>
      <c r="AF1215" s="29" t="n"/>
      <c r="AG1215" s="29" t="n"/>
      <c r="AH1215" s="29" t="n"/>
      <c r="AI1215" s="29" t="n"/>
    </row>
    <row r="1216">
      <c r="L1216" s="29" t="n"/>
      <c r="M1216" s="29" t="n"/>
      <c r="N1216" s="29" t="n"/>
      <c r="O1216" s="29" t="n"/>
      <c r="P1216" s="29" t="n"/>
      <c r="Q1216" s="29" t="n"/>
      <c r="R1216" s="29" t="n"/>
      <c r="S1216" s="29" t="n"/>
      <c r="T1216" s="29" t="n"/>
      <c r="U1216" s="29" t="n"/>
      <c r="V1216" s="29" t="n"/>
      <c r="W1216" s="29" t="n"/>
      <c r="X1216" s="29" t="n"/>
      <c r="Y1216" s="29" t="n"/>
      <c r="Z1216" s="29" t="n"/>
      <c r="AA1216" s="29" t="n"/>
      <c r="AB1216" s="29" t="n"/>
      <c r="AC1216" s="29" t="n"/>
      <c r="AD1216" s="29" t="n"/>
      <c r="AE1216" s="29" t="n"/>
      <c r="AF1216" s="29" t="n"/>
      <c r="AG1216" s="29" t="n"/>
      <c r="AH1216" s="29" t="n"/>
      <c r="AI1216" s="29" t="n"/>
    </row>
    <row r="1217">
      <c r="L1217" s="29" t="n"/>
      <c r="M1217" s="29" t="n"/>
      <c r="N1217" s="29" t="n"/>
      <c r="O1217" s="29" t="n"/>
      <c r="P1217" s="29" t="n"/>
      <c r="Q1217" s="29" t="n"/>
      <c r="R1217" s="29" t="n"/>
      <c r="S1217" s="29" t="n"/>
      <c r="T1217" s="29" t="n"/>
      <c r="U1217" s="29" t="n"/>
      <c r="V1217" s="29" t="n"/>
      <c r="W1217" s="29" t="n"/>
      <c r="X1217" s="29" t="n"/>
      <c r="Y1217" s="29" t="n"/>
      <c r="Z1217" s="29" t="n"/>
      <c r="AA1217" s="29" t="n"/>
      <c r="AB1217" s="29" t="n"/>
      <c r="AC1217" s="29" t="n"/>
      <c r="AD1217" s="29" t="n"/>
      <c r="AE1217" s="29" t="n"/>
      <c r="AF1217" s="29" t="n"/>
      <c r="AG1217" s="29" t="n"/>
      <c r="AH1217" s="29" t="n"/>
      <c r="AI1217" s="29" t="n"/>
    </row>
    <row r="1218">
      <c r="L1218" s="29" t="n"/>
      <c r="M1218" s="29" t="n"/>
      <c r="N1218" s="29" t="n"/>
      <c r="O1218" s="29" t="n"/>
      <c r="P1218" s="29" t="n"/>
      <c r="Q1218" s="29" t="n"/>
      <c r="R1218" s="29" t="n"/>
      <c r="S1218" s="29" t="n"/>
      <c r="T1218" s="29" t="n"/>
      <c r="U1218" s="29" t="n"/>
      <c r="V1218" s="29" t="n"/>
      <c r="W1218" s="29" t="n"/>
      <c r="X1218" s="29" t="n"/>
      <c r="Y1218" s="29" t="n"/>
      <c r="Z1218" s="29" t="n"/>
      <c r="AA1218" s="29" t="n"/>
      <c r="AB1218" s="29" t="n"/>
      <c r="AC1218" s="29" t="n"/>
      <c r="AD1218" s="29" t="n"/>
      <c r="AE1218" s="29" t="n"/>
      <c r="AF1218" s="29" t="n"/>
      <c r="AG1218" s="29" t="n"/>
      <c r="AH1218" s="29" t="n"/>
      <c r="AI1218" s="29" t="n"/>
    </row>
    <row r="1219">
      <c r="L1219" s="29" t="n"/>
      <c r="M1219" s="29" t="n"/>
      <c r="N1219" s="29" t="n"/>
      <c r="O1219" s="29" t="n"/>
      <c r="P1219" s="29" t="n"/>
      <c r="Q1219" s="29" t="n"/>
      <c r="R1219" s="29" t="n"/>
      <c r="S1219" s="29" t="n"/>
      <c r="T1219" s="29" t="n"/>
      <c r="U1219" s="29" t="n"/>
      <c r="V1219" s="29" t="n"/>
      <c r="W1219" s="29" t="n"/>
      <c r="X1219" s="29" t="n"/>
      <c r="Y1219" s="29" t="n"/>
      <c r="Z1219" s="29" t="n"/>
      <c r="AA1219" s="29" t="n"/>
      <c r="AB1219" s="29" t="n"/>
      <c r="AC1219" s="29" t="n"/>
      <c r="AD1219" s="29" t="n"/>
      <c r="AE1219" s="29" t="n"/>
      <c r="AF1219" s="29" t="n"/>
      <c r="AG1219" s="29" t="n"/>
      <c r="AH1219" s="29" t="n"/>
      <c r="AI1219" s="29" t="n"/>
    </row>
    <row r="1220">
      <c r="L1220" s="29" t="n"/>
      <c r="M1220" s="29" t="n"/>
      <c r="N1220" s="29" t="n"/>
      <c r="O1220" s="29" t="n"/>
      <c r="P1220" s="29" t="n"/>
      <c r="Q1220" s="29" t="n"/>
      <c r="R1220" s="29" t="n"/>
      <c r="S1220" s="29" t="n"/>
      <c r="T1220" s="29" t="n"/>
      <c r="U1220" s="29" t="n"/>
      <c r="V1220" s="29" t="n"/>
      <c r="W1220" s="29" t="n"/>
      <c r="X1220" s="29" t="n"/>
      <c r="Y1220" s="29" t="n"/>
      <c r="Z1220" s="29" t="n"/>
      <c r="AA1220" s="29" t="n"/>
      <c r="AB1220" s="29" t="n"/>
      <c r="AC1220" s="29" t="n"/>
      <c r="AD1220" s="29" t="n"/>
      <c r="AE1220" s="29" t="n"/>
      <c r="AF1220" s="29" t="n"/>
      <c r="AG1220" s="29" t="n"/>
      <c r="AH1220" s="29" t="n"/>
      <c r="AI1220" s="29" t="n"/>
    </row>
    <row r="1221">
      <c r="L1221" s="29" t="n"/>
      <c r="M1221" s="29" t="n"/>
      <c r="N1221" s="29" t="n"/>
      <c r="O1221" s="29" t="n"/>
      <c r="P1221" s="29" t="n"/>
      <c r="Q1221" s="29" t="n"/>
      <c r="R1221" s="29" t="n"/>
      <c r="S1221" s="29" t="n"/>
      <c r="T1221" s="29" t="n"/>
      <c r="U1221" s="29" t="n"/>
      <c r="V1221" s="29" t="n"/>
      <c r="W1221" s="29" t="n"/>
      <c r="X1221" s="29" t="n"/>
      <c r="Y1221" s="29" t="n"/>
      <c r="Z1221" s="29" t="n"/>
      <c r="AA1221" s="29" t="n"/>
      <c r="AB1221" s="29" t="n"/>
      <c r="AC1221" s="29" t="n"/>
      <c r="AD1221" s="29" t="n"/>
      <c r="AE1221" s="29" t="n"/>
      <c r="AF1221" s="29" t="n"/>
      <c r="AG1221" s="29" t="n"/>
      <c r="AH1221" s="29" t="n"/>
      <c r="AI1221" s="29" t="n"/>
    </row>
    <row r="1222">
      <c r="L1222" s="29" t="n"/>
      <c r="M1222" s="29" t="n"/>
      <c r="N1222" s="29" t="n"/>
      <c r="O1222" s="29" t="n"/>
      <c r="P1222" s="29" t="n"/>
      <c r="Q1222" s="29" t="n"/>
      <c r="R1222" s="29" t="n"/>
      <c r="S1222" s="29" t="n"/>
      <c r="T1222" s="29" t="n"/>
      <c r="U1222" s="29" t="n"/>
      <c r="V1222" s="29" t="n"/>
      <c r="W1222" s="29" t="n"/>
      <c r="X1222" s="29" t="n"/>
      <c r="Y1222" s="29" t="n"/>
      <c r="Z1222" s="29" t="n"/>
      <c r="AA1222" s="29" t="n"/>
      <c r="AB1222" s="29" t="n"/>
      <c r="AC1222" s="29" t="n"/>
      <c r="AD1222" s="29" t="n"/>
      <c r="AE1222" s="29" t="n"/>
      <c r="AF1222" s="29" t="n"/>
      <c r="AG1222" s="29" t="n"/>
      <c r="AH1222" s="29" t="n"/>
      <c r="AI1222" s="29" t="n"/>
    </row>
    <row r="1223">
      <c r="L1223" s="29" t="n"/>
      <c r="M1223" s="29" t="n"/>
      <c r="N1223" s="29" t="n"/>
      <c r="O1223" s="29" t="n"/>
      <c r="P1223" s="29" t="n"/>
      <c r="Q1223" s="29" t="n"/>
      <c r="R1223" s="29" t="n"/>
      <c r="S1223" s="29" t="n"/>
      <c r="T1223" s="29" t="n"/>
      <c r="U1223" s="29" t="n"/>
      <c r="V1223" s="29" t="n"/>
      <c r="W1223" s="29" t="n"/>
      <c r="X1223" s="29" t="n"/>
      <c r="Y1223" s="29" t="n"/>
      <c r="Z1223" s="29" t="n"/>
      <c r="AA1223" s="29" t="n"/>
      <c r="AB1223" s="29" t="n"/>
      <c r="AC1223" s="29" t="n"/>
      <c r="AD1223" s="29" t="n"/>
      <c r="AE1223" s="29" t="n"/>
      <c r="AF1223" s="29" t="n"/>
      <c r="AG1223" s="29" t="n"/>
      <c r="AH1223" s="29" t="n"/>
      <c r="AI1223" s="29" t="n"/>
    </row>
    <row r="1224">
      <c r="L1224" s="29" t="n"/>
      <c r="M1224" s="29" t="n"/>
      <c r="N1224" s="29" t="n"/>
      <c r="O1224" s="29" t="n"/>
      <c r="P1224" s="29" t="n"/>
      <c r="Q1224" s="29" t="n"/>
      <c r="R1224" s="29" t="n"/>
      <c r="S1224" s="29" t="n"/>
      <c r="T1224" s="29" t="n"/>
      <c r="U1224" s="29" t="n"/>
      <c r="V1224" s="29" t="n"/>
      <c r="W1224" s="29" t="n"/>
      <c r="X1224" s="29" t="n"/>
      <c r="Y1224" s="29" t="n"/>
      <c r="Z1224" s="29" t="n"/>
      <c r="AA1224" s="29" t="n"/>
      <c r="AB1224" s="29" t="n"/>
      <c r="AC1224" s="29" t="n"/>
      <c r="AD1224" s="29" t="n"/>
      <c r="AE1224" s="29" t="n"/>
      <c r="AF1224" s="29" t="n"/>
      <c r="AG1224" s="29" t="n"/>
      <c r="AH1224" s="29" t="n"/>
      <c r="AI1224" s="29" t="n"/>
    </row>
    <row r="1225">
      <c r="L1225" s="29" t="n"/>
      <c r="M1225" s="29" t="n"/>
      <c r="N1225" s="29" t="n"/>
      <c r="O1225" s="29" t="n"/>
      <c r="P1225" s="29" t="n"/>
      <c r="Q1225" s="29" t="n"/>
      <c r="R1225" s="29" t="n"/>
      <c r="S1225" s="29" t="n"/>
      <c r="T1225" s="29" t="n"/>
      <c r="U1225" s="29" t="n"/>
      <c r="V1225" s="29" t="n"/>
      <c r="W1225" s="29" t="n"/>
      <c r="X1225" s="29" t="n"/>
      <c r="Y1225" s="29" t="n"/>
      <c r="Z1225" s="29" t="n"/>
      <c r="AA1225" s="29" t="n"/>
      <c r="AB1225" s="29" t="n"/>
      <c r="AC1225" s="29" t="n"/>
      <c r="AD1225" s="29" t="n"/>
      <c r="AE1225" s="29" t="n"/>
      <c r="AF1225" s="29" t="n"/>
      <c r="AG1225" s="29" t="n"/>
      <c r="AH1225" s="29" t="n"/>
      <c r="AI1225" s="29" t="n"/>
    </row>
    <row r="1226">
      <c r="L1226" s="29" t="n"/>
      <c r="M1226" s="29" t="n"/>
      <c r="N1226" s="29" t="n"/>
      <c r="O1226" s="29" t="n"/>
      <c r="P1226" s="29" t="n"/>
      <c r="Q1226" s="29" t="n"/>
      <c r="R1226" s="29" t="n"/>
      <c r="S1226" s="29" t="n"/>
      <c r="T1226" s="29" t="n"/>
      <c r="U1226" s="29" t="n"/>
      <c r="V1226" s="29" t="n"/>
      <c r="W1226" s="29" t="n"/>
      <c r="X1226" s="29" t="n"/>
      <c r="Y1226" s="29" t="n"/>
      <c r="Z1226" s="29" t="n"/>
      <c r="AA1226" s="29" t="n"/>
      <c r="AB1226" s="29" t="n"/>
      <c r="AC1226" s="29" t="n"/>
      <c r="AD1226" s="29" t="n"/>
      <c r="AE1226" s="29" t="n"/>
      <c r="AF1226" s="29" t="n"/>
      <c r="AG1226" s="29" t="n"/>
      <c r="AH1226" s="29" t="n"/>
      <c r="AI1226" s="29" t="n"/>
    </row>
    <row r="1227">
      <c r="L1227" s="29" t="n"/>
      <c r="M1227" s="29" t="n"/>
      <c r="N1227" s="29" t="n"/>
      <c r="O1227" s="29" t="n"/>
      <c r="P1227" s="29" t="n"/>
      <c r="Q1227" s="29" t="n"/>
      <c r="R1227" s="29" t="n"/>
      <c r="S1227" s="29" t="n"/>
      <c r="T1227" s="29" t="n"/>
      <c r="U1227" s="29" t="n"/>
      <c r="V1227" s="29" t="n"/>
      <c r="W1227" s="29" t="n"/>
      <c r="X1227" s="29" t="n"/>
      <c r="Y1227" s="29" t="n"/>
      <c r="Z1227" s="29" t="n"/>
      <c r="AA1227" s="29" t="n"/>
      <c r="AB1227" s="29" t="n"/>
      <c r="AC1227" s="29" t="n"/>
      <c r="AD1227" s="29" t="n"/>
      <c r="AE1227" s="29" t="n"/>
      <c r="AF1227" s="29" t="n"/>
      <c r="AG1227" s="29" t="n"/>
      <c r="AH1227" s="29" t="n"/>
      <c r="AI1227" s="29" t="n"/>
    </row>
    <row r="1228">
      <c r="L1228" s="29" t="n"/>
      <c r="M1228" s="29" t="n"/>
      <c r="N1228" s="29" t="n"/>
      <c r="O1228" s="29" t="n"/>
      <c r="P1228" s="29" t="n"/>
      <c r="Q1228" s="29" t="n"/>
      <c r="R1228" s="29" t="n"/>
      <c r="S1228" s="29" t="n"/>
      <c r="T1228" s="29" t="n"/>
      <c r="U1228" s="29" t="n"/>
      <c r="V1228" s="29" t="n"/>
      <c r="W1228" s="29" t="n"/>
      <c r="X1228" s="29" t="n"/>
      <c r="Y1228" s="29" t="n"/>
      <c r="Z1228" s="29" t="n"/>
      <c r="AA1228" s="29" t="n"/>
      <c r="AB1228" s="29" t="n"/>
      <c r="AC1228" s="29" t="n"/>
      <c r="AD1228" s="29" t="n"/>
      <c r="AE1228" s="29" t="n"/>
      <c r="AF1228" s="29" t="n"/>
      <c r="AG1228" s="29" t="n"/>
      <c r="AH1228" s="29" t="n"/>
      <c r="AI1228" s="29" t="n"/>
    </row>
    <row r="1229">
      <c r="L1229" s="29" t="n"/>
      <c r="M1229" s="29" t="n"/>
      <c r="N1229" s="29" t="n"/>
      <c r="O1229" s="29" t="n"/>
      <c r="P1229" s="29" t="n"/>
      <c r="Q1229" s="29" t="n"/>
      <c r="R1229" s="29" t="n"/>
      <c r="S1229" s="29" t="n"/>
      <c r="T1229" s="29" t="n"/>
      <c r="U1229" s="29" t="n"/>
      <c r="V1229" s="29" t="n"/>
      <c r="W1229" s="29" t="n"/>
      <c r="X1229" s="29" t="n"/>
      <c r="Y1229" s="29" t="n"/>
      <c r="Z1229" s="29" t="n"/>
      <c r="AA1229" s="29" t="n"/>
      <c r="AB1229" s="29" t="n"/>
      <c r="AC1229" s="29" t="n"/>
      <c r="AD1229" s="29" t="n"/>
      <c r="AE1229" s="29" t="n"/>
      <c r="AF1229" s="29" t="n"/>
      <c r="AG1229" s="29" t="n"/>
      <c r="AH1229" s="29" t="n"/>
      <c r="AI1229" s="29" t="n"/>
    </row>
    <row r="1230">
      <c r="L1230" s="29" t="n"/>
      <c r="M1230" s="29" t="n"/>
      <c r="N1230" s="29" t="n"/>
      <c r="O1230" s="29" t="n"/>
      <c r="P1230" s="29" t="n"/>
      <c r="Q1230" s="29" t="n"/>
      <c r="R1230" s="29" t="n"/>
      <c r="S1230" s="29" t="n"/>
      <c r="T1230" s="29" t="n"/>
      <c r="U1230" s="29" t="n"/>
      <c r="V1230" s="29" t="n"/>
      <c r="W1230" s="29" t="n"/>
      <c r="X1230" s="29" t="n"/>
      <c r="Y1230" s="29" t="n"/>
      <c r="Z1230" s="29" t="n"/>
      <c r="AA1230" s="29" t="n"/>
      <c r="AB1230" s="29" t="n"/>
      <c r="AC1230" s="29" t="n"/>
      <c r="AD1230" s="29" t="n"/>
      <c r="AE1230" s="29" t="n"/>
      <c r="AF1230" s="29" t="n"/>
      <c r="AG1230" s="29" t="n"/>
      <c r="AH1230" s="29" t="n"/>
      <c r="AI1230" s="29" t="n"/>
    </row>
    <row r="1231">
      <c r="L1231" s="29" t="n"/>
      <c r="M1231" s="29" t="n"/>
      <c r="N1231" s="29" t="n"/>
      <c r="O1231" s="29" t="n"/>
      <c r="P1231" s="29" t="n"/>
      <c r="Q1231" s="29" t="n"/>
      <c r="R1231" s="29" t="n"/>
      <c r="S1231" s="29" t="n"/>
      <c r="T1231" s="29" t="n"/>
      <c r="U1231" s="29" t="n"/>
      <c r="V1231" s="29" t="n"/>
      <c r="W1231" s="29" t="n"/>
      <c r="X1231" s="29" t="n"/>
      <c r="Y1231" s="29" t="n"/>
      <c r="Z1231" s="29" t="n"/>
      <c r="AA1231" s="29" t="n"/>
      <c r="AB1231" s="29" t="n"/>
      <c r="AC1231" s="29" t="n"/>
      <c r="AD1231" s="29" t="n"/>
      <c r="AE1231" s="29" t="n"/>
      <c r="AF1231" s="29" t="n"/>
      <c r="AG1231" s="29" t="n"/>
      <c r="AH1231" s="29" t="n"/>
      <c r="AI1231" s="29" t="n"/>
    </row>
    <row r="1232">
      <c r="L1232" s="29" t="n"/>
      <c r="M1232" s="29" t="n"/>
      <c r="N1232" s="29" t="n"/>
      <c r="O1232" s="29" t="n"/>
      <c r="P1232" s="29" t="n"/>
      <c r="Q1232" s="29" t="n"/>
      <c r="R1232" s="29" t="n"/>
      <c r="S1232" s="29" t="n"/>
      <c r="T1232" s="29" t="n"/>
      <c r="U1232" s="29" t="n"/>
      <c r="V1232" s="29" t="n"/>
      <c r="W1232" s="29" t="n"/>
      <c r="X1232" s="29" t="n"/>
      <c r="Y1232" s="29" t="n"/>
      <c r="Z1232" s="29" t="n"/>
      <c r="AA1232" s="29" t="n"/>
      <c r="AB1232" s="29" t="n"/>
      <c r="AC1232" s="29" t="n"/>
      <c r="AD1232" s="29" t="n"/>
      <c r="AE1232" s="29" t="n"/>
      <c r="AF1232" s="29" t="n"/>
      <c r="AG1232" s="29" t="n"/>
      <c r="AH1232" s="29" t="n"/>
      <c r="AI1232" s="29" t="n"/>
    </row>
    <row r="1233">
      <c r="L1233" s="29" t="n"/>
      <c r="M1233" s="29" t="n"/>
      <c r="N1233" s="29" t="n"/>
      <c r="O1233" s="29" t="n"/>
      <c r="P1233" s="29" t="n"/>
      <c r="Q1233" s="29" t="n"/>
      <c r="R1233" s="29" t="n"/>
      <c r="S1233" s="29" t="n"/>
      <c r="T1233" s="29" t="n"/>
      <c r="U1233" s="29" t="n"/>
      <c r="V1233" s="29" t="n"/>
      <c r="W1233" s="29" t="n"/>
      <c r="X1233" s="29" t="n"/>
      <c r="Y1233" s="29" t="n"/>
      <c r="Z1233" s="29" t="n"/>
      <c r="AA1233" s="29" t="n"/>
      <c r="AB1233" s="29" t="n"/>
      <c r="AC1233" s="29" t="n"/>
      <c r="AD1233" s="29" t="n"/>
      <c r="AE1233" s="29" t="n"/>
      <c r="AF1233" s="29" t="n"/>
      <c r="AG1233" s="29" t="n"/>
      <c r="AH1233" s="29" t="n"/>
      <c r="AI1233" s="29" t="n"/>
    </row>
    <row r="1234">
      <c r="L1234" s="29" t="n"/>
      <c r="M1234" s="29" t="n"/>
      <c r="N1234" s="29" t="n"/>
      <c r="O1234" s="29" t="n"/>
      <c r="P1234" s="29" t="n"/>
      <c r="Q1234" s="29" t="n"/>
      <c r="R1234" s="29" t="n"/>
      <c r="S1234" s="29" t="n"/>
      <c r="T1234" s="29" t="n"/>
      <c r="U1234" s="29" t="n"/>
      <c r="V1234" s="29" t="n"/>
      <c r="W1234" s="29" t="n"/>
      <c r="X1234" s="29" t="n"/>
      <c r="Y1234" s="29" t="n"/>
      <c r="Z1234" s="29" t="n"/>
      <c r="AA1234" s="29" t="n"/>
      <c r="AB1234" s="29" t="n"/>
      <c r="AC1234" s="29" t="n"/>
      <c r="AD1234" s="29" t="n"/>
      <c r="AE1234" s="29" t="n"/>
      <c r="AF1234" s="29" t="n"/>
      <c r="AG1234" s="29" t="n"/>
      <c r="AH1234" s="29" t="n"/>
      <c r="AI1234" s="29" t="n"/>
    </row>
    <row r="1235">
      <c r="L1235" s="29" t="n"/>
      <c r="M1235" s="29" t="n"/>
      <c r="N1235" s="29" t="n"/>
      <c r="O1235" s="29" t="n"/>
      <c r="P1235" s="29" t="n"/>
      <c r="Q1235" s="29" t="n"/>
      <c r="R1235" s="29" t="n"/>
      <c r="S1235" s="29" t="n"/>
      <c r="T1235" s="29" t="n"/>
      <c r="U1235" s="29" t="n"/>
      <c r="V1235" s="29" t="n"/>
      <c r="W1235" s="29" t="n"/>
      <c r="X1235" s="29" t="n"/>
      <c r="Y1235" s="29" t="n"/>
      <c r="Z1235" s="29" t="n"/>
      <c r="AA1235" s="29" t="n"/>
      <c r="AB1235" s="29" t="n"/>
      <c r="AC1235" s="29" t="n"/>
      <c r="AD1235" s="29" t="n"/>
      <c r="AE1235" s="29" t="n"/>
      <c r="AF1235" s="29" t="n"/>
      <c r="AG1235" s="29" t="n"/>
      <c r="AH1235" s="29" t="n"/>
      <c r="AI1235" s="29" t="n"/>
    </row>
    <row r="1236">
      <c r="L1236" s="29" t="n"/>
      <c r="M1236" s="29" t="n"/>
      <c r="N1236" s="29" t="n"/>
      <c r="O1236" s="29" t="n"/>
      <c r="P1236" s="29" t="n"/>
      <c r="Q1236" s="29" t="n"/>
      <c r="R1236" s="29" t="n"/>
      <c r="S1236" s="29" t="n"/>
      <c r="T1236" s="29" t="n"/>
      <c r="U1236" s="29" t="n"/>
      <c r="V1236" s="29" t="n"/>
      <c r="W1236" s="29" t="n"/>
      <c r="X1236" s="29" t="n"/>
      <c r="Y1236" s="29" t="n"/>
      <c r="Z1236" s="29" t="n"/>
      <c r="AA1236" s="29" t="n"/>
      <c r="AB1236" s="29" t="n"/>
      <c r="AC1236" s="29" t="n"/>
      <c r="AD1236" s="29" t="n"/>
      <c r="AE1236" s="29" t="n"/>
      <c r="AF1236" s="29" t="n"/>
      <c r="AG1236" s="29" t="n"/>
      <c r="AH1236" s="29" t="n"/>
      <c r="AI1236" s="29" t="n"/>
    </row>
    <row r="1237">
      <c r="L1237" s="29" t="n"/>
      <c r="M1237" s="29" t="n"/>
      <c r="N1237" s="29" t="n"/>
      <c r="O1237" s="29" t="n"/>
      <c r="P1237" s="29" t="n"/>
      <c r="Q1237" s="29" t="n"/>
      <c r="R1237" s="29" t="n"/>
      <c r="S1237" s="29" t="n"/>
      <c r="T1237" s="29" t="n"/>
      <c r="U1237" s="29" t="n"/>
      <c r="V1237" s="29" t="n"/>
      <c r="W1237" s="29" t="n"/>
      <c r="X1237" s="29" t="n"/>
      <c r="Y1237" s="29" t="n"/>
      <c r="Z1237" s="29" t="n"/>
      <c r="AA1237" s="29" t="n"/>
      <c r="AB1237" s="29" t="n"/>
      <c r="AC1237" s="29" t="n"/>
      <c r="AD1237" s="29" t="n"/>
      <c r="AE1237" s="29" t="n"/>
      <c r="AF1237" s="29" t="n"/>
      <c r="AG1237" s="29" t="n"/>
      <c r="AH1237" s="29" t="n"/>
      <c r="AI1237" s="29" t="n"/>
    </row>
    <row r="1238">
      <c r="L1238" s="29" t="n"/>
      <c r="M1238" s="29" t="n"/>
      <c r="N1238" s="29" t="n"/>
      <c r="O1238" s="29" t="n"/>
      <c r="P1238" s="29" t="n"/>
      <c r="Q1238" s="29" t="n"/>
      <c r="R1238" s="29" t="n"/>
      <c r="S1238" s="29" t="n"/>
      <c r="T1238" s="29" t="n"/>
      <c r="U1238" s="29" t="n"/>
      <c r="V1238" s="29" t="n"/>
      <c r="W1238" s="29" t="n"/>
      <c r="X1238" s="29" t="n"/>
      <c r="Y1238" s="29" t="n"/>
      <c r="Z1238" s="29" t="n"/>
      <c r="AA1238" s="29" t="n"/>
      <c r="AB1238" s="29" t="n"/>
      <c r="AC1238" s="29" t="n"/>
      <c r="AD1238" s="29" t="n"/>
      <c r="AE1238" s="29" t="n"/>
      <c r="AF1238" s="29" t="n"/>
      <c r="AG1238" s="29" t="n"/>
      <c r="AH1238" s="29" t="n"/>
      <c r="AI1238" s="29" t="n"/>
    </row>
    <row r="1239">
      <c r="L1239" s="29" t="n"/>
      <c r="M1239" s="29" t="n"/>
      <c r="N1239" s="29" t="n"/>
      <c r="O1239" s="29" t="n"/>
      <c r="P1239" s="29" t="n"/>
      <c r="Q1239" s="29" t="n"/>
      <c r="R1239" s="29" t="n"/>
      <c r="S1239" s="29" t="n"/>
      <c r="T1239" s="29" t="n"/>
      <c r="U1239" s="29" t="n"/>
      <c r="V1239" s="29" t="n"/>
      <c r="W1239" s="29" t="n"/>
      <c r="X1239" s="29" t="n"/>
      <c r="Y1239" s="29" t="n"/>
      <c r="Z1239" s="29" t="n"/>
      <c r="AA1239" s="29" t="n"/>
      <c r="AB1239" s="29" t="n"/>
      <c r="AC1239" s="29" t="n"/>
      <c r="AD1239" s="29" t="n"/>
      <c r="AE1239" s="29" t="n"/>
      <c r="AF1239" s="29" t="n"/>
      <c r="AG1239" s="29" t="n"/>
      <c r="AH1239" s="29" t="n"/>
      <c r="AI1239" s="29" t="n"/>
    </row>
    <row r="1240">
      <c r="L1240" s="29" t="n"/>
      <c r="M1240" s="29" t="n"/>
      <c r="N1240" s="29" t="n"/>
      <c r="O1240" s="29" t="n"/>
      <c r="P1240" s="29" t="n"/>
      <c r="Q1240" s="29" t="n"/>
      <c r="R1240" s="29" t="n"/>
      <c r="S1240" s="29" t="n"/>
      <c r="T1240" s="29" t="n"/>
      <c r="U1240" s="29" t="n"/>
      <c r="V1240" s="29" t="n"/>
      <c r="W1240" s="29" t="n"/>
      <c r="X1240" s="29" t="n"/>
      <c r="Y1240" s="29" t="n"/>
      <c r="Z1240" s="29" t="n"/>
      <c r="AA1240" s="29" t="n"/>
      <c r="AB1240" s="29" t="n"/>
      <c r="AC1240" s="29" t="n"/>
      <c r="AD1240" s="29" t="n"/>
      <c r="AE1240" s="29" t="n"/>
      <c r="AF1240" s="29" t="n"/>
      <c r="AG1240" s="29" t="n"/>
      <c r="AH1240" s="29" t="n"/>
      <c r="AI1240" s="29" t="n"/>
    </row>
    <row r="1241">
      <c r="L1241" s="29" t="n"/>
      <c r="M1241" s="29" t="n"/>
      <c r="N1241" s="29" t="n"/>
      <c r="O1241" s="29" t="n"/>
      <c r="P1241" s="29" t="n"/>
      <c r="Q1241" s="29" t="n"/>
      <c r="R1241" s="29" t="n"/>
      <c r="S1241" s="29" t="n"/>
      <c r="T1241" s="29" t="n"/>
      <c r="U1241" s="29" t="n"/>
      <c r="V1241" s="29" t="n"/>
      <c r="W1241" s="29" t="n"/>
      <c r="X1241" s="29" t="n"/>
      <c r="Y1241" s="29" t="n"/>
      <c r="Z1241" s="29" t="n"/>
      <c r="AA1241" s="29" t="n"/>
      <c r="AB1241" s="29" t="n"/>
      <c r="AC1241" s="29" t="n"/>
      <c r="AD1241" s="29" t="n"/>
      <c r="AE1241" s="29" t="n"/>
      <c r="AF1241" s="29" t="n"/>
      <c r="AG1241" s="29" t="n"/>
      <c r="AH1241" s="29" t="n"/>
      <c r="AI1241" s="29" t="n"/>
    </row>
    <row r="1242">
      <c r="L1242" s="29" t="n"/>
      <c r="M1242" s="29" t="n"/>
      <c r="N1242" s="29" t="n"/>
      <c r="O1242" s="29" t="n"/>
      <c r="P1242" s="29" t="n"/>
      <c r="Q1242" s="29" t="n"/>
      <c r="R1242" s="29" t="n"/>
      <c r="S1242" s="29" t="n"/>
      <c r="T1242" s="29" t="n"/>
      <c r="U1242" s="29" t="n"/>
      <c r="V1242" s="29" t="n"/>
      <c r="W1242" s="29" t="n"/>
      <c r="X1242" s="29" t="n"/>
      <c r="Y1242" s="29" t="n"/>
      <c r="Z1242" s="29" t="n"/>
      <c r="AA1242" s="29" t="n"/>
      <c r="AB1242" s="29" t="n"/>
      <c r="AC1242" s="29" t="n"/>
      <c r="AD1242" s="29" t="n"/>
      <c r="AE1242" s="29" t="n"/>
      <c r="AF1242" s="29" t="n"/>
      <c r="AG1242" s="29" t="n"/>
      <c r="AH1242" s="29" t="n"/>
      <c r="AI1242" s="29" t="n"/>
    </row>
    <row r="1243">
      <c r="L1243" s="29" t="n"/>
      <c r="M1243" s="29" t="n"/>
      <c r="N1243" s="29" t="n"/>
      <c r="O1243" s="29" t="n"/>
      <c r="P1243" s="29" t="n"/>
      <c r="Q1243" s="29" t="n"/>
      <c r="R1243" s="29" t="n"/>
      <c r="S1243" s="29" t="n"/>
      <c r="T1243" s="29" t="n"/>
      <c r="U1243" s="29" t="n"/>
      <c r="V1243" s="29" t="n"/>
      <c r="W1243" s="29" t="n"/>
      <c r="X1243" s="29" t="n"/>
      <c r="Y1243" s="29" t="n"/>
      <c r="Z1243" s="29" t="n"/>
      <c r="AA1243" s="29" t="n"/>
      <c r="AB1243" s="29" t="n"/>
      <c r="AC1243" s="29" t="n"/>
      <c r="AD1243" s="29" t="n"/>
      <c r="AE1243" s="29" t="n"/>
      <c r="AF1243" s="29" t="n"/>
      <c r="AG1243" s="29" t="n"/>
      <c r="AH1243" s="29" t="n"/>
      <c r="AI1243" s="29" t="n"/>
    </row>
    <row r="1244">
      <c r="L1244" s="29" t="n"/>
      <c r="M1244" s="29" t="n"/>
      <c r="N1244" s="29" t="n"/>
      <c r="O1244" s="29" t="n"/>
      <c r="P1244" s="29" t="n"/>
      <c r="Q1244" s="29" t="n"/>
      <c r="R1244" s="29" t="n"/>
      <c r="S1244" s="29" t="n"/>
      <c r="T1244" s="29" t="n"/>
      <c r="U1244" s="29" t="n"/>
      <c r="V1244" s="29" t="n"/>
      <c r="W1244" s="29" t="n"/>
      <c r="X1244" s="29" t="n"/>
      <c r="Y1244" s="29" t="n"/>
      <c r="Z1244" s="29" t="n"/>
      <c r="AA1244" s="29" t="n"/>
      <c r="AB1244" s="29" t="n"/>
      <c r="AC1244" s="29" t="n"/>
      <c r="AD1244" s="29" t="n"/>
      <c r="AE1244" s="29" t="n"/>
      <c r="AF1244" s="29" t="n"/>
      <c r="AG1244" s="29" t="n"/>
      <c r="AH1244" s="29" t="n"/>
      <c r="AI1244" s="29" t="n"/>
    </row>
    <row r="1245">
      <c r="L1245" s="29" t="n"/>
      <c r="M1245" s="29" t="n"/>
      <c r="N1245" s="29" t="n"/>
      <c r="O1245" s="29" t="n"/>
      <c r="P1245" s="29" t="n"/>
      <c r="Q1245" s="29" t="n"/>
      <c r="R1245" s="29" t="n"/>
      <c r="S1245" s="29" t="n"/>
      <c r="T1245" s="29" t="n"/>
      <c r="U1245" s="29" t="n"/>
      <c r="V1245" s="29" t="n"/>
      <c r="W1245" s="29" t="n"/>
      <c r="X1245" s="29" t="n"/>
      <c r="Y1245" s="29" t="n"/>
      <c r="Z1245" s="29" t="n"/>
      <c r="AA1245" s="29" t="n"/>
      <c r="AB1245" s="29" t="n"/>
      <c r="AC1245" s="29" t="n"/>
      <c r="AD1245" s="29" t="n"/>
      <c r="AE1245" s="29" t="n"/>
      <c r="AF1245" s="29" t="n"/>
      <c r="AG1245" s="29" t="n"/>
      <c r="AH1245" s="29" t="n"/>
      <c r="AI1245" s="29" t="n"/>
    </row>
    <row r="1246">
      <c r="L1246" s="29" t="n"/>
      <c r="M1246" s="29" t="n"/>
      <c r="N1246" s="29" t="n"/>
      <c r="O1246" s="29" t="n"/>
      <c r="P1246" s="29" t="n"/>
      <c r="Q1246" s="29" t="n"/>
      <c r="R1246" s="29" t="n"/>
      <c r="S1246" s="29" t="n"/>
      <c r="T1246" s="29" t="n"/>
      <c r="U1246" s="29" t="n"/>
      <c r="V1246" s="29" t="n"/>
      <c r="W1246" s="29" t="n"/>
      <c r="X1246" s="29" t="n"/>
      <c r="Y1246" s="29" t="n"/>
      <c r="Z1246" s="29" t="n"/>
      <c r="AA1246" s="29" t="n"/>
      <c r="AB1246" s="29" t="n"/>
      <c r="AC1246" s="29" t="n"/>
      <c r="AD1246" s="29" t="n"/>
      <c r="AE1246" s="29" t="n"/>
      <c r="AF1246" s="29" t="n"/>
      <c r="AG1246" s="29" t="n"/>
      <c r="AH1246" s="29" t="n"/>
      <c r="AI1246" s="29" t="n"/>
    </row>
    <row r="1247">
      <c r="L1247" s="29" t="n"/>
      <c r="M1247" s="29" t="n"/>
      <c r="N1247" s="29" t="n"/>
      <c r="O1247" s="29" t="n"/>
      <c r="P1247" s="29" t="n"/>
      <c r="Q1247" s="29" t="n"/>
      <c r="R1247" s="29" t="n"/>
      <c r="S1247" s="29" t="n"/>
      <c r="T1247" s="29" t="n"/>
      <c r="U1247" s="29" t="n"/>
      <c r="V1247" s="29" t="n"/>
      <c r="W1247" s="29" t="n"/>
      <c r="X1247" s="29" t="n"/>
      <c r="Y1247" s="29" t="n"/>
      <c r="Z1247" s="29" t="n"/>
      <c r="AA1247" s="29" t="n"/>
      <c r="AB1247" s="29" t="n"/>
      <c r="AC1247" s="29" t="n"/>
      <c r="AD1247" s="29" t="n"/>
      <c r="AE1247" s="29" t="n"/>
      <c r="AF1247" s="29" t="n"/>
      <c r="AG1247" s="29" t="n"/>
      <c r="AH1247" s="29" t="n"/>
      <c r="AI1247" s="29" t="n"/>
    </row>
    <row r="1248">
      <c r="L1248" s="29" t="n"/>
      <c r="M1248" s="29" t="n"/>
      <c r="N1248" s="29" t="n"/>
      <c r="O1248" s="29" t="n"/>
      <c r="P1248" s="29" t="n"/>
      <c r="Q1248" s="29" t="n"/>
      <c r="R1248" s="29" t="n"/>
      <c r="S1248" s="29" t="n"/>
      <c r="T1248" s="29" t="n"/>
      <c r="U1248" s="29" t="n"/>
      <c r="V1248" s="29" t="n"/>
      <c r="W1248" s="29" t="n"/>
      <c r="X1248" s="29" t="n"/>
      <c r="Y1248" s="29" t="n"/>
      <c r="Z1248" s="29" t="n"/>
      <c r="AA1248" s="29" t="n"/>
      <c r="AB1248" s="29" t="n"/>
      <c r="AC1248" s="29" t="n"/>
      <c r="AD1248" s="29" t="n"/>
      <c r="AE1248" s="29" t="n"/>
      <c r="AF1248" s="29" t="n"/>
      <c r="AG1248" s="29" t="n"/>
      <c r="AH1248" s="29" t="n"/>
      <c r="AI1248" s="29" t="n"/>
    </row>
    <row r="1249">
      <c r="L1249" s="29" t="n"/>
      <c r="M1249" s="29" t="n"/>
      <c r="N1249" s="29" t="n"/>
      <c r="O1249" s="29" t="n"/>
      <c r="P1249" s="29" t="n"/>
      <c r="Q1249" s="29" t="n"/>
      <c r="R1249" s="29" t="n"/>
      <c r="S1249" s="29" t="n"/>
      <c r="T1249" s="29" t="n"/>
      <c r="U1249" s="29" t="n"/>
      <c r="V1249" s="29" t="n"/>
      <c r="W1249" s="29" t="n"/>
      <c r="X1249" s="29" t="n"/>
      <c r="Y1249" s="29" t="n"/>
      <c r="Z1249" s="29" t="n"/>
      <c r="AA1249" s="29" t="n"/>
      <c r="AB1249" s="29" t="n"/>
      <c r="AC1249" s="29" t="n"/>
      <c r="AD1249" s="29" t="n"/>
      <c r="AE1249" s="29" t="n"/>
      <c r="AF1249" s="29" t="n"/>
      <c r="AG1249" s="29" t="n"/>
      <c r="AH1249" s="29" t="n"/>
      <c r="AI1249" s="29" t="n"/>
    </row>
    <row r="1250">
      <c r="L1250" s="29" t="n"/>
      <c r="M1250" s="29" t="n"/>
      <c r="N1250" s="29" t="n"/>
      <c r="O1250" s="29" t="n"/>
      <c r="P1250" s="29" t="n"/>
      <c r="Q1250" s="29" t="n"/>
      <c r="R1250" s="29" t="n"/>
      <c r="S1250" s="29" t="n"/>
      <c r="T1250" s="29" t="n"/>
      <c r="U1250" s="29" t="n"/>
      <c r="V1250" s="29" t="n"/>
      <c r="W1250" s="29" t="n"/>
      <c r="X1250" s="29" t="n"/>
      <c r="Y1250" s="29" t="n"/>
      <c r="Z1250" s="29" t="n"/>
      <c r="AA1250" s="29" t="n"/>
      <c r="AB1250" s="29" t="n"/>
      <c r="AC1250" s="29" t="n"/>
      <c r="AD1250" s="29" t="n"/>
      <c r="AE1250" s="29" t="n"/>
      <c r="AF1250" s="29" t="n"/>
      <c r="AG1250" s="29" t="n"/>
      <c r="AH1250" s="29" t="n"/>
      <c r="AI1250" s="29" t="n"/>
    </row>
    <row r="1251">
      <c r="L1251" s="29" t="n"/>
      <c r="M1251" s="29" t="n"/>
      <c r="N1251" s="29" t="n"/>
      <c r="O1251" s="29" t="n"/>
      <c r="P1251" s="29" t="n"/>
      <c r="Q1251" s="29" t="n"/>
      <c r="R1251" s="29" t="n"/>
      <c r="S1251" s="29" t="n"/>
      <c r="T1251" s="29" t="n"/>
      <c r="U1251" s="29" t="n"/>
      <c r="V1251" s="29" t="n"/>
      <c r="W1251" s="29" t="n"/>
      <c r="X1251" s="29" t="n"/>
      <c r="Y1251" s="29" t="n"/>
      <c r="Z1251" s="29" t="n"/>
      <c r="AA1251" s="29" t="n"/>
      <c r="AB1251" s="29" t="n"/>
      <c r="AC1251" s="29" t="n"/>
      <c r="AD1251" s="29" t="n"/>
      <c r="AE1251" s="29" t="n"/>
      <c r="AF1251" s="29" t="n"/>
      <c r="AG1251" s="29" t="n"/>
      <c r="AH1251" s="29" t="n"/>
      <c r="AI1251" s="29" t="n"/>
    </row>
    <row r="1252">
      <c r="L1252" s="29" t="n"/>
      <c r="M1252" s="29" t="n"/>
      <c r="N1252" s="29" t="n"/>
      <c r="O1252" s="29" t="n"/>
      <c r="P1252" s="29" t="n"/>
      <c r="Q1252" s="29" t="n"/>
      <c r="R1252" s="29" t="n"/>
      <c r="S1252" s="29" t="n"/>
      <c r="T1252" s="29" t="n"/>
      <c r="U1252" s="29" t="n"/>
      <c r="V1252" s="29" t="n"/>
      <c r="W1252" s="29" t="n"/>
      <c r="X1252" s="29" t="n"/>
      <c r="Y1252" s="29" t="n"/>
      <c r="Z1252" s="29" t="n"/>
      <c r="AA1252" s="29" t="n"/>
      <c r="AB1252" s="29" t="n"/>
      <c r="AC1252" s="29" t="n"/>
      <c r="AD1252" s="29" t="n"/>
      <c r="AE1252" s="29" t="n"/>
      <c r="AF1252" s="29" t="n"/>
      <c r="AG1252" s="29" t="n"/>
      <c r="AH1252" s="29" t="n"/>
      <c r="AI1252" s="29" t="n"/>
    </row>
    <row r="1253">
      <c r="L1253" s="29" t="n"/>
      <c r="M1253" s="29" t="n"/>
      <c r="N1253" s="29" t="n"/>
      <c r="O1253" s="29" t="n"/>
      <c r="P1253" s="29" t="n"/>
      <c r="Q1253" s="29" t="n"/>
      <c r="R1253" s="29" t="n"/>
      <c r="S1253" s="29" t="n"/>
      <c r="T1253" s="29" t="n"/>
      <c r="U1253" s="29" t="n"/>
      <c r="V1253" s="29" t="n"/>
      <c r="W1253" s="29" t="n"/>
      <c r="X1253" s="29" t="n"/>
      <c r="Y1253" s="29" t="n"/>
      <c r="Z1253" s="29" t="n"/>
      <c r="AA1253" s="29" t="n"/>
      <c r="AB1253" s="29" t="n"/>
      <c r="AC1253" s="29" t="n"/>
      <c r="AD1253" s="29" t="n"/>
      <c r="AE1253" s="29" t="n"/>
      <c r="AF1253" s="29" t="n"/>
      <c r="AG1253" s="29" t="n"/>
      <c r="AH1253" s="29" t="n"/>
      <c r="AI1253" s="29" t="n"/>
    </row>
    <row r="1254">
      <c r="L1254" s="29" t="n"/>
      <c r="M1254" s="29" t="n"/>
      <c r="N1254" s="29" t="n"/>
      <c r="O1254" s="29" t="n"/>
      <c r="P1254" s="29" t="n"/>
      <c r="Q1254" s="29" t="n"/>
      <c r="R1254" s="29" t="n"/>
      <c r="S1254" s="29" t="n"/>
      <c r="T1254" s="29" t="n"/>
      <c r="U1254" s="29" t="n"/>
      <c r="V1254" s="29" t="n"/>
      <c r="W1254" s="29" t="n"/>
      <c r="X1254" s="29" t="n"/>
      <c r="Y1254" s="29" t="n"/>
      <c r="Z1254" s="29" t="n"/>
      <c r="AA1254" s="29" t="n"/>
      <c r="AB1254" s="29" t="n"/>
      <c r="AC1254" s="29" t="n"/>
      <c r="AD1254" s="29" t="n"/>
      <c r="AE1254" s="29" t="n"/>
      <c r="AF1254" s="29" t="n"/>
      <c r="AG1254" s="29" t="n"/>
      <c r="AH1254" s="29" t="n"/>
      <c r="AI1254" s="29" t="n"/>
    </row>
    <row r="1255">
      <c r="L1255" s="29" t="n"/>
      <c r="M1255" s="29" t="n"/>
      <c r="N1255" s="29" t="n"/>
      <c r="O1255" s="29" t="n"/>
      <c r="P1255" s="29" t="n"/>
      <c r="Q1255" s="29" t="n"/>
      <c r="R1255" s="29" t="n"/>
      <c r="S1255" s="29" t="n"/>
      <c r="T1255" s="29" t="n"/>
      <c r="U1255" s="29" t="n"/>
      <c r="V1255" s="29" t="n"/>
      <c r="W1255" s="29" t="n"/>
      <c r="X1255" s="29" t="n"/>
      <c r="Y1255" s="29" t="n"/>
      <c r="Z1255" s="29" t="n"/>
      <c r="AA1255" s="29" t="n"/>
      <c r="AB1255" s="29" t="n"/>
      <c r="AC1255" s="29" t="n"/>
      <c r="AD1255" s="29" t="n"/>
      <c r="AE1255" s="29" t="n"/>
      <c r="AF1255" s="29" t="n"/>
      <c r="AG1255" s="29" t="n"/>
      <c r="AH1255" s="29" t="n"/>
      <c r="AI1255" s="29" t="n"/>
    </row>
    <row r="1256">
      <c r="L1256" s="29" t="n"/>
      <c r="M1256" s="29" t="n"/>
      <c r="N1256" s="29" t="n"/>
      <c r="O1256" s="29" t="n"/>
      <c r="P1256" s="29" t="n"/>
      <c r="Q1256" s="29" t="n"/>
      <c r="R1256" s="29" t="n"/>
      <c r="S1256" s="29" t="n"/>
      <c r="T1256" s="29" t="n"/>
      <c r="U1256" s="29" t="n"/>
      <c r="V1256" s="29" t="n"/>
      <c r="W1256" s="29" t="n"/>
      <c r="X1256" s="29" t="n"/>
      <c r="Y1256" s="29" t="n"/>
      <c r="Z1256" s="29" t="n"/>
      <c r="AA1256" s="29" t="n"/>
      <c r="AB1256" s="29" t="n"/>
      <c r="AC1256" s="29" t="n"/>
      <c r="AD1256" s="29" t="n"/>
      <c r="AE1256" s="29" t="n"/>
      <c r="AF1256" s="29" t="n"/>
      <c r="AG1256" s="29" t="n"/>
      <c r="AH1256" s="29" t="n"/>
      <c r="AI1256" s="29" t="n"/>
    </row>
    <row r="1257">
      <c r="L1257" s="29" t="n"/>
      <c r="M1257" s="29" t="n"/>
      <c r="N1257" s="29" t="n"/>
      <c r="O1257" s="29" t="n"/>
      <c r="P1257" s="29" t="n"/>
      <c r="Q1257" s="29" t="n"/>
      <c r="R1257" s="29" t="n"/>
      <c r="S1257" s="29" t="n"/>
      <c r="T1257" s="29" t="n"/>
      <c r="U1257" s="29" t="n"/>
      <c r="V1257" s="29" t="n"/>
      <c r="W1257" s="29" t="n"/>
      <c r="X1257" s="29" t="n"/>
      <c r="Y1257" s="29" t="n"/>
      <c r="Z1257" s="29" t="n"/>
      <c r="AA1257" s="29" t="n"/>
      <c r="AB1257" s="29" t="n"/>
      <c r="AC1257" s="29" t="n"/>
      <c r="AD1257" s="29" t="n"/>
      <c r="AE1257" s="29" t="n"/>
      <c r="AF1257" s="29" t="n"/>
      <c r="AG1257" s="29" t="n"/>
      <c r="AH1257" s="29" t="n"/>
      <c r="AI1257" s="29" t="n"/>
    </row>
    <row r="1258">
      <c r="L1258" s="29" t="n"/>
      <c r="M1258" s="29" t="n"/>
      <c r="N1258" s="29" t="n"/>
      <c r="O1258" s="29" t="n"/>
      <c r="P1258" s="29" t="n"/>
      <c r="Q1258" s="29" t="n"/>
      <c r="R1258" s="29" t="n"/>
      <c r="S1258" s="29" t="n"/>
      <c r="T1258" s="29" t="n"/>
      <c r="U1258" s="29" t="n"/>
      <c r="V1258" s="29" t="n"/>
      <c r="W1258" s="29" t="n"/>
      <c r="X1258" s="29" t="n"/>
      <c r="Y1258" s="29" t="n"/>
      <c r="Z1258" s="29" t="n"/>
      <c r="AA1258" s="29" t="n"/>
      <c r="AB1258" s="29" t="n"/>
      <c r="AC1258" s="29" t="n"/>
      <c r="AD1258" s="29" t="n"/>
      <c r="AE1258" s="29" t="n"/>
      <c r="AF1258" s="29" t="n"/>
      <c r="AG1258" s="29" t="n"/>
      <c r="AH1258" s="29" t="n"/>
      <c r="AI1258" s="29" t="n"/>
    </row>
    <row r="1259">
      <c r="L1259" s="29" t="n"/>
      <c r="M1259" s="29" t="n"/>
      <c r="N1259" s="29" t="n"/>
      <c r="O1259" s="29" t="n"/>
      <c r="P1259" s="29" t="n"/>
      <c r="Q1259" s="29" t="n"/>
      <c r="R1259" s="29" t="n"/>
      <c r="S1259" s="29" t="n"/>
      <c r="T1259" s="29" t="n"/>
      <c r="U1259" s="29" t="n"/>
      <c r="V1259" s="29" t="n"/>
      <c r="W1259" s="29" t="n"/>
      <c r="X1259" s="29" t="n"/>
      <c r="Y1259" s="29" t="n"/>
      <c r="Z1259" s="29" t="n"/>
      <c r="AA1259" s="29" t="n"/>
      <c r="AB1259" s="29" t="n"/>
      <c r="AC1259" s="29" t="n"/>
      <c r="AD1259" s="29" t="n"/>
      <c r="AE1259" s="29" t="n"/>
      <c r="AF1259" s="29" t="n"/>
      <c r="AG1259" s="29" t="n"/>
      <c r="AH1259" s="29" t="n"/>
      <c r="AI1259" s="29" t="n"/>
    </row>
    <row r="1260">
      <c r="L1260" s="29" t="n"/>
      <c r="M1260" s="29" t="n"/>
      <c r="N1260" s="29" t="n"/>
      <c r="O1260" s="29" t="n"/>
      <c r="P1260" s="29" t="n"/>
      <c r="Q1260" s="29" t="n"/>
      <c r="R1260" s="29" t="n"/>
      <c r="S1260" s="29" t="n"/>
      <c r="T1260" s="29" t="n"/>
      <c r="U1260" s="29" t="n"/>
      <c r="V1260" s="29" t="n"/>
      <c r="W1260" s="29" t="n"/>
      <c r="X1260" s="29" t="n"/>
      <c r="Y1260" s="29" t="n"/>
      <c r="Z1260" s="29" t="n"/>
      <c r="AA1260" s="29" t="n"/>
      <c r="AB1260" s="29" t="n"/>
      <c r="AC1260" s="29" t="n"/>
      <c r="AD1260" s="29" t="n"/>
      <c r="AE1260" s="29" t="n"/>
      <c r="AF1260" s="29" t="n"/>
      <c r="AG1260" s="29" t="n"/>
      <c r="AH1260" s="29" t="n"/>
      <c r="AI1260" s="29" t="n"/>
    </row>
    <row r="1261">
      <c r="L1261" s="29" t="n"/>
      <c r="M1261" s="29" t="n"/>
      <c r="N1261" s="29" t="n"/>
      <c r="O1261" s="29" t="n"/>
      <c r="P1261" s="29" t="n"/>
      <c r="Q1261" s="29" t="n"/>
      <c r="R1261" s="29" t="n"/>
      <c r="S1261" s="29" t="n"/>
      <c r="T1261" s="29" t="n"/>
      <c r="U1261" s="29" t="n"/>
      <c r="V1261" s="29" t="n"/>
      <c r="W1261" s="29" t="n"/>
      <c r="X1261" s="29" t="n"/>
      <c r="Y1261" s="29" t="n"/>
      <c r="Z1261" s="29" t="n"/>
      <c r="AA1261" s="29" t="n"/>
      <c r="AB1261" s="29" t="n"/>
      <c r="AC1261" s="29" t="n"/>
      <c r="AD1261" s="29" t="n"/>
      <c r="AE1261" s="29" t="n"/>
      <c r="AF1261" s="29" t="n"/>
      <c r="AG1261" s="29" t="n"/>
      <c r="AH1261" s="29" t="n"/>
      <c r="AI1261" s="29" t="n"/>
    </row>
    <row r="1262">
      <c r="L1262" s="29" t="n"/>
      <c r="M1262" s="29" t="n"/>
      <c r="N1262" s="29" t="n"/>
      <c r="O1262" s="29" t="n"/>
      <c r="P1262" s="29" t="n"/>
      <c r="Q1262" s="29" t="n"/>
      <c r="R1262" s="29" t="n"/>
      <c r="S1262" s="29" t="n"/>
      <c r="T1262" s="29" t="n"/>
      <c r="U1262" s="29" t="n"/>
      <c r="V1262" s="29" t="n"/>
      <c r="W1262" s="29" t="n"/>
      <c r="X1262" s="29" t="n"/>
      <c r="Y1262" s="29" t="n"/>
      <c r="Z1262" s="29" t="n"/>
      <c r="AA1262" s="29" t="n"/>
      <c r="AB1262" s="29" t="n"/>
      <c r="AC1262" s="29" t="n"/>
      <c r="AD1262" s="29" t="n"/>
      <c r="AE1262" s="29" t="n"/>
      <c r="AF1262" s="29" t="n"/>
      <c r="AG1262" s="29" t="n"/>
      <c r="AH1262" s="29" t="n"/>
      <c r="AI1262" s="29" t="n"/>
    </row>
    <row r="1263">
      <c r="L1263" s="29" t="n"/>
      <c r="M1263" s="29" t="n"/>
      <c r="N1263" s="29" t="n"/>
      <c r="O1263" s="29" t="n"/>
      <c r="P1263" s="29" t="n"/>
      <c r="Q1263" s="29" t="n"/>
      <c r="R1263" s="29" t="n"/>
      <c r="S1263" s="29" t="n"/>
      <c r="T1263" s="29" t="n"/>
      <c r="U1263" s="29" t="n"/>
      <c r="V1263" s="29" t="n"/>
      <c r="W1263" s="29" t="n"/>
      <c r="X1263" s="29" t="n"/>
      <c r="Y1263" s="29" t="n"/>
      <c r="Z1263" s="29" t="n"/>
      <c r="AA1263" s="29" t="n"/>
      <c r="AB1263" s="29" t="n"/>
      <c r="AC1263" s="29" t="n"/>
      <c r="AD1263" s="29" t="n"/>
      <c r="AE1263" s="29" t="n"/>
      <c r="AF1263" s="29" t="n"/>
      <c r="AG1263" s="29" t="n"/>
      <c r="AH1263" s="29" t="n"/>
      <c r="AI1263" s="29" t="n"/>
    </row>
    <row r="1264">
      <c r="L1264" s="29" t="n"/>
      <c r="M1264" s="29" t="n"/>
      <c r="N1264" s="29" t="n"/>
      <c r="O1264" s="29" t="n"/>
      <c r="P1264" s="29" t="n"/>
      <c r="Q1264" s="29" t="n"/>
      <c r="R1264" s="29" t="n"/>
      <c r="S1264" s="29" t="n"/>
      <c r="T1264" s="29" t="n"/>
      <c r="U1264" s="29" t="n"/>
      <c r="V1264" s="29" t="n"/>
      <c r="W1264" s="29" t="n"/>
      <c r="X1264" s="29" t="n"/>
      <c r="Y1264" s="29" t="n"/>
      <c r="Z1264" s="29" t="n"/>
      <c r="AA1264" s="29" t="n"/>
      <c r="AB1264" s="29" t="n"/>
      <c r="AC1264" s="29" t="n"/>
      <c r="AD1264" s="29" t="n"/>
      <c r="AE1264" s="29" t="n"/>
      <c r="AF1264" s="29" t="n"/>
      <c r="AG1264" s="29" t="n"/>
      <c r="AH1264" s="29" t="n"/>
      <c r="AI1264" s="29" t="n"/>
    </row>
    <row r="1265">
      <c r="L1265" s="29" t="n"/>
      <c r="M1265" s="29" t="n"/>
      <c r="N1265" s="29" t="n"/>
      <c r="O1265" s="29" t="n"/>
      <c r="P1265" s="29" t="n"/>
      <c r="Q1265" s="29" t="n"/>
      <c r="R1265" s="29" t="n"/>
      <c r="S1265" s="29" t="n"/>
      <c r="T1265" s="29" t="n"/>
      <c r="U1265" s="29" t="n"/>
      <c r="V1265" s="29" t="n"/>
      <c r="W1265" s="29" t="n"/>
      <c r="X1265" s="29" t="n"/>
      <c r="Y1265" s="29" t="n"/>
      <c r="Z1265" s="29" t="n"/>
      <c r="AA1265" s="29" t="n"/>
      <c r="AB1265" s="29" t="n"/>
      <c r="AC1265" s="29" t="n"/>
      <c r="AD1265" s="29" t="n"/>
      <c r="AE1265" s="29" t="n"/>
      <c r="AF1265" s="29" t="n"/>
      <c r="AG1265" s="29" t="n"/>
      <c r="AH1265" s="29" t="n"/>
      <c r="AI1265" s="29" t="n"/>
    </row>
    <row r="1266">
      <c r="L1266" s="29" t="n"/>
      <c r="M1266" s="29" t="n"/>
      <c r="N1266" s="29" t="n"/>
      <c r="O1266" s="29" t="n"/>
      <c r="P1266" s="29" t="n"/>
      <c r="Q1266" s="29" t="n"/>
      <c r="R1266" s="29" t="n"/>
      <c r="S1266" s="29" t="n"/>
      <c r="T1266" s="29" t="n"/>
      <c r="U1266" s="29" t="n"/>
      <c r="V1266" s="29" t="n"/>
      <c r="W1266" s="29" t="n"/>
      <c r="X1266" s="29" t="n"/>
      <c r="Y1266" s="29" t="n"/>
      <c r="Z1266" s="29" t="n"/>
      <c r="AA1266" s="29" t="n"/>
      <c r="AB1266" s="29" t="n"/>
      <c r="AC1266" s="29" t="n"/>
      <c r="AD1266" s="29" t="n"/>
      <c r="AE1266" s="29" t="n"/>
      <c r="AF1266" s="29" t="n"/>
      <c r="AG1266" s="29" t="n"/>
      <c r="AH1266" s="29" t="n"/>
      <c r="AI1266" s="29" t="n"/>
    </row>
    <row r="1267">
      <c r="L1267" s="29" t="n"/>
      <c r="M1267" s="29" t="n"/>
      <c r="N1267" s="29" t="n"/>
      <c r="O1267" s="29" t="n"/>
      <c r="P1267" s="29" t="n"/>
      <c r="Q1267" s="29" t="n"/>
      <c r="R1267" s="29" t="n"/>
      <c r="S1267" s="29" t="n"/>
      <c r="T1267" s="29" t="n"/>
      <c r="U1267" s="29" t="n"/>
      <c r="V1267" s="29" t="n"/>
      <c r="W1267" s="29" t="n"/>
      <c r="X1267" s="29" t="n"/>
      <c r="Y1267" s="29" t="n"/>
      <c r="Z1267" s="29" t="n"/>
      <c r="AA1267" s="29" t="n"/>
      <c r="AB1267" s="29" t="n"/>
      <c r="AC1267" s="29" t="n"/>
      <c r="AD1267" s="29" t="n"/>
      <c r="AE1267" s="29" t="n"/>
      <c r="AF1267" s="29" t="n"/>
      <c r="AG1267" s="29" t="n"/>
      <c r="AH1267" s="29" t="n"/>
      <c r="AI1267" s="29" t="n"/>
    </row>
    <row r="1268">
      <c r="L1268" s="29" t="n"/>
      <c r="M1268" s="29" t="n"/>
      <c r="N1268" s="29" t="n"/>
      <c r="O1268" s="29" t="n"/>
      <c r="P1268" s="29" t="n"/>
      <c r="Q1268" s="29" t="n"/>
      <c r="R1268" s="29" t="n"/>
      <c r="S1268" s="29" t="n"/>
      <c r="T1268" s="29" t="n"/>
      <c r="U1268" s="29" t="n"/>
      <c r="V1268" s="29" t="n"/>
      <c r="W1268" s="29" t="n"/>
      <c r="X1268" s="29" t="n"/>
      <c r="Y1268" s="29" t="n"/>
      <c r="Z1268" s="29" t="n"/>
      <c r="AA1268" s="29" t="n"/>
      <c r="AB1268" s="29" t="n"/>
      <c r="AC1268" s="29" t="n"/>
      <c r="AD1268" s="29" t="n"/>
      <c r="AE1268" s="29" t="n"/>
      <c r="AF1268" s="29" t="n"/>
      <c r="AG1268" s="29" t="n"/>
      <c r="AH1268" s="29" t="n"/>
      <c r="AI1268" s="29" t="n"/>
    </row>
    <row r="1269">
      <c r="L1269" s="29" t="n"/>
      <c r="M1269" s="29" t="n"/>
      <c r="N1269" s="29" t="n"/>
      <c r="O1269" s="29" t="n"/>
      <c r="P1269" s="29" t="n"/>
      <c r="Q1269" s="29" t="n"/>
      <c r="R1269" s="29" t="n"/>
      <c r="S1269" s="29" t="n"/>
      <c r="T1269" s="29" t="n"/>
      <c r="U1269" s="29" t="n"/>
      <c r="V1269" s="29" t="n"/>
      <c r="W1269" s="29" t="n"/>
      <c r="X1269" s="29" t="n"/>
      <c r="Y1269" s="29" t="n"/>
      <c r="Z1269" s="29" t="n"/>
      <c r="AA1269" s="29" t="n"/>
      <c r="AB1269" s="29" t="n"/>
      <c r="AC1269" s="29" t="n"/>
      <c r="AD1269" s="29" t="n"/>
      <c r="AE1269" s="29" t="n"/>
      <c r="AF1269" s="29" t="n"/>
      <c r="AG1269" s="29" t="n"/>
      <c r="AH1269" s="29" t="n"/>
      <c r="AI1269" s="29" t="n"/>
    </row>
    <row r="1270">
      <c r="L1270" s="29" t="n"/>
      <c r="M1270" s="29" t="n"/>
      <c r="N1270" s="29" t="n"/>
      <c r="O1270" s="29" t="n"/>
      <c r="P1270" s="29" t="n"/>
      <c r="Q1270" s="29" t="n"/>
      <c r="R1270" s="29" t="n"/>
      <c r="S1270" s="29" t="n"/>
      <c r="T1270" s="29" t="n"/>
      <c r="U1270" s="29" t="n"/>
      <c r="V1270" s="29" t="n"/>
      <c r="W1270" s="29" t="n"/>
      <c r="X1270" s="29" t="n"/>
      <c r="Y1270" s="29" t="n"/>
      <c r="Z1270" s="29" t="n"/>
      <c r="AA1270" s="29" t="n"/>
      <c r="AB1270" s="29" t="n"/>
      <c r="AC1270" s="29" t="n"/>
      <c r="AD1270" s="29" t="n"/>
      <c r="AE1270" s="29" t="n"/>
      <c r="AF1270" s="29" t="n"/>
      <c r="AG1270" s="29" t="n"/>
      <c r="AH1270" s="29" t="n"/>
      <c r="AI1270" s="29" t="n"/>
    </row>
    <row r="1271">
      <c r="L1271" s="29" t="n"/>
      <c r="M1271" s="29" t="n"/>
      <c r="N1271" s="29" t="n"/>
      <c r="O1271" s="29" t="n"/>
      <c r="P1271" s="29" t="n"/>
      <c r="Q1271" s="29" t="n"/>
      <c r="R1271" s="29" t="n"/>
      <c r="S1271" s="29" t="n"/>
      <c r="T1271" s="29" t="n"/>
      <c r="U1271" s="29" t="n"/>
      <c r="V1271" s="29" t="n"/>
      <c r="W1271" s="29" t="n"/>
      <c r="X1271" s="29" t="n"/>
      <c r="Y1271" s="29" t="n"/>
      <c r="Z1271" s="29" t="n"/>
      <c r="AA1271" s="29" t="n"/>
      <c r="AB1271" s="29" t="n"/>
      <c r="AC1271" s="29" t="n"/>
      <c r="AD1271" s="29" t="n"/>
      <c r="AE1271" s="29" t="n"/>
      <c r="AF1271" s="29" t="n"/>
      <c r="AG1271" s="29" t="n"/>
      <c r="AH1271" s="29" t="n"/>
      <c r="AI1271" s="29" t="n"/>
    </row>
    <row r="1272">
      <c r="L1272" s="29" t="n"/>
      <c r="M1272" s="29" t="n"/>
      <c r="N1272" s="29" t="n"/>
      <c r="O1272" s="29" t="n"/>
      <c r="P1272" s="29" t="n"/>
      <c r="Q1272" s="29" t="n"/>
      <c r="R1272" s="29" t="n"/>
      <c r="S1272" s="29" t="n"/>
      <c r="T1272" s="29" t="n"/>
      <c r="U1272" s="29" t="n"/>
      <c r="V1272" s="29" t="n"/>
      <c r="W1272" s="29" t="n"/>
      <c r="X1272" s="29" t="n"/>
      <c r="Y1272" s="29" t="n"/>
      <c r="Z1272" s="29" t="n"/>
      <c r="AA1272" s="29" t="n"/>
      <c r="AB1272" s="29" t="n"/>
      <c r="AC1272" s="29" t="n"/>
      <c r="AD1272" s="29" t="n"/>
      <c r="AE1272" s="29" t="n"/>
      <c r="AF1272" s="29" t="n"/>
      <c r="AG1272" s="29" t="n"/>
      <c r="AH1272" s="29" t="n"/>
      <c r="AI1272" s="29" t="n"/>
    </row>
    <row r="1273">
      <c r="L1273" s="29" t="n"/>
      <c r="M1273" s="29" t="n"/>
      <c r="N1273" s="29" t="n"/>
      <c r="O1273" s="29" t="n"/>
      <c r="P1273" s="29" t="n"/>
      <c r="Q1273" s="29" t="n"/>
      <c r="R1273" s="29" t="n"/>
      <c r="S1273" s="29" t="n"/>
      <c r="T1273" s="29" t="n"/>
      <c r="U1273" s="29" t="n"/>
      <c r="V1273" s="29" t="n"/>
      <c r="W1273" s="29" t="n"/>
      <c r="X1273" s="29" t="n"/>
      <c r="Y1273" s="29" t="n"/>
      <c r="Z1273" s="29" t="n"/>
      <c r="AA1273" s="29" t="n"/>
      <c r="AB1273" s="29" t="n"/>
      <c r="AC1273" s="29" t="n"/>
      <c r="AD1273" s="29" t="n"/>
      <c r="AE1273" s="29" t="n"/>
      <c r="AF1273" s="29" t="n"/>
      <c r="AG1273" s="29" t="n"/>
      <c r="AH1273" s="29" t="n"/>
      <c r="AI1273" s="29" t="n"/>
    </row>
    <row r="1274">
      <c r="L1274" s="29" t="n"/>
      <c r="M1274" s="29" t="n"/>
      <c r="N1274" s="29" t="n"/>
      <c r="O1274" s="29" t="n"/>
      <c r="P1274" s="29" t="n"/>
      <c r="Q1274" s="29" t="n"/>
      <c r="R1274" s="29" t="n"/>
      <c r="S1274" s="29" t="n"/>
      <c r="T1274" s="29" t="n"/>
      <c r="U1274" s="29" t="n"/>
      <c r="V1274" s="29" t="n"/>
      <c r="W1274" s="29" t="n"/>
      <c r="X1274" s="29" t="n"/>
      <c r="Y1274" s="29" t="n"/>
      <c r="Z1274" s="29" t="n"/>
      <c r="AA1274" s="29" t="n"/>
      <c r="AB1274" s="29" t="n"/>
      <c r="AC1274" s="29" t="n"/>
      <c r="AD1274" s="29" t="n"/>
      <c r="AE1274" s="29" t="n"/>
      <c r="AF1274" s="29" t="n"/>
      <c r="AG1274" s="29" t="n"/>
      <c r="AH1274" s="29" t="n"/>
      <c r="AI1274" s="29" t="n"/>
    </row>
    <row r="1275">
      <c r="L1275" s="29" t="n"/>
      <c r="M1275" s="29" t="n"/>
      <c r="N1275" s="29" t="n"/>
      <c r="O1275" s="29" t="n"/>
      <c r="P1275" s="29" t="n"/>
      <c r="Q1275" s="29" t="n"/>
      <c r="R1275" s="29" t="n"/>
      <c r="S1275" s="29" t="n"/>
      <c r="T1275" s="29" t="n"/>
      <c r="U1275" s="29" t="n"/>
      <c r="V1275" s="29" t="n"/>
      <c r="W1275" s="29" t="n"/>
      <c r="X1275" s="29" t="n"/>
      <c r="Y1275" s="29" t="n"/>
      <c r="Z1275" s="29" t="n"/>
      <c r="AA1275" s="29" t="n"/>
      <c r="AB1275" s="29" t="n"/>
      <c r="AC1275" s="29" t="n"/>
      <c r="AD1275" s="29" t="n"/>
      <c r="AE1275" s="29" t="n"/>
      <c r="AF1275" s="29" t="n"/>
      <c r="AG1275" s="29" t="n"/>
      <c r="AH1275" s="29" t="n"/>
      <c r="AI1275" s="29" t="n"/>
    </row>
    <row r="1276">
      <c r="L1276" s="29" t="n"/>
      <c r="M1276" s="29" t="n"/>
      <c r="N1276" s="29" t="n"/>
      <c r="O1276" s="29" t="n"/>
      <c r="P1276" s="29" t="n"/>
      <c r="Q1276" s="29" t="n"/>
      <c r="R1276" s="29" t="n"/>
      <c r="S1276" s="29" t="n"/>
      <c r="T1276" s="29" t="n"/>
      <c r="U1276" s="29" t="n"/>
      <c r="V1276" s="29" t="n"/>
      <c r="W1276" s="29" t="n"/>
      <c r="X1276" s="29" t="n"/>
      <c r="Y1276" s="29" t="n"/>
      <c r="Z1276" s="29" t="n"/>
      <c r="AA1276" s="29" t="n"/>
      <c r="AB1276" s="29" t="n"/>
      <c r="AC1276" s="29" t="n"/>
      <c r="AD1276" s="29" t="n"/>
      <c r="AE1276" s="29" t="n"/>
      <c r="AF1276" s="29" t="n"/>
      <c r="AG1276" s="29" t="n"/>
      <c r="AH1276" s="29" t="n"/>
      <c r="AI1276" s="29" t="n"/>
    </row>
    <row r="1277">
      <c r="L1277" s="29" t="n"/>
      <c r="M1277" s="29" t="n"/>
      <c r="N1277" s="29" t="n"/>
      <c r="O1277" s="29" t="n"/>
      <c r="P1277" s="29" t="n"/>
      <c r="Q1277" s="29" t="n"/>
      <c r="R1277" s="29" t="n"/>
      <c r="S1277" s="29" t="n"/>
      <c r="T1277" s="29" t="n"/>
      <c r="U1277" s="29" t="n"/>
      <c r="V1277" s="29" t="n"/>
      <c r="W1277" s="29" t="n"/>
      <c r="X1277" s="29" t="n"/>
      <c r="Y1277" s="29" t="n"/>
      <c r="Z1277" s="29" t="n"/>
      <c r="AA1277" s="29" t="n"/>
      <c r="AB1277" s="29" t="n"/>
      <c r="AC1277" s="29" t="n"/>
      <c r="AD1277" s="29" t="n"/>
      <c r="AE1277" s="29" t="n"/>
      <c r="AF1277" s="29" t="n"/>
      <c r="AG1277" s="29" t="n"/>
      <c r="AH1277" s="29" t="n"/>
      <c r="AI1277" s="29" t="n"/>
    </row>
    <row r="1278">
      <c r="L1278" s="29" t="n"/>
      <c r="M1278" s="29" t="n"/>
      <c r="N1278" s="29" t="n"/>
      <c r="O1278" s="29" t="n"/>
      <c r="P1278" s="29" t="n"/>
      <c r="Q1278" s="29" t="n"/>
      <c r="R1278" s="29" t="n"/>
      <c r="S1278" s="29" t="n"/>
      <c r="T1278" s="29" t="n"/>
      <c r="U1278" s="29" t="n"/>
      <c r="V1278" s="29" t="n"/>
      <c r="W1278" s="29" t="n"/>
      <c r="X1278" s="29" t="n"/>
      <c r="Y1278" s="29" t="n"/>
      <c r="Z1278" s="29" t="n"/>
      <c r="AA1278" s="29" t="n"/>
      <c r="AB1278" s="29" t="n"/>
      <c r="AC1278" s="29" t="n"/>
      <c r="AD1278" s="29" t="n"/>
      <c r="AE1278" s="29" t="n"/>
      <c r="AF1278" s="29" t="n"/>
      <c r="AG1278" s="29" t="n"/>
      <c r="AH1278" s="29" t="n"/>
      <c r="AI1278" s="29" t="n"/>
    </row>
    <row r="1279">
      <c r="L1279" s="29" t="n"/>
      <c r="M1279" s="29" t="n"/>
      <c r="N1279" s="29" t="n"/>
      <c r="O1279" s="29" t="n"/>
      <c r="P1279" s="29" t="n"/>
      <c r="Q1279" s="29" t="n"/>
      <c r="R1279" s="29" t="n"/>
      <c r="S1279" s="29" t="n"/>
      <c r="T1279" s="29" t="n"/>
      <c r="U1279" s="29" t="n"/>
      <c r="V1279" s="29" t="n"/>
      <c r="W1279" s="29" t="n"/>
      <c r="X1279" s="29" t="n"/>
      <c r="Y1279" s="29" t="n"/>
      <c r="Z1279" s="29" t="n"/>
      <c r="AA1279" s="29" t="n"/>
      <c r="AB1279" s="29" t="n"/>
      <c r="AC1279" s="29" t="n"/>
      <c r="AD1279" s="29" t="n"/>
      <c r="AE1279" s="29" t="n"/>
      <c r="AF1279" s="29" t="n"/>
      <c r="AG1279" s="29" t="n"/>
      <c r="AH1279" s="29" t="n"/>
      <c r="AI1279" s="29" t="n"/>
    </row>
    <row r="1280">
      <c r="L1280" s="29" t="n"/>
      <c r="M1280" s="29" t="n"/>
      <c r="N1280" s="29" t="n"/>
      <c r="O1280" s="29" t="n"/>
      <c r="P1280" s="29" t="n"/>
      <c r="Q1280" s="29" t="n"/>
      <c r="R1280" s="29" t="n"/>
      <c r="S1280" s="29" t="n"/>
      <c r="T1280" s="29" t="n"/>
      <c r="U1280" s="29" t="n"/>
      <c r="V1280" s="29" t="n"/>
      <c r="W1280" s="29" t="n"/>
      <c r="X1280" s="29" t="n"/>
      <c r="Y1280" s="29" t="n"/>
      <c r="Z1280" s="29" t="n"/>
      <c r="AA1280" s="29" t="n"/>
      <c r="AB1280" s="29" t="n"/>
      <c r="AC1280" s="29" t="n"/>
      <c r="AD1280" s="29" t="n"/>
      <c r="AE1280" s="29" t="n"/>
      <c r="AF1280" s="29" t="n"/>
      <c r="AG1280" s="29" t="n"/>
      <c r="AH1280" s="29" t="n"/>
      <c r="AI1280" s="29" t="n"/>
    </row>
    <row r="1281">
      <c r="L1281" s="29" t="n"/>
      <c r="M1281" s="29" t="n"/>
      <c r="N1281" s="29" t="n"/>
      <c r="O1281" s="29" t="n"/>
      <c r="P1281" s="29" t="n"/>
      <c r="Q1281" s="29" t="n"/>
      <c r="R1281" s="29" t="n"/>
      <c r="S1281" s="29" t="n"/>
      <c r="T1281" s="29" t="n"/>
      <c r="U1281" s="29" t="n"/>
      <c r="V1281" s="29" t="n"/>
      <c r="W1281" s="29" t="n"/>
      <c r="X1281" s="29" t="n"/>
      <c r="Y1281" s="29" t="n"/>
      <c r="Z1281" s="29" t="n"/>
      <c r="AA1281" s="29" t="n"/>
      <c r="AB1281" s="29" t="n"/>
      <c r="AC1281" s="29" t="n"/>
      <c r="AD1281" s="29" t="n"/>
      <c r="AE1281" s="29" t="n"/>
      <c r="AF1281" s="29" t="n"/>
      <c r="AG1281" s="29" t="n"/>
      <c r="AH1281" s="29" t="n"/>
      <c r="AI1281" s="29" t="n"/>
    </row>
    <row r="1282">
      <c r="L1282" s="29" t="n"/>
      <c r="M1282" s="29" t="n"/>
      <c r="N1282" s="29" t="n"/>
      <c r="O1282" s="29" t="n"/>
      <c r="P1282" s="29" t="n"/>
      <c r="Q1282" s="29" t="n"/>
      <c r="R1282" s="29" t="n"/>
      <c r="S1282" s="29" t="n"/>
      <c r="T1282" s="29" t="n"/>
      <c r="U1282" s="29" t="n"/>
      <c r="V1282" s="29" t="n"/>
      <c r="W1282" s="29" t="n"/>
      <c r="X1282" s="29" t="n"/>
      <c r="Y1282" s="29" t="n"/>
      <c r="Z1282" s="29" t="n"/>
      <c r="AA1282" s="29" t="n"/>
      <c r="AB1282" s="29" t="n"/>
      <c r="AC1282" s="29" t="n"/>
      <c r="AD1282" s="29" t="n"/>
      <c r="AE1282" s="29" t="n"/>
      <c r="AF1282" s="29" t="n"/>
      <c r="AG1282" s="29" t="n"/>
      <c r="AH1282" s="29" t="n"/>
      <c r="AI1282" s="29" t="n"/>
    </row>
    <row r="1283">
      <c r="L1283" s="29" t="n"/>
      <c r="M1283" s="29" t="n"/>
      <c r="N1283" s="29" t="n"/>
      <c r="O1283" s="29" t="n"/>
      <c r="P1283" s="29" t="n"/>
      <c r="Q1283" s="29" t="n"/>
      <c r="R1283" s="29" t="n"/>
      <c r="S1283" s="29" t="n"/>
      <c r="T1283" s="29" t="n"/>
      <c r="U1283" s="29" t="n"/>
      <c r="V1283" s="29" t="n"/>
      <c r="W1283" s="29" t="n"/>
      <c r="X1283" s="29" t="n"/>
      <c r="Y1283" s="29" t="n"/>
      <c r="Z1283" s="29" t="n"/>
      <c r="AA1283" s="29" t="n"/>
      <c r="AB1283" s="29" t="n"/>
      <c r="AC1283" s="29" t="n"/>
      <c r="AD1283" s="29" t="n"/>
      <c r="AE1283" s="29" t="n"/>
      <c r="AF1283" s="29" t="n"/>
      <c r="AG1283" s="29" t="n"/>
      <c r="AH1283" s="29" t="n"/>
      <c r="AI1283" s="29" t="n"/>
    </row>
    <row r="1284">
      <c r="L1284" s="29" t="n"/>
      <c r="M1284" s="29" t="n"/>
      <c r="N1284" s="29" t="n"/>
      <c r="O1284" s="29" t="n"/>
      <c r="P1284" s="29" t="n"/>
      <c r="Q1284" s="29" t="n"/>
      <c r="R1284" s="29" t="n"/>
      <c r="S1284" s="29" t="n"/>
      <c r="T1284" s="29" t="n"/>
      <c r="U1284" s="29" t="n"/>
      <c r="V1284" s="29" t="n"/>
      <c r="W1284" s="29" t="n"/>
      <c r="X1284" s="29" t="n"/>
      <c r="Y1284" s="29" t="n"/>
      <c r="Z1284" s="29" t="n"/>
      <c r="AA1284" s="29" t="n"/>
      <c r="AB1284" s="29" t="n"/>
      <c r="AC1284" s="29" t="n"/>
      <c r="AD1284" s="29" t="n"/>
      <c r="AE1284" s="29" t="n"/>
      <c r="AF1284" s="29" t="n"/>
      <c r="AG1284" s="29" t="n"/>
      <c r="AH1284" s="29" t="n"/>
      <c r="AI1284" s="29" t="n"/>
    </row>
    <row r="1285">
      <c r="L1285" s="29" t="n"/>
      <c r="M1285" s="29" t="n"/>
      <c r="N1285" s="29" t="n"/>
      <c r="O1285" s="29" t="n"/>
      <c r="P1285" s="29" t="n"/>
      <c r="Q1285" s="29" t="n"/>
      <c r="R1285" s="29" t="n"/>
      <c r="S1285" s="29" t="n"/>
      <c r="T1285" s="29" t="n"/>
      <c r="U1285" s="29" t="n"/>
      <c r="V1285" s="29" t="n"/>
      <c r="W1285" s="29" t="n"/>
      <c r="X1285" s="29" t="n"/>
      <c r="Y1285" s="29" t="n"/>
      <c r="Z1285" s="29" t="n"/>
      <c r="AA1285" s="29" t="n"/>
      <c r="AB1285" s="29" t="n"/>
      <c r="AC1285" s="29" t="n"/>
      <c r="AD1285" s="29" t="n"/>
      <c r="AE1285" s="29" t="n"/>
      <c r="AF1285" s="29" t="n"/>
      <c r="AG1285" s="29" t="n"/>
      <c r="AH1285" s="29" t="n"/>
      <c r="AI1285" s="29" t="n"/>
    </row>
    <row r="1286">
      <c r="L1286" s="29" t="n"/>
      <c r="M1286" s="29" t="n"/>
      <c r="N1286" s="29" t="n"/>
      <c r="O1286" s="29" t="n"/>
      <c r="P1286" s="29" t="n"/>
      <c r="Q1286" s="29" t="n"/>
      <c r="R1286" s="29" t="n"/>
      <c r="S1286" s="29" t="n"/>
      <c r="T1286" s="29" t="n"/>
      <c r="U1286" s="29" t="n"/>
      <c r="V1286" s="29" t="n"/>
      <c r="W1286" s="29" t="n"/>
      <c r="X1286" s="29" t="n"/>
      <c r="Y1286" s="29" t="n"/>
      <c r="Z1286" s="29" t="n"/>
      <c r="AA1286" s="29" t="n"/>
      <c r="AB1286" s="29" t="n"/>
      <c r="AC1286" s="29" t="n"/>
      <c r="AD1286" s="29" t="n"/>
      <c r="AE1286" s="29" t="n"/>
      <c r="AF1286" s="29" t="n"/>
      <c r="AG1286" s="29" t="n"/>
      <c r="AH1286" s="29" t="n"/>
      <c r="AI1286" s="29" t="n"/>
    </row>
    <row r="1287">
      <c r="L1287" s="29" t="n"/>
      <c r="M1287" s="29" t="n"/>
      <c r="N1287" s="29" t="n"/>
      <c r="O1287" s="29" t="n"/>
      <c r="P1287" s="29" t="n"/>
      <c r="Q1287" s="29" t="n"/>
      <c r="R1287" s="29" t="n"/>
      <c r="S1287" s="29" t="n"/>
      <c r="T1287" s="29" t="n"/>
      <c r="U1287" s="29" t="n"/>
      <c r="V1287" s="29" t="n"/>
      <c r="W1287" s="29" t="n"/>
      <c r="X1287" s="29" t="n"/>
      <c r="Y1287" s="29" t="n"/>
      <c r="Z1287" s="29" t="n"/>
      <c r="AA1287" s="29" t="n"/>
      <c r="AB1287" s="29" t="n"/>
      <c r="AC1287" s="29" t="n"/>
      <c r="AD1287" s="29" t="n"/>
      <c r="AE1287" s="29" t="n"/>
      <c r="AF1287" s="29" t="n"/>
      <c r="AG1287" s="29" t="n"/>
      <c r="AH1287" s="29" t="n"/>
      <c r="AI1287" s="29" t="n"/>
    </row>
    <row r="1288">
      <c r="L1288" s="29" t="n"/>
      <c r="M1288" s="29" t="n"/>
      <c r="N1288" s="29" t="n"/>
      <c r="O1288" s="29" t="n"/>
      <c r="P1288" s="29" t="n"/>
      <c r="Q1288" s="29" t="n"/>
      <c r="R1288" s="29" t="n"/>
      <c r="S1288" s="29" t="n"/>
      <c r="T1288" s="29" t="n"/>
      <c r="U1288" s="29" t="n"/>
      <c r="V1288" s="29" t="n"/>
      <c r="W1288" s="29" t="n"/>
      <c r="X1288" s="29" t="n"/>
      <c r="Y1288" s="29" t="n"/>
      <c r="Z1288" s="29" t="n"/>
      <c r="AA1288" s="29" t="n"/>
      <c r="AB1288" s="29" t="n"/>
      <c r="AC1288" s="29" t="n"/>
      <c r="AD1288" s="29" t="n"/>
      <c r="AE1288" s="29" t="n"/>
      <c r="AF1288" s="29" t="n"/>
      <c r="AG1288" s="29" t="n"/>
      <c r="AH1288" s="29" t="n"/>
      <c r="AI1288" s="29" t="n"/>
    </row>
    <row r="1289">
      <c r="L1289" s="29" t="n"/>
      <c r="M1289" s="29" t="n"/>
      <c r="N1289" s="29" t="n"/>
      <c r="O1289" s="29" t="n"/>
      <c r="P1289" s="29" t="n"/>
      <c r="Q1289" s="29" t="n"/>
      <c r="R1289" s="29" t="n"/>
      <c r="S1289" s="29" t="n"/>
      <c r="T1289" s="29" t="n"/>
      <c r="U1289" s="29" t="n"/>
      <c r="V1289" s="29" t="n"/>
      <c r="W1289" s="29" t="n"/>
      <c r="X1289" s="29" t="n"/>
      <c r="Y1289" s="29" t="n"/>
      <c r="Z1289" s="29" t="n"/>
      <c r="AA1289" s="29" t="n"/>
      <c r="AB1289" s="29" t="n"/>
      <c r="AC1289" s="29" t="n"/>
      <c r="AD1289" s="29" t="n"/>
      <c r="AE1289" s="29" t="n"/>
      <c r="AF1289" s="29" t="n"/>
      <c r="AG1289" s="29" t="n"/>
      <c r="AH1289" s="29" t="n"/>
      <c r="AI1289" s="29" t="n"/>
    </row>
    <row r="1290">
      <c r="L1290" s="29" t="n"/>
      <c r="M1290" s="29" t="n"/>
      <c r="N1290" s="29" t="n"/>
      <c r="O1290" s="29" t="n"/>
      <c r="P1290" s="29" t="n"/>
      <c r="Q1290" s="29" t="n"/>
      <c r="R1290" s="29" t="n"/>
      <c r="S1290" s="29" t="n"/>
      <c r="T1290" s="29" t="n"/>
      <c r="U1290" s="29" t="n"/>
      <c r="V1290" s="29" t="n"/>
      <c r="W1290" s="29" t="n"/>
      <c r="X1290" s="29" t="n"/>
      <c r="Y1290" s="29" t="n"/>
      <c r="Z1290" s="29" t="n"/>
      <c r="AA1290" s="29" t="n"/>
      <c r="AB1290" s="29" t="n"/>
      <c r="AC1290" s="29" t="n"/>
      <c r="AD1290" s="29" t="n"/>
      <c r="AE1290" s="29" t="n"/>
      <c r="AF1290" s="29" t="n"/>
      <c r="AG1290" s="29" t="n"/>
      <c r="AH1290" s="29" t="n"/>
      <c r="AI1290" s="29" t="n"/>
    </row>
    <row r="1291">
      <c r="L1291" s="29" t="n"/>
      <c r="M1291" s="29" t="n"/>
      <c r="N1291" s="29" t="n"/>
      <c r="O1291" s="29" t="n"/>
      <c r="P1291" s="29" t="n"/>
      <c r="Q1291" s="29" t="n"/>
      <c r="R1291" s="29" t="n"/>
      <c r="S1291" s="29" t="n"/>
      <c r="T1291" s="29" t="n"/>
      <c r="U1291" s="29" t="n"/>
      <c r="V1291" s="29" t="n"/>
      <c r="W1291" s="29" t="n"/>
      <c r="X1291" s="29" t="n"/>
      <c r="Y1291" s="29" t="n"/>
      <c r="Z1291" s="29" t="n"/>
      <c r="AA1291" s="29" t="n"/>
      <c r="AB1291" s="29" t="n"/>
      <c r="AC1291" s="29" t="n"/>
      <c r="AD1291" s="29" t="n"/>
      <c r="AE1291" s="29" t="n"/>
      <c r="AF1291" s="29" t="n"/>
      <c r="AG1291" s="29" t="n"/>
      <c r="AH1291" s="29" t="n"/>
      <c r="AI1291" s="29" t="n"/>
    </row>
    <row r="1292">
      <c r="L1292" s="29" t="n"/>
      <c r="M1292" s="29" t="n"/>
      <c r="N1292" s="29" t="n"/>
      <c r="O1292" s="29" t="n"/>
      <c r="P1292" s="29" t="n"/>
      <c r="Q1292" s="29" t="n"/>
      <c r="R1292" s="29" t="n"/>
      <c r="S1292" s="29" t="n"/>
      <c r="T1292" s="29" t="n"/>
      <c r="U1292" s="29" t="n"/>
      <c r="V1292" s="29" t="n"/>
      <c r="W1292" s="29" t="n"/>
      <c r="X1292" s="29" t="n"/>
      <c r="Y1292" s="29" t="n"/>
      <c r="Z1292" s="29" t="n"/>
      <c r="AA1292" s="29" t="n"/>
      <c r="AB1292" s="29" t="n"/>
      <c r="AC1292" s="29" t="n"/>
      <c r="AD1292" s="29" t="n"/>
      <c r="AE1292" s="29" t="n"/>
      <c r="AF1292" s="29" t="n"/>
      <c r="AG1292" s="29" t="n"/>
      <c r="AH1292" s="29" t="n"/>
      <c r="AI1292" s="29" t="n"/>
    </row>
    <row r="1293">
      <c r="L1293" s="29" t="n"/>
      <c r="M1293" s="29" t="n"/>
      <c r="N1293" s="29" t="n"/>
      <c r="O1293" s="29" t="n"/>
      <c r="P1293" s="29" t="n"/>
      <c r="Q1293" s="29" t="n"/>
      <c r="R1293" s="29" t="n"/>
      <c r="S1293" s="29" t="n"/>
      <c r="T1293" s="29" t="n"/>
      <c r="U1293" s="29" t="n"/>
      <c r="V1293" s="29" t="n"/>
      <c r="W1293" s="29" t="n"/>
      <c r="X1293" s="29" t="n"/>
      <c r="Y1293" s="29" t="n"/>
      <c r="Z1293" s="29" t="n"/>
      <c r="AA1293" s="29" t="n"/>
      <c r="AB1293" s="29" t="n"/>
      <c r="AC1293" s="29" t="n"/>
      <c r="AD1293" s="29" t="n"/>
      <c r="AE1293" s="29" t="n"/>
      <c r="AF1293" s="29" t="n"/>
      <c r="AG1293" s="29" t="n"/>
      <c r="AH1293" s="29" t="n"/>
      <c r="AI1293" s="29" t="n"/>
    </row>
    <row r="1294">
      <c r="L1294" s="29" t="n"/>
      <c r="M1294" s="29" t="n"/>
      <c r="N1294" s="29" t="n"/>
      <c r="O1294" s="29" t="n"/>
      <c r="P1294" s="29" t="n"/>
      <c r="Q1294" s="29" t="n"/>
      <c r="R1294" s="29" t="n"/>
      <c r="S1294" s="29" t="n"/>
      <c r="T1294" s="29" t="n"/>
      <c r="U1294" s="29" t="n"/>
      <c r="V1294" s="29" t="n"/>
      <c r="W1294" s="29" t="n"/>
      <c r="X1294" s="29" t="n"/>
      <c r="Y1294" s="29" t="n"/>
      <c r="Z1294" s="29" t="n"/>
      <c r="AA1294" s="29" t="n"/>
      <c r="AB1294" s="29" t="n"/>
      <c r="AC1294" s="29" t="n"/>
      <c r="AD1294" s="29" t="n"/>
      <c r="AE1294" s="29" t="n"/>
      <c r="AF1294" s="29" t="n"/>
      <c r="AG1294" s="29" t="n"/>
      <c r="AH1294" s="29" t="n"/>
      <c r="AI1294" s="29" t="n"/>
    </row>
    <row r="1295">
      <c r="L1295" s="29" t="n"/>
      <c r="M1295" s="29" t="n"/>
      <c r="N1295" s="29" t="n"/>
      <c r="O1295" s="29" t="n"/>
      <c r="P1295" s="29" t="n"/>
      <c r="Q1295" s="29" t="n"/>
      <c r="R1295" s="29" t="n"/>
      <c r="S1295" s="29" t="n"/>
      <c r="T1295" s="29" t="n"/>
      <c r="U1295" s="29" t="n"/>
      <c r="V1295" s="29" t="n"/>
      <c r="W1295" s="29" t="n"/>
      <c r="X1295" s="29" t="n"/>
      <c r="Y1295" s="29" t="n"/>
      <c r="Z1295" s="29" t="n"/>
      <c r="AA1295" s="29" t="n"/>
      <c r="AB1295" s="29" t="n"/>
      <c r="AC1295" s="29" t="n"/>
      <c r="AD1295" s="29" t="n"/>
      <c r="AE1295" s="29" t="n"/>
      <c r="AF1295" s="29" t="n"/>
      <c r="AG1295" s="29" t="n"/>
      <c r="AH1295" s="29" t="n"/>
      <c r="AI1295" s="29" t="n"/>
    </row>
    <row r="1296">
      <c r="L1296" s="29" t="n"/>
      <c r="M1296" s="29" t="n"/>
      <c r="N1296" s="29" t="n"/>
      <c r="O1296" s="29" t="n"/>
      <c r="P1296" s="29" t="n"/>
      <c r="Q1296" s="29" t="n"/>
      <c r="R1296" s="29" t="n"/>
      <c r="S1296" s="29" t="n"/>
      <c r="T1296" s="29" t="n"/>
      <c r="U1296" s="29" t="n"/>
      <c r="V1296" s="29" t="n"/>
      <c r="W1296" s="29" t="n"/>
      <c r="X1296" s="29" t="n"/>
      <c r="Y1296" s="29" t="n"/>
      <c r="Z1296" s="29" t="n"/>
      <c r="AA1296" s="29" t="n"/>
      <c r="AB1296" s="29" t="n"/>
      <c r="AC1296" s="29" t="n"/>
      <c r="AD1296" s="29" t="n"/>
      <c r="AE1296" s="29" t="n"/>
      <c r="AF1296" s="29" t="n"/>
      <c r="AG1296" s="29" t="n"/>
      <c r="AH1296" s="29" t="n"/>
      <c r="AI1296" s="29" t="n"/>
    </row>
    <row r="1297">
      <c r="L1297" s="29" t="n"/>
      <c r="M1297" s="29" t="n"/>
      <c r="N1297" s="29" t="n"/>
      <c r="O1297" s="29" t="n"/>
      <c r="P1297" s="29" t="n"/>
      <c r="Q1297" s="29" t="n"/>
      <c r="R1297" s="29" t="n"/>
      <c r="S1297" s="29" t="n"/>
      <c r="T1297" s="29" t="n"/>
      <c r="U1297" s="29" t="n"/>
      <c r="V1297" s="29" t="n"/>
      <c r="W1297" s="29" t="n"/>
      <c r="X1297" s="29" t="n"/>
      <c r="Y1297" s="29" t="n"/>
      <c r="Z1297" s="29" t="n"/>
      <c r="AA1297" s="29" t="n"/>
      <c r="AB1297" s="29" t="n"/>
      <c r="AC1297" s="29" t="n"/>
      <c r="AD1297" s="29" t="n"/>
      <c r="AE1297" s="29" t="n"/>
      <c r="AF1297" s="29" t="n"/>
      <c r="AG1297" s="29" t="n"/>
      <c r="AH1297" s="29" t="n"/>
      <c r="AI1297" s="29" t="n"/>
    </row>
    <row r="1298">
      <c r="L1298" s="29" t="n"/>
      <c r="M1298" s="29" t="n"/>
      <c r="N1298" s="29" t="n"/>
      <c r="O1298" s="29" t="n"/>
      <c r="P1298" s="29" t="n"/>
      <c r="Q1298" s="29" t="n"/>
      <c r="R1298" s="29" t="n"/>
      <c r="S1298" s="29" t="n"/>
      <c r="T1298" s="29" t="n"/>
      <c r="U1298" s="29" t="n"/>
      <c r="V1298" s="29" t="n"/>
      <c r="W1298" s="29" t="n"/>
      <c r="X1298" s="29" t="n"/>
      <c r="Y1298" s="29" t="n"/>
      <c r="Z1298" s="29" t="n"/>
      <c r="AA1298" s="29" t="n"/>
      <c r="AB1298" s="29" t="n"/>
      <c r="AC1298" s="29" t="n"/>
      <c r="AD1298" s="29" t="n"/>
      <c r="AE1298" s="29" t="n"/>
      <c r="AF1298" s="29" t="n"/>
      <c r="AG1298" s="29" t="n"/>
      <c r="AH1298" s="29" t="n"/>
      <c r="AI1298" s="29" t="n"/>
    </row>
    <row r="1299">
      <c r="L1299" s="29" t="n"/>
      <c r="M1299" s="29" t="n"/>
      <c r="N1299" s="29" t="n"/>
      <c r="O1299" s="29" t="n"/>
      <c r="P1299" s="29" t="n"/>
      <c r="Q1299" s="29" t="n"/>
      <c r="R1299" s="29" t="n"/>
      <c r="S1299" s="29" t="n"/>
      <c r="T1299" s="29" t="n"/>
      <c r="U1299" s="29" t="n"/>
      <c r="V1299" s="29" t="n"/>
      <c r="W1299" s="29" t="n"/>
      <c r="X1299" s="29" t="n"/>
      <c r="Y1299" s="29" t="n"/>
      <c r="Z1299" s="29" t="n"/>
      <c r="AA1299" s="29" t="n"/>
      <c r="AB1299" s="29" t="n"/>
      <c r="AC1299" s="29" t="n"/>
      <c r="AD1299" s="29" t="n"/>
      <c r="AE1299" s="29" t="n"/>
      <c r="AF1299" s="29" t="n"/>
      <c r="AG1299" s="29" t="n"/>
      <c r="AH1299" s="29" t="n"/>
      <c r="AI1299" s="29" t="n"/>
    </row>
    <row r="1300">
      <c r="L1300" s="29" t="n"/>
      <c r="M1300" s="29" t="n"/>
      <c r="N1300" s="29" t="n"/>
      <c r="O1300" s="29" t="n"/>
      <c r="P1300" s="29" t="n"/>
      <c r="Q1300" s="29" t="n"/>
      <c r="R1300" s="29" t="n"/>
      <c r="S1300" s="29" t="n"/>
      <c r="T1300" s="29" t="n"/>
      <c r="U1300" s="29" t="n"/>
      <c r="V1300" s="29" t="n"/>
      <c r="W1300" s="29" t="n"/>
      <c r="X1300" s="29" t="n"/>
      <c r="Y1300" s="29" t="n"/>
      <c r="Z1300" s="29" t="n"/>
      <c r="AA1300" s="29" t="n"/>
      <c r="AB1300" s="29" t="n"/>
      <c r="AC1300" s="29" t="n"/>
      <c r="AD1300" s="29" t="n"/>
      <c r="AE1300" s="29" t="n"/>
      <c r="AF1300" s="29" t="n"/>
      <c r="AG1300" s="29" t="n"/>
      <c r="AH1300" s="29" t="n"/>
      <c r="AI1300" s="29" t="n"/>
    </row>
    <row r="1301">
      <c r="L1301" s="29" t="n"/>
      <c r="M1301" s="29" t="n"/>
      <c r="N1301" s="29" t="n"/>
      <c r="O1301" s="29" t="n"/>
      <c r="P1301" s="29" t="n"/>
      <c r="Q1301" s="29" t="n"/>
      <c r="R1301" s="29" t="n"/>
      <c r="S1301" s="29" t="n"/>
      <c r="T1301" s="29" t="n"/>
      <c r="U1301" s="29" t="n"/>
      <c r="V1301" s="29" t="n"/>
      <c r="W1301" s="29" t="n"/>
      <c r="X1301" s="29" t="n"/>
      <c r="Y1301" s="29" t="n"/>
      <c r="Z1301" s="29" t="n"/>
      <c r="AA1301" s="29" t="n"/>
      <c r="AB1301" s="29" t="n"/>
      <c r="AC1301" s="29" t="n"/>
      <c r="AD1301" s="29" t="n"/>
      <c r="AE1301" s="29" t="n"/>
      <c r="AF1301" s="29" t="n"/>
      <c r="AG1301" s="29" t="n"/>
      <c r="AH1301" s="29" t="n"/>
      <c r="AI1301" s="29" t="n"/>
    </row>
    <row r="1302">
      <c r="L1302" s="29" t="n"/>
      <c r="M1302" s="29" t="n"/>
      <c r="N1302" s="29" t="n"/>
      <c r="O1302" s="29" t="n"/>
      <c r="P1302" s="29" t="n"/>
      <c r="Q1302" s="29" t="n"/>
      <c r="R1302" s="29" t="n"/>
      <c r="S1302" s="29" t="n"/>
      <c r="T1302" s="29" t="n"/>
      <c r="U1302" s="29" t="n"/>
      <c r="V1302" s="29" t="n"/>
      <c r="W1302" s="29" t="n"/>
      <c r="X1302" s="29" t="n"/>
      <c r="Y1302" s="29" t="n"/>
      <c r="Z1302" s="29" t="n"/>
      <c r="AA1302" s="29" t="n"/>
      <c r="AB1302" s="29" t="n"/>
      <c r="AC1302" s="29" t="n"/>
      <c r="AD1302" s="29" t="n"/>
      <c r="AE1302" s="29" t="n"/>
      <c r="AF1302" s="29" t="n"/>
      <c r="AG1302" s="29" t="n"/>
      <c r="AH1302" s="29" t="n"/>
      <c r="AI1302" s="29" t="n"/>
    </row>
    <row r="1303">
      <c r="L1303" s="29" t="n"/>
      <c r="M1303" s="29" t="n"/>
      <c r="N1303" s="29" t="n"/>
      <c r="O1303" s="29" t="n"/>
      <c r="P1303" s="29" t="n"/>
      <c r="Q1303" s="29" t="n"/>
      <c r="R1303" s="29" t="n"/>
      <c r="S1303" s="29" t="n"/>
      <c r="T1303" s="29" t="n"/>
      <c r="U1303" s="29" t="n"/>
      <c r="V1303" s="29" t="n"/>
      <c r="W1303" s="29" t="n"/>
      <c r="X1303" s="29" t="n"/>
      <c r="Y1303" s="29" t="n"/>
      <c r="Z1303" s="29" t="n"/>
      <c r="AA1303" s="29" t="n"/>
      <c r="AB1303" s="29" t="n"/>
      <c r="AC1303" s="29" t="n"/>
      <c r="AD1303" s="29" t="n"/>
      <c r="AE1303" s="29" t="n"/>
      <c r="AF1303" s="29" t="n"/>
      <c r="AG1303" s="29" t="n"/>
      <c r="AH1303" s="29" t="n"/>
      <c r="AI1303" s="29" t="n"/>
    </row>
    <row r="1304">
      <c r="L1304" s="29" t="n"/>
      <c r="M1304" s="29" t="n"/>
      <c r="N1304" s="29" t="n"/>
      <c r="O1304" s="29" t="n"/>
      <c r="P1304" s="29" t="n"/>
      <c r="Q1304" s="29" t="n"/>
      <c r="R1304" s="29" t="n"/>
      <c r="S1304" s="29" t="n"/>
      <c r="T1304" s="29" t="n"/>
      <c r="U1304" s="29" t="n"/>
      <c r="V1304" s="29" t="n"/>
      <c r="W1304" s="29" t="n"/>
      <c r="X1304" s="29" t="n"/>
      <c r="Y1304" s="29" t="n"/>
      <c r="Z1304" s="29" t="n"/>
      <c r="AA1304" s="29" t="n"/>
      <c r="AB1304" s="29" t="n"/>
      <c r="AC1304" s="29" t="n"/>
      <c r="AD1304" s="29" t="n"/>
      <c r="AE1304" s="29" t="n"/>
      <c r="AF1304" s="29" t="n"/>
      <c r="AG1304" s="29" t="n"/>
      <c r="AH1304" s="29" t="n"/>
      <c r="AI1304" s="29" t="n"/>
    </row>
    <row r="1305">
      <c r="L1305" s="29" t="n"/>
      <c r="M1305" s="29" t="n"/>
      <c r="N1305" s="29" t="n"/>
      <c r="O1305" s="29" t="n"/>
      <c r="P1305" s="29" t="n"/>
      <c r="Q1305" s="29" t="n"/>
      <c r="R1305" s="29" t="n"/>
      <c r="S1305" s="29" t="n"/>
      <c r="T1305" s="29" t="n"/>
      <c r="U1305" s="29" t="n"/>
      <c r="V1305" s="29" t="n"/>
      <c r="W1305" s="29" t="n"/>
      <c r="X1305" s="29" t="n"/>
      <c r="Y1305" s="29" t="n"/>
      <c r="Z1305" s="29" t="n"/>
      <c r="AA1305" s="29" t="n"/>
      <c r="AB1305" s="29" t="n"/>
      <c r="AC1305" s="29" t="n"/>
      <c r="AD1305" s="29" t="n"/>
      <c r="AE1305" s="29" t="n"/>
      <c r="AF1305" s="29" t="n"/>
      <c r="AG1305" s="29" t="n"/>
      <c r="AH1305" s="29" t="n"/>
      <c r="AI1305" s="29" t="n"/>
    </row>
    <row r="1306">
      <c r="L1306" s="29" t="n"/>
      <c r="M1306" s="29" t="n"/>
      <c r="N1306" s="29" t="n"/>
      <c r="O1306" s="29" t="n"/>
      <c r="P1306" s="29" t="n"/>
      <c r="Q1306" s="29" t="n"/>
      <c r="R1306" s="29" t="n"/>
      <c r="S1306" s="29" t="n"/>
      <c r="T1306" s="29" t="n"/>
      <c r="U1306" s="29" t="n"/>
      <c r="V1306" s="29" t="n"/>
      <c r="W1306" s="29" t="n"/>
      <c r="X1306" s="29" t="n"/>
      <c r="Y1306" s="29" t="n"/>
      <c r="Z1306" s="29" t="n"/>
      <c r="AA1306" s="29" t="n"/>
      <c r="AB1306" s="29" t="n"/>
      <c r="AC1306" s="29" t="n"/>
      <c r="AD1306" s="29" t="n"/>
      <c r="AE1306" s="29" t="n"/>
      <c r="AF1306" s="29" t="n"/>
      <c r="AG1306" s="29" t="n"/>
      <c r="AH1306" s="29" t="n"/>
      <c r="AI1306" s="29" t="n"/>
    </row>
    <row r="1307">
      <c r="L1307" s="29" t="n"/>
      <c r="M1307" s="29" t="n"/>
      <c r="N1307" s="29" t="n"/>
      <c r="O1307" s="29" t="n"/>
      <c r="P1307" s="29" t="n"/>
      <c r="Q1307" s="29" t="n"/>
      <c r="R1307" s="29" t="n"/>
      <c r="S1307" s="29" t="n"/>
      <c r="T1307" s="29" t="n"/>
      <c r="U1307" s="29" t="n"/>
      <c r="V1307" s="29" t="n"/>
      <c r="W1307" s="29" t="n"/>
      <c r="X1307" s="29" t="n"/>
      <c r="Y1307" s="29" t="n"/>
      <c r="Z1307" s="29" t="n"/>
      <c r="AA1307" s="29" t="n"/>
      <c r="AB1307" s="29" t="n"/>
      <c r="AC1307" s="29" t="n"/>
      <c r="AD1307" s="29" t="n"/>
      <c r="AE1307" s="29" t="n"/>
      <c r="AF1307" s="29" t="n"/>
      <c r="AG1307" s="29" t="n"/>
      <c r="AH1307" s="29" t="n"/>
      <c r="AI1307" s="29" t="n"/>
    </row>
    <row r="1308">
      <c r="L1308" s="29" t="n"/>
      <c r="M1308" s="29" t="n"/>
      <c r="N1308" s="29" t="n"/>
      <c r="O1308" s="29" t="n"/>
      <c r="P1308" s="29" t="n"/>
      <c r="Q1308" s="29" t="n"/>
      <c r="R1308" s="29" t="n"/>
      <c r="S1308" s="29" t="n"/>
      <c r="T1308" s="29" t="n"/>
      <c r="U1308" s="29" t="n"/>
      <c r="V1308" s="29" t="n"/>
      <c r="W1308" s="29" t="n"/>
      <c r="X1308" s="29" t="n"/>
      <c r="Y1308" s="29" t="n"/>
      <c r="Z1308" s="29" t="n"/>
      <c r="AA1308" s="29" t="n"/>
      <c r="AB1308" s="29" t="n"/>
      <c r="AC1308" s="29" t="n"/>
      <c r="AD1308" s="29" t="n"/>
      <c r="AE1308" s="29" t="n"/>
      <c r="AF1308" s="29" t="n"/>
      <c r="AG1308" s="29" t="n"/>
      <c r="AH1308" s="29" t="n"/>
      <c r="AI1308" s="29" t="n"/>
    </row>
    <row r="1309">
      <c r="L1309" s="29" t="n"/>
      <c r="M1309" s="29" t="n"/>
      <c r="N1309" s="29" t="n"/>
      <c r="O1309" s="29" t="n"/>
      <c r="P1309" s="29" t="n"/>
      <c r="Q1309" s="29" t="n"/>
      <c r="R1309" s="29" t="n"/>
      <c r="S1309" s="29" t="n"/>
      <c r="T1309" s="29" t="n"/>
      <c r="U1309" s="29" t="n"/>
      <c r="V1309" s="29" t="n"/>
      <c r="W1309" s="29" t="n"/>
      <c r="X1309" s="29" t="n"/>
      <c r="Y1309" s="29" t="n"/>
      <c r="Z1309" s="29" t="n"/>
      <c r="AA1309" s="29" t="n"/>
      <c r="AB1309" s="29" t="n"/>
      <c r="AC1309" s="29" t="n"/>
      <c r="AD1309" s="29" t="n"/>
      <c r="AE1309" s="29" t="n"/>
      <c r="AF1309" s="29" t="n"/>
      <c r="AG1309" s="29" t="n"/>
      <c r="AH1309" s="29" t="n"/>
      <c r="AI1309" s="29" t="n"/>
    </row>
    <row r="1310">
      <c r="L1310" s="29" t="n"/>
      <c r="M1310" s="29" t="n"/>
      <c r="N1310" s="29" t="n"/>
      <c r="O1310" s="29" t="n"/>
      <c r="P1310" s="29" t="n"/>
      <c r="Q1310" s="29" t="n"/>
      <c r="R1310" s="29" t="n"/>
      <c r="S1310" s="29" t="n"/>
      <c r="T1310" s="29" t="n"/>
      <c r="U1310" s="29" t="n"/>
      <c r="V1310" s="29" t="n"/>
      <c r="W1310" s="29" t="n"/>
      <c r="X1310" s="29" t="n"/>
      <c r="Y1310" s="29" t="n"/>
      <c r="Z1310" s="29" t="n"/>
      <c r="AA1310" s="29" t="n"/>
      <c r="AB1310" s="29" t="n"/>
      <c r="AC1310" s="29" t="n"/>
      <c r="AD1310" s="29" t="n"/>
      <c r="AE1310" s="29" t="n"/>
      <c r="AF1310" s="29" t="n"/>
      <c r="AG1310" s="29" t="n"/>
      <c r="AH1310" s="29" t="n"/>
      <c r="AI1310" s="29" t="n"/>
    </row>
    <row r="1311">
      <c r="L1311" s="29" t="n"/>
      <c r="M1311" s="29" t="n"/>
      <c r="N1311" s="29" t="n"/>
      <c r="O1311" s="29" t="n"/>
      <c r="P1311" s="29" t="n"/>
      <c r="Q1311" s="29" t="n"/>
      <c r="R1311" s="29" t="n"/>
      <c r="S1311" s="29" t="n"/>
      <c r="T1311" s="29" t="n"/>
      <c r="U1311" s="29" t="n"/>
      <c r="V1311" s="29" t="n"/>
      <c r="W1311" s="29" t="n"/>
      <c r="X1311" s="29" t="n"/>
      <c r="Y1311" s="29" t="n"/>
      <c r="Z1311" s="29" t="n"/>
      <c r="AA1311" s="29" t="n"/>
      <c r="AB1311" s="29" t="n"/>
      <c r="AC1311" s="29" t="n"/>
      <c r="AD1311" s="29" t="n"/>
      <c r="AE1311" s="29" t="n"/>
      <c r="AF1311" s="29" t="n"/>
      <c r="AG1311" s="29" t="n"/>
      <c r="AH1311" s="29" t="n"/>
      <c r="AI1311" s="29" t="n"/>
    </row>
    <row r="1312">
      <c r="L1312" s="29" t="n"/>
      <c r="M1312" s="29" t="n"/>
      <c r="N1312" s="29" t="n"/>
      <c r="O1312" s="29" t="n"/>
      <c r="P1312" s="29" t="n"/>
      <c r="Q1312" s="29" t="n"/>
      <c r="R1312" s="29" t="n"/>
      <c r="S1312" s="29" t="n"/>
      <c r="T1312" s="29" t="n"/>
      <c r="U1312" s="29" t="n"/>
      <c r="V1312" s="29" t="n"/>
      <c r="W1312" s="29" t="n"/>
      <c r="X1312" s="29" t="n"/>
      <c r="Y1312" s="29" t="n"/>
      <c r="Z1312" s="29" t="n"/>
      <c r="AA1312" s="29" t="n"/>
      <c r="AB1312" s="29" t="n"/>
      <c r="AC1312" s="29" t="n"/>
      <c r="AD1312" s="29" t="n"/>
      <c r="AE1312" s="29" t="n"/>
      <c r="AF1312" s="29" t="n"/>
      <c r="AG1312" s="29" t="n"/>
      <c r="AH1312" s="29" t="n"/>
      <c r="AI1312" s="29" t="n"/>
    </row>
    <row r="1313">
      <c r="L1313" s="29" t="n"/>
      <c r="M1313" s="29" t="n"/>
      <c r="N1313" s="29" t="n"/>
      <c r="O1313" s="29" t="n"/>
      <c r="P1313" s="29" t="n"/>
      <c r="Q1313" s="29" t="n"/>
      <c r="R1313" s="29" t="n"/>
      <c r="S1313" s="29" t="n"/>
      <c r="T1313" s="29" t="n"/>
      <c r="U1313" s="29" t="n"/>
      <c r="V1313" s="29" t="n"/>
      <c r="W1313" s="29" t="n"/>
      <c r="X1313" s="29" t="n"/>
      <c r="Y1313" s="29" t="n"/>
      <c r="Z1313" s="29" t="n"/>
      <c r="AA1313" s="29" t="n"/>
      <c r="AB1313" s="29" t="n"/>
      <c r="AC1313" s="29" t="n"/>
      <c r="AD1313" s="29" t="n"/>
      <c r="AE1313" s="29" t="n"/>
      <c r="AF1313" s="29" t="n"/>
      <c r="AG1313" s="29" t="n"/>
      <c r="AH1313" s="29" t="n"/>
      <c r="AI1313" s="29" t="n"/>
    </row>
    <row r="1314">
      <c r="L1314" s="29" t="n"/>
      <c r="M1314" s="29" t="n"/>
      <c r="N1314" s="29" t="n"/>
      <c r="O1314" s="29" t="n"/>
      <c r="P1314" s="29" t="n"/>
      <c r="Q1314" s="29" t="n"/>
      <c r="R1314" s="29" t="n"/>
      <c r="S1314" s="29" t="n"/>
      <c r="T1314" s="29" t="n"/>
      <c r="U1314" s="29" t="n"/>
      <c r="V1314" s="29" t="n"/>
      <c r="W1314" s="29" t="n"/>
      <c r="X1314" s="29" t="n"/>
      <c r="Y1314" s="29" t="n"/>
      <c r="Z1314" s="29" t="n"/>
      <c r="AA1314" s="29" t="n"/>
      <c r="AB1314" s="29" t="n"/>
      <c r="AC1314" s="29" t="n"/>
      <c r="AD1314" s="29" t="n"/>
      <c r="AE1314" s="29" t="n"/>
      <c r="AF1314" s="29" t="n"/>
      <c r="AG1314" s="29" t="n"/>
      <c r="AH1314" s="29" t="n"/>
      <c r="AI1314" s="29" t="n"/>
    </row>
    <row r="1315">
      <c r="L1315" s="29" t="n"/>
      <c r="M1315" s="29" t="n"/>
      <c r="N1315" s="29" t="n"/>
      <c r="O1315" s="29" t="n"/>
      <c r="P1315" s="29" t="n"/>
      <c r="Q1315" s="29" t="n"/>
      <c r="R1315" s="29" t="n"/>
      <c r="S1315" s="29" t="n"/>
      <c r="T1315" s="29" t="n"/>
      <c r="U1315" s="29" t="n"/>
      <c r="V1315" s="29" t="n"/>
      <c r="W1315" s="29" t="n"/>
      <c r="X1315" s="29" t="n"/>
      <c r="Y1315" s="29" t="n"/>
      <c r="Z1315" s="29" t="n"/>
      <c r="AA1315" s="29" t="n"/>
      <c r="AB1315" s="29" t="n"/>
      <c r="AC1315" s="29" t="n"/>
      <c r="AD1315" s="29" t="n"/>
      <c r="AE1315" s="29" t="n"/>
      <c r="AF1315" s="29" t="n"/>
      <c r="AG1315" s="29" t="n"/>
      <c r="AH1315" s="29" t="n"/>
      <c r="AI1315" s="29" t="n"/>
    </row>
    <row r="1316">
      <c r="L1316" s="29" t="n"/>
      <c r="M1316" s="29" t="n"/>
      <c r="N1316" s="29" t="n"/>
      <c r="O1316" s="29" t="n"/>
      <c r="P1316" s="29" t="n"/>
      <c r="Q1316" s="29" t="n"/>
      <c r="R1316" s="29" t="n"/>
      <c r="S1316" s="29" t="n"/>
      <c r="T1316" s="29" t="n"/>
      <c r="U1316" s="29" t="n"/>
      <c r="V1316" s="29" t="n"/>
      <c r="W1316" s="29" t="n"/>
      <c r="X1316" s="29" t="n"/>
      <c r="Y1316" s="29" t="n"/>
      <c r="Z1316" s="29" t="n"/>
      <c r="AA1316" s="29" t="n"/>
      <c r="AB1316" s="29" t="n"/>
      <c r="AC1316" s="29" t="n"/>
      <c r="AD1316" s="29" t="n"/>
      <c r="AE1316" s="29" t="n"/>
      <c r="AF1316" s="29" t="n"/>
      <c r="AG1316" s="29" t="n"/>
      <c r="AH1316" s="29" t="n"/>
      <c r="AI1316" s="29" t="n"/>
    </row>
    <row r="1317">
      <c r="L1317" s="29" t="n"/>
      <c r="M1317" s="29" t="n"/>
      <c r="N1317" s="29" t="n"/>
      <c r="O1317" s="29" t="n"/>
      <c r="P1317" s="29" t="n"/>
      <c r="Q1317" s="29" t="n"/>
      <c r="R1317" s="29" t="n"/>
      <c r="S1317" s="29" t="n"/>
      <c r="T1317" s="29" t="n"/>
      <c r="U1317" s="29" t="n"/>
      <c r="V1317" s="29" t="n"/>
      <c r="W1317" s="29" t="n"/>
      <c r="X1317" s="29" t="n"/>
      <c r="Y1317" s="29" t="n"/>
      <c r="Z1317" s="29" t="n"/>
      <c r="AA1317" s="29" t="n"/>
      <c r="AB1317" s="29" t="n"/>
      <c r="AC1317" s="29" t="n"/>
      <c r="AD1317" s="29" t="n"/>
      <c r="AE1317" s="29" t="n"/>
      <c r="AF1317" s="29" t="n"/>
      <c r="AG1317" s="29" t="n"/>
      <c r="AH1317" s="29" t="n"/>
      <c r="AI1317" s="29" t="n"/>
    </row>
    <row r="1318">
      <c r="L1318" s="29" t="n"/>
      <c r="M1318" s="29" t="n"/>
      <c r="N1318" s="29" t="n"/>
      <c r="O1318" s="29" t="n"/>
      <c r="P1318" s="29" t="n"/>
      <c r="Q1318" s="29" t="n"/>
      <c r="R1318" s="29" t="n"/>
      <c r="S1318" s="29" t="n"/>
      <c r="T1318" s="29" t="n"/>
      <c r="U1318" s="29" t="n"/>
      <c r="V1318" s="29" t="n"/>
      <c r="W1318" s="29" t="n"/>
      <c r="X1318" s="29" t="n"/>
      <c r="Y1318" s="29" t="n"/>
      <c r="Z1318" s="29" t="n"/>
      <c r="AA1318" s="29" t="n"/>
      <c r="AB1318" s="29" t="n"/>
      <c r="AC1318" s="29" t="n"/>
      <c r="AD1318" s="29" t="n"/>
      <c r="AE1318" s="29" t="n"/>
      <c r="AF1318" s="29" t="n"/>
      <c r="AG1318" s="29" t="n"/>
      <c r="AH1318" s="29" t="n"/>
      <c r="AI1318" s="29" t="n"/>
    </row>
    <row r="1319">
      <c r="L1319" s="29" t="n"/>
      <c r="M1319" s="29" t="n"/>
      <c r="N1319" s="29" t="n"/>
      <c r="O1319" s="29" t="n"/>
      <c r="P1319" s="29" t="n"/>
      <c r="Q1319" s="29" t="n"/>
      <c r="R1319" s="29" t="n"/>
      <c r="S1319" s="29" t="n"/>
      <c r="T1319" s="29" t="n"/>
      <c r="U1319" s="29" t="n"/>
      <c r="V1319" s="29" t="n"/>
      <c r="W1319" s="29" t="n"/>
      <c r="X1319" s="29" t="n"/>
      <c r="Y1319" s="29" t="n"/>
      <c r="Z1319" s="29" t="n"/>
      <c r="AA1319" s="29" t="n"/>
      <c r="AB1319" s="29" t="n"/>
      <c r="AC1319" s="29" t="n"/>
      <c r="AD1319" s="29" t="n"/>
      <c r="AE1319" s="29" t="n"/>
      <c r="AF1319" s="29" t="n"/>
      <c r="AG1319" s="29" t="n"/>
      <c r="AH1319" s="29" t="n"/>
      <c r="AI1319" s="29" t="n"/>
    </row>
    <row r="1320">
      <c r="L1320" s="29" t="n"/>
      <c r="M1320" s="29" t="n"/>
      <c r="N1320" s="29" t="n"/>
      <c r="O1320" s="29" t="n"/>
      <c r="P1320" s="29" t="n"/>
      <c r="Q1320" s="29" t="n"/>
      <c r="R1320" s="29" t="n"/>
      <c r="S1320" s="29" t="n"/>
      <c r="T1320" s="29" t="n"/>
      <c r="U1320" s="29" t="n"/>
      <c r="V1320" s="29" t="n"/>
      <c r="W1320" s="29" t="n"/>
      <c r="X1320" s="29" t="n"/>
      <c r="Y1320" s="29" t="n"/>
      <c r="Z1320" s="29" t="n"/>
      <c r="AA1320" s="29" t="n"/>
      <c r="AB1320" s="29" t="n"/>
      <c r="AC1320" s="29" t="n"/>
      <c r="AD1320" s="29" t="n"/>
      <c r="AE1320" s="29" t="n"/>
      <c r="AF1320" s="29" t="n"/>
      <c r="AG1320" s="29" t="n"/>
      <c r="AH1320" s="29" t="n"/>
      <c r="AI1320" s="29" t="n"/>
    </row>
    <row r="1321">
      <c r="L1321" s="29" t="n"/>
      <c r="M1321" s="29" t="n"/>
      <c r="N1321" s="29" t="n"/>
      <c r="O1321" s="29" t="n"/>
      <c r="P1321" s="29" t="n"/>
      <c r="Q1321" s="29" t="n"/>
      <c r="R1321" s="29" t="n"/>
      <c r="S1321" s="29" t="n"/>
      <c r="T1321" s="29" t="n"/>
      <c r="U1321" s="29" t="n"/>
      <c r="V1321" s="29" t="n"/>
      <c r="W1321" s="29" t="n"/>
      <c r="X1321" s="29" t="n"/>
      <c r="Y1321" s="29" t="n"/>
      <c r="Z1321" s="29" t="n"/>
      <c r="AA1321" s="29" t="n"/>
      <c r="AB1321" s="29" t="n"/>
      <c r="AC1321" s="29" t="n"/>
      <c r="AD1321" s="29" t="n"/>
      <c r="AE1321" s="29" t="n"/>
      <c r="AF1321" s="29" t="n"/>
      <c r="AG1321" s="29" t="n"/>
      <c r="AH1321" s="29" t="n"/>
      <c r="AI1321" s="29" t="n"/>
    </row>
    <row r="1322">
      <c r="L1322" s="29" t="n"/>
      <c r="M1322" s="29" t="n"/>
      <c r="N1322" s="29" t="n"/>
      <c r="O1322" s="29" t="n"/>
      <c r="P1322" s="29" t="n"/>
      <c r="Q1322" s="29" t="n"/>
      <c r="R1322" s="29" t="n"/>
      <c r="S1322" s="29" t="n"/>
      <c r="T1322" s="29" t="n"/>
      <c r="U1322" s="29" t="n"/>
      <c r="V1322" s="29" t="n"/>
      <c r="W1322" s="29" t="n"/>
      <c r="X1322" s="29" t="n"/>
      <c r="Y1322" s="29" t="n"/>
      <c r="Z1322" s="29" t="n"/>
      <c r="AA1322" s="29" t="n"/>
      <c r="AB1322" s="29" t="n"/>
      <c r="AC1322" s="29" t="n"/>
      <c r="AD1322" s="29" t="n"/>
      <c r="AE1322" s="29" t="n"/>
      <c r="AF1322" s="29" t="n"/>
      <c r="AG1322" s="29" t="n"/>
      <c r="AH1322" s="29" t="n"/>
      <c r="AI1322" s="29" t="n"/>
    </row>
    <row r="1323">
      <c r="L1323" s="29" t="n"/>
      <c r="M1323" s="29" t="n"/>
      <c r="N1323" s="29" t="n"/>
      <c r="O1323" s="29" t="n"/>
      <c r="P1323" s="29" t="n"/>
      <c r="Q1323" s="29" t="n"/>
      <c r="R1323" s="29" t="n"/>
      <c r="S1323" s="29" t="n"/>
      <c r="T1323" s="29" t="n"/>
      <c r="U1323" s="29" t="n"/>
      <c r="V1323" s="29" t="n"/>
      <c r="W1323" s="29" t="n"/>
      <c r="X1323" s="29" t="n"/>
      <c r="Y1323" s="29" t="n"/>
      <c r="Z1323" s="29" t="n"/>
      <c r="AA1323" s="29" t="n"/>
      <c r="AB1323" s="29" t="n"/>
      <c r="AC1323" s="29" t="n"/>
      <c r="AD1323" s="29" t="n"/>
      <c r="AE1323" s="29" t="n"/>
      <c r="AF1323" s="29" t="n"/>
      <c r="AG1323" s="29" t="n"/>
      <c r="AH1323" s="29" t="n"/>
      <c r="AI1323" s="29" t="n"/>
    </row>
    <row r="1324">
      <c r="L1324" s="29" t="n"/>
      <c r="M1324" s="29" t="n"/>
      <c r="N1324" s="29" t="n"/>
      <c r="O1324" s="29" t="n"/>
      <c r="P1324" s="29" t="n"/>
      <c r="Q1324" s="29" t="n"/>
      <c r="R1324" s="29" t="n"/>
      <c r="S1324" s="29" t="n"/>
      <c r="T1324" s="29" t="n"/>
      <c r="U1324" s="29" t="n"/>
      <c r="V1324" s="29" t="n"/>
      <c r="W1324" s="29" t="n"/>
      <c r="X1324" s="29" t="n"/>
      <c r="Y1324" s="29" t="n"/>
      <c r="Z1324" s="29" t="n"/>
      <c r="AA1324" s="29" t="n"/>
      <c r="AB1324" s="29" t="n"/>
      <c r="AC1324" s="29" t="n"/>
      <c r="AD1324" s="29" t="n"/>
      <c r="AE1324" s="29" t="n"/>
      <c r="AF1324" s="29" t="n"/>
      <c r="AG1324" s="29" t="n"/>
      <c r="AH1324" s="29" t="n"/>
      <c r="AI1324" s="29" t="n"/>
    </row>
    <row r="1325">
      <c r="L1325" s="29" t="n"/>
      <c r="M1325" s="29" t="n"/>
      <c r="N1325" s="29" t="n"/>
      <c r="O1325" s="29" t="n"/>
      <c r="P1325" s="29" t="n"/>
      <c r="Q1325" s="29" t="n"/>
      <c r="R1325" s="29" t="n"/>
      <c r="S1325" s="29" t="n"/>
      <c r="T1325" s="29" t="n"/>
      <c r="U1325" s="29" t="n"/>
      <c r="V1325" s="29" t="n"/>
      <c r="W1325" s="29" t="n"/>
      <c r="X1325" s="29" t="n"/>
      <c r="Y1325" s="29" t="n"/>
      <c r="Z1325" s="29" t="n"/>
      <c r="AA1325" s="29" t="n"/>
      <c r="AB1325" s="29" t="n"/>
      <c r="AC1325" s="29" t="n"/>
      <c r="AD1325" s="29" t="n"/>
      <c r="AE1325" s="29" t="n"/>
      <c r="AF1325" s="29" t="n"/>
      <c r="AG1325" s="29" t="n"/>
      <c r="AH1325" s="29" t="n"/>
      <c r="AI1325" s="29" t="n"/>
    </row>
    <row r="1326">
      <c r="L1326" s="29" t="n"/>
      <c r="M1326" s="29" t="n"/>
      <c r="N1326" s="29" t="n"/>
      <c r="O1326" s="29" t="n"/>
      <c r="P1326" s="29" t="n"/>
      <c r="Q1326" s="29" t="n"/>
      <c r="R1326" s="29" t="n"/>
      <c r="S1326" s="29" t="n"/>
      <c r="T1326" s="29" t="n"/>
      <c r="U1326" s="29" t="n"/>
      <c r="V1326" s="29" t="n"/>
      <c r="W1326" s="29" t="n"/>
      <c r="X1326" s="29" t="n"/>
      <c r="Y1326" s="29" t="n"/>
      <c r="Z1326" s="29" t="n"/>
      <c r="AA1326" s="29" t="n"/>
      <c r="AB1326" s="29" t="n"/>
      <c r="AC1326" s="29" t="n"/>
      <c r="AD1326" s="29" t="n"/>
      <c r="AE1326" s="29" t="n"/>
      <c r="AF1326" s="29" t="n"/>
      <c r="AG1326" s="29" t="n"/>
      <c r="AH1326" s="29" t="n"/>
      <c r="AI1326" s="29" t="n"/>
    </row>
    <row r="1327">
      <c r="L1327" s="29" t="n"/>
      <c r="M1327" s="29" t="n"/>
      <c r="N1327" s="29" t="n"/>
      <c r="O1327" s="29" t="n"/>
      <c r="P1327" s="29" t="n"/>
      <c r="Q1327" s="29" t="n"/>
      <c r="R1327" s="29" t="n"/>
      <c r="S1327" s="29" t="n"/>
      <c r="T1327" s="29" t="n"/>
      <c r="U1327" s="29" t="n"/>
      <c r="V1327" s="29" t="n"/>
      <c r="W1327" s="29" t="n"/>
      <c r="X1327" s="29" t="n"/>
      <c r="Y1327" s="29" t="n"/>
      <c r="Z1327" s="29" t="n"/>
      <c r="AA1327" s="29" t="n"/>
      <c r="AB1327" s="29" t="n"/>
      <c r="AC1327" s="29" t="n"/>
      <c r="AD1327" s="29" t="n"/>
      <c r="AE1327" s="29" t="n"/>
      <c r="AF1327" s="29" t="n"/>
      <c r="AG1327" s="29" t="n"/>
      <c r="AH1327" s="29" t="n"/>
      <c r="AI1327" s="29" t="n"/>
    </row>
    <row r="1328">
      <c r="L1328" s="29" t="n"/>
      <c r="M1328" s="29" t="n"/>
      <c r="N1328" s="29" t="n"/>
      <c r="O1328" s="29" t="n"/>
      <c r="P1328" s="29" t="n"/>
      <c r="Q1328" s="29" t="n"/>
      <c r="R1328" s="29" t="n"/>
      <c r="S1328" s="29" t="n"/>
      <c r="T1328" s="29" t="n"/>
      <c r="U1328" s="29" t="n"/>
      <c r="V1328" s="29" t="n"/>
      <c r="W1328" s="29" t="n"/>
      <c r="X1328" s="29" t="n"/>
      <c r="Y1328" s="29" t="n"/>
      <c r="Z1328" s="29" t="n"/>
      <c r="AA1328" s="29" t="n"/>
      <c r="AB1328" s="29" t="n"/>
      <c r="AC1328" s="29" t="n"/>
      <c r="AD1328" s="29" t="n"/>
      <c r="AE1328" s="29" t="n"/>
      <c r="AF1328" s="29" t="n"/>
      <c r="AG1328" s="29" t="n"/>
      <c r="AH1328" s="29" t="n"/>
      <c r="AI1328" s="29" t="n"/>
    </row>
    <row r="1329">
      <c r="L1329" s="29" t="n"/>
      <c r="M1329" s="29" t="n"/>
      <c r="N1329" s="29" t="n"/>
      <c r="O1329" s="29" t="n"/>
      <c r="P1329" s="29" t="n"/>
      <c r="Q1329" s="29" t="n"/>
      <c r="R1329" s="29" t="n"/>
      <c r="S1329" s="29" t="n"/>
      <c r="T1329" s="29" t="n"/>
      <c r="U1329" s="29" t="n"/>
      <c r="V1329" s="29" t="n"/>
      <c r="W1329" s="29" t="n"/>
      <c r="X1329" s="29" t="n"/>
      <c r="Y1329" s="29" t="n"/>
      <c r="Z1329" s="29" t="n"/>
      <c r="AA1329" s="29" t="n"/>
      <c r="AB1329" s="29" t="n"/>
      <c r="AC1329" s="29" t="n"/>
      <c r="AD1329" s="29" t="n"/>
      <c r="AE1329" s="29" t="n"/>
      <c r="AF1329" s="29" t="n"/>
      <c r="AG1329" s="29" t="n"/>
      <c r="AH1329" s="29" t="n"/>
      <c r="AI1329" s="29" t="n"/>
    </row>
    <row r="1330">
      <c r="L1330" s="29" t="n"/>
      <c r="M1330" s="29" t="n"/>
      <c r="N1330" s="29" t="n"/>
      <c r="O1330" s="29" t="n"/>
      <c r="P1330" s="29" t="n"/>
      <c r="Q1330" s="29" t="n"/>
      <c r="R1330" s="29" t="n"/>
      <c r="S1330" s="29" t="n"/>
      <c r="T1330" s="29" t="n"/>
      <c r="U1330" s="29" t="n"/>
      <c r="V1330" s="29" t="n"/>
      <c r="W1330" s="29" t="n"/>
      <c r="X1330" s="29" t="n"/>
      <c r="Y1330" s="29" t="n"/>
      <c r="Z1330" s="29" t="n"/>
      <c r="AA1330" s="29" t="n"/>
      <c r="AB1330" s="29" t="n"/>
      <c r="AC1330" s="29" t="n"/>
      <c r="AD1330" s="29" t="n"/>
      <c r="AE1330" s="29" t="n"/>
      <c r="AF1330" s="29" t="n"/>
      <c r="AG1330" s="29" t="n"/>
      <c r="AH1330" s="29" t="n"/>
      <c r="AI1330" s="29" t="n"/>
    </row>
    <row r="1331">
      <c r="L1331" s="29" t="n"/>
      <c r="M1331" s="29" t="n"/>
      <c r="N1331" s="29" t="n"/>
      <c r="O1331" s="29" t="n"/>
      <c r="P1331" s="29" t="n"/>
      <c r="Q1331" s="29" t="n"/>
      <c r="R1331" s="29" t="n"/>
      <c r="S1331" s="29" t="n"/>
      <c r="T1331" s="29" t="n"/>
      <c r="U1331" s="29" t="n"/>
      <c r="V1331" s="29" t="n"/>
      <c r="W1331" s="29" t="n"/>
      <c r="X1331" s="29" t="n"/>
      <c r="Y1331" s="29" t="n"/>
      <c r="Z1331" s="29" t="n"/>
      <c r="AA1331" s="29" t="n"/>
      <c r="AB1331" s="29" t="n"/>
      <c r="AC1331" s="29" t="n"/>
      <c r="AD1331" s="29" t="n"/>
      <c r="AE1331" s="29" t="n"/>
      <c r="AF1331" s="29" t="n"/>
      <c r="AG1331" s="29" t="n"/>
      <c r="AH1331" s="29" t="n"/>
      <c r="AI1331" s="29" t="n"/>
    </row>
    <row r="1332">
      <c r="L1332" s="29" t="n"/>
      <c r="M1332" s="29" t="n"/>
      <c r="N1332" s="29" t="n"/>
      <c r="O1332" s="29" t="n"/>
      <c r="P1332" s="29" t="n"/>
      <c r="Q1332" s="29" t="n"/>
      <c r="R1332" s="29" t="n"/>
      <c r="S1332" s="29" t="n"/>
      <c r="T1332" s="29" t="n"/>
      <c r="U1332" s="29" t="n"/>
      <c r="V1332" s="29" t="n"/>
      <c r="W1332" s="29" t="n"/>
      <c r="X1332" s="29" t="n"/>
      <c r="Y1332" s="29" t="n"/>
      <c r="Z1332" s="29" t="n"/>
      <c r="AA1332" s="29" t="n"/>
      <c r="AB1332" s="29" t="n"/>
      <c r="AC1332" s="29" t="n"/>
      <c r="AD1332" s="29" t="n"/>
      <c r="AE1332" s="29" t="n"/>
      <c r="AF1332" s="29" t="n"/>
      <c r="AG1332" s="29" t="n"/>
      <c r="AH1332" s="29" t="n"/>
      <c r="AI1332" s="29" t="n"/>
    </row>
    <row r="1333">
      <c r="L1333" s="29" t="n"/>
      <c r="M1333" s="29" t="n"/>
      <c r="N1333" s="29" t="n"/>
      <c r="O1333" s="29" t="n"/>
      <c r="P1333" s="29" t="n"/>
      <c r="Q1333" s="29" t="n"/>
      <c r="R1333" s="29" t="n"/>
      <c r="S1333" s="29" t="n"/>
      <c r="T1333" s="29" t="n"/>
      <c r="U1333" s="29" t="n"/>
      <c r="V1333" s="29" t="n"/>
      <c r="W1333" s="29" t="n"/>
      <c r="X1333" s="29" t="n"/>
      <c r="Y1333" s="29" t="n"/>
      <c r="Z1333" s="29" t="n"/>
      <c r="AA1333" s="29" t="n"/>
      <c r="AB1333" s="29" t="n"/>
      <c r="AC1333" s="29" t="n"/>
      <c r="AD1333" s="29" t="n"/>
      <c r="AE1333" s="29" t="n"/>
      <c r="AF1333" s="29" t="n"/>
      <c r="AG1333" s="29" t="n"/>
      <c r="AH1333" s="29" t="n"/>
      <c r="AI1333" s="29" t="n"/>
    </row>
    <row r="1334">
      <c r="L1334" s="29" t="n"/>
      <c r="M1334" s="29" t="n"/>
      <c r="N1334" s="29" t="n"/>
      <c r="O1334" s="29" t="n"/>
      <c r="P1334" s="29" t="n"/>
      <c r="Q1334" s="29" t="n"/>
      <c r="R1334" s="29" t="n"/>
      <c r="S1334" s="29" t="n"/>
      <c r="T1334" s="29" t="n"/>
      <c r="U1334" s="29" t="n"/>
      <c r="V1334" s="29" t="n"/>
      <c r="W1334" s="29" t="n"/>
      <c r="X1334" s="29" t="n"/>
      <c r="Y1334" s="29" t="n"/>
      <c r="Z1334" s="29" t="n"/>
      <c r="AA1334" s="29" t="n"/>
      <c r="AB1334" s="29" t="n"/>
      <c r="AC1334" s="29" t="n"/>
      <c r="AD1334" s="29" t="n"/>
      <c r="AE1334" s="29" t="n"/>
      <c r="AF1334" s="29" t="n"/>
      <c r="AG1334" s="29" t="n"/>
      <c r="AH1334" s="29" t="n"/>
      <c r="AI1334" s="29" t="n"/>
    </row>
    <row r="1335">
      <c r="L1335" s="29" t="n"/>
      <c r="M1335" s="29" t="n"/>
      <c r="N1335" s="29" t="n"/>
      <c r="O1335" s="29" t="n"/>
      <c r="P1335" s="29" t="n"/>
      <c r="Q1335" s="29" t="n"/>
      <c r="R1335" s="29" t="n"/>
      <c r="S1335" s="29" t="n"/>
      <c r="T1335" s="29" t="n"/>
      <c r="U1335" s="29" t="n"/>
      <c r="V1335" s="29" t="n"/>
      <c r="W1335" s="29" t="n"/>
      <c r="X1335" s="29" t="n"/>
      <c r="Y1335" s="29" t="n"/>
      <c r="Z1335" s="29" t="n"/>
      <c r="AA1335" s="29" t="n"/>
      <c r="AB1335" s="29" t="n"/>
      <c r="AC1335" s="29" t="n"/>
      <c r="AD1335" s="29" t="n"/>
      <c r="AE1335" s="29" t="n"/>
      <c r="AF1335" s="29" t="n"/>
      <c r="AG1335" s="29" t="n"/>
      <c r="AH1335" s="29" t="n"/>
      <c r="AI1335" s="29" t="n"/>
    </row>
    <row r="1336">
      <c r="L1336" s="29" t="n"/>
      <c r="M1336" s="29" t="n"/>
      <c r="N1336" s="29" t="n"/>
      <c r="O1336" s="29" t="n"/>
      <c r="P1336" s="29" t="n"/>
      <c r="Q1336" s="29" t="n"/>
      <c r="R1336" s="29" t="n"/>
      <c r="S1336" s="29" t="n"/>
      <c r="T1336" s="29" t="n"/>
      <c r="U1336" s="29" t="n"/>
      <c r="V1336" s="29" t="n"/>
      <c r="W1336" s="29" t="n"/>
      <c r="X1336" s="29" t="n"/>
      <c r="Y1336" s="29" t="n"/>
      <c r="Z1336" s="29" t="n"/>
      <c r="AA1336" s="29" t="n"/>
      <c r="AB1336" s="29" t="n"/>
      <c r="AC1336" s="29" t="n"/>
      <c r="AD1336" s="29" t="n"/>
      <c r="AE1336" s="29" t="n"/>
      <c r="AF1336" s="29" t="n"/>
      <c r="AG1336" s="29" t="n"/>
      <c r="AH1336" s="29" t="n"/>
      <c r="AI1336" s="29" t="n"/>
    </row>
    <row r="1337">
      <c r="L1337" s="29" t="n"/>
      <c r="M1337" s="29" t="n"/>
      <c r="N1337" s="29" t="n"/>
      <c r="O1337" s="29" t="n"/>
      <c r="P1337" s="29" t="n"/>
      <c r="Q1337" s="29" t="n"/>
      <c r="R1337" s="29" t="n"/>
      <c r="S1337" s="29" t="n"/>
      <c r="T1337" s="29" t="n"/>
      <c r="U1337" s="29" t="n"/>
      <c r="V1337" s="29" t="n"/>
      <c r="W1337" s="29" t="n"/>
      <c r="X1337" s="29" t="n"/>
      <c r="Y1337" s="29" t="n"/>
      <c r="Z1337" s="29" t="n"/>
      <c r="AA1337" s="29" t="n"/>
      <c r="AB1337" s="29" t="n"/>
      <c r="AC1337" s="29" t="n"/>
      <c r="AD1337" s="29" t="n"/>
      <c r="AE1337" s="29" t="n"/>
      <c r="AF1337" s="29" t="n"/>
      <c r="AG1337" s="29" t="n"/>
      <c r="AH1337" s="29" t="n"/>
      <c r="AI1337" s="29" t="n"/>
    </row>
    <row r="1338">
      <c r="L1338" s="29" t="n"/>
      <c r="M1338" s="29" t="n"/>
      <c r="N1338" s="29" t="n"/>
      <c r="O1338" s="29" t="n"/>
      <c r="P1338" s="29" t="n"/>
      <c r="Q1338" s="29" t="n"/>
      <c r="R1338" s="29" t="n"/>
      <c r="S1338" s="29" t="n"/>
      <c r="T1338" s="29" t="n"/>
      <c r="U1338" s="29" t="n"/>
      <c r="V1338" s="29" t="n"/>
      <c r="W1338" s="29" t="n"/>
      <c r="X1338" s="29" t="n"/>
      <c r="Y1338" s="29" t="n"/>
      <c r="Z1338" s="29" t="n"/>
      <c r="AA1338" s="29" t="n"/>
      <c r="AB1338" s="29" t="n"/>
      <c r="AC1338" s="29" t="n"/>
      <c r="AD1338" s="29" t="n"/>
      <c r="AE1338" s="29" t="n"/>
      <c r="AF1338" s="29" t="n"/>
      <c r="AG1338" s="29" t="n"/>
      <c r="AH1338" s="29" t="n"/>
      <c r="AI1338" s="29" t="n"/>
    </row>
    <row r="1339">
      <c r="L1339" s="29" t="n"/>
      <c r="M1339" s="29" t="n"/>
      <c r="N1339" s="29" t="n"/>
      <c r="O1339" s="29" t="n"/>
      <c r="P1339" s="29" t="n"/>
      <c r="Q1339" s="29" t="n"/>
      <c r="R1339" s="29" t="n"/>
      <c r="S1339" s="29" t="n"/>
      <c r="T1339" s="29" t="n"/>
      <c r="U1339" s="29" t="n"/>
      <c r="V1339" s="29" t="n"/>
      <c r="W1339" s="29" t="n"/>
      <c r="X1339" s="29" t="n"/>
      <c r="Y1339" s="29" t="n"/>
      <c r="Z1339" s="29" t="n"/>
      <c r="AA1339" s="29" t="n"/>
      <c r="AB1339" s="29" t="n"/>
      <c r="AC1339" s="29" t="n"/>
      <c r="AD1339" s="29" t="n"/>
      <c r="AE1339" s="29" t="n"/>
      <c r="AF1339" s="29" t="n"/>
      <c r="AG1339" s="29" t="n"/>
      <c r="AH1339" s="29" t="n"/>
      <c r="AI1339" s="29" t="n"/>
    </row>
    <row r="1340">
      <c r="L1340" s="29" t="n"/>
      <c r="M1340" s="29" t="n"/>
      <c r="N1340" s="29" t="n"/>
      <c r="O1340" s="29" t="n"/>
      <c r="P1340" s="29" t="n"/>
      <c r="Q1340" s="29" t="n"/>
      <c r="R1340" s="29" t="n"/>
      <c r="S1340" s="29" t="n"/>
      <c r="T1340" s="29" t="n"/>
      <c r="U1340" s="29" t="n"/>
      <c r="V1340" s="29" t="n"/>
      <c r="W1340" s="29" t="n"/>
      <c r="X1340" s="29" t="n"/>
      <c r="Y1340" s="29" t="n"/>
      <c r="Z1340" s="29" t="n"/>
      <c r="AA1340" s="29" t="n"/>
      <c r="AB1340" s="29" t="n"/>
      <c r="AC1340" s="29" t="n"/>
      <c r="AD1340" s="29" t="n"/>
      <c r="AE1340" s="29" t="n"/>
      <c r="AF1340" s="29" t="n"/>
      <c r="AG1340" s="29" t="n"/>
      <c r="AH1340" s="29" t="n"/>
      <c r="AI1340" s="29" t="n"/>
    </row>
    <row r="1341">
      <c r="L1341" s="29" t="n"/>
      <c r="M1341" s="29" t="n"/>
      <c r="N1341" s="29" t="n"/>
      <c r="O1341" s="29" t="n"/>
      <c r="P1341" s="29" t="n"/>
      <c r="Q1341" s="29" t="n"/>
      <c r="R1341" s="29" t="n"/>
      <c r="S1341" s="29" t="n"/>
      <c r="T1341" s="29" t="n"/>
      <c r="U1341" s="29" t="n"/>
      <c r="V1341" s="29" t="n"/>
      <c r="W1341" s="29" t="n"/>
      <c r="X1341" s="29" t="n"/>
      <c r="Y1341" s="29" t="n"/>
      <c r="Z1341" s="29" t="n"/>
      <c r="AA1341" s="29" t="n"/>
      <c r="AB1341" s="29" t="n"/>
      <c r="AC1341" s="29" t="n"/>
      <c r="AD1341" s="29" t="n"/>
      <c r="AE1341" s="29" t="n"/>
      <c r="AF1341" s="29" t="n"/>
      <c r="AG1341" s="29" t="n"/>
      <c r="AH1341" s="29" t="n"/>
      <c r="AI1341" s="29" t="n"/>
    </row>
    <row r="1342">
      <c r="L1342" s="29" t="n"/>
      <c r="M1342" s="29" t="n"/>
      <c r="N1342" s="29" t="n"/>
      <c r="O1342" s="29" t="n"/>
      <c r="P1342" s="29" t="n"/>
      <c r="Q1342" s="29" t="n"/>
      <c r="R1342" s="29" t="n"/>
      <c r="S1342" s="29" t="n"/>
      <c r="T1342" s="29" t="n"/>
      <c r="U1342" s="29" t="n"/>
      <c r="V1342" s="29" t="n"/>
      <c r="W1342" s="29" t="n"/>
      <c r="X1342" s="29" t="n"/>
      <c r="Y1342" s="29" t="n"/>
      <c r="Z1342" s="29" t="n"/>
      <c r="AA1342" s="29" t="n"/>
      <c r="AB1342" s="29" t="n"/>
      <c r="AC1342" s="29" t="n"/>
      <c r="AD1342" s="29" t="n"/>
      <c r="AE1342" s="29" t="n"/>
      <c r="AF1342" s="29" t="n"/>
      <c r="AG1342" s="29" t="n"/>
      <c r="AH1342" s="29" t="n"/>
      <c r="AI1342" s="29" t="n"/>
    </row>
    <row r="1343">
      <c r="L1343" s="29" t="n"/>
      <c r="M1343" s="29" t="n"/>
      <c r="N1343" s="29" t="n"/>
      <c r="O1343" s="29" t="n"/>
      <c r="P1343" s="29" t="n"/>
      <c r="Q1343" s="29" t="n"/>
      <c r="R1343" s="29" t="n"/>
      <c r="S1343" s="29" t="n"/>
      <c r="T1343" s="29" t="n"/>
      <c r="U1343" s="29" t="n"/>
      <c r="V1343" s="29" t="n"/>
      <c r="W1343" s="29" t="n"/>
      <c r="X1343" s="29" t="n"/>
      <c r="Y1343" s="29" t="n"/>
      <c r="Z1343" s="29" t="n"/>
      <c r="AA1343" s="29" t="n"/>
      <c r="AB1343" s="29" t="n"/>
      <c r="AC1343" s="29" t="n"/>
      <c r="AD1343" s="29" t="n"/>
      <c r="AE1343" s="29" t="n"/>
      <c r="AF1343" s="29" t="n"/>
      <c r="AG1343" s="29" t="n"/>
      <c r="AH1343" s="29" t="n"/>
      <c r="AI1343" s="29" t="n"/>
    </row>
    <row r="1344">
      <c r="L1344" s="29" t="n"/>
      <c r="M1344" s="29" t="n"/>
      <c r="N1344" s="29" t="n"/>
      <c r="O1344" s="29" t="n"/>
      <c r="P1344" s="29" t="n"/>
      <c r="Q1344" s="29" t="n"/>
      <c r="R1344" s="29" t="n"/>
      <c r="S1344" s="29" t="n"/>
      <c r="T1344" s="29" t="n"/>
      <c r="U1344" s="29" t="n"/>
      <c r="V1344" s="29" t="n"/>
      <c r="W1344" s="29" t="n"/>
      <c r="X1344" s="29" t="n"/>
      <c r="Y1344" s="29" t="n"/>
      <c r="Z1344" s="29" t="n"/>
      <c r="AA1344" s="29" t="n"/>
      <c r="AB1344" s="29" t="n"/>
      <c r="AC1344" s="29" t="n"/>
      <c r="AD1344" s="29" t="n"/>
      <c r="AE1344" s="29" t="n"/>
      <c r="AF1344" s="29" t="n"/>
      <c r="AG1344" s="29" t="n"/>
      <c r="AH1344" s="29" t="n"/>
      <c r="AI1344" s="29" t="n"/>
    </row>
    <row r="1345">
      <c r="L1345" s="29" t="n"/>
      <c r="M1345" s="29" t="n"/>
      <c r="N1345" s="29" t="n"/>
      <c r="O1345" s="29" t="n"/>
      <c r="P1345" s="29" t="n"/>
      <c r="Q1345" s="29" t="n"/>
      <c r="R1345" s="29" t="n"/>
      <c r="S1345" s="29" t="n"/>
      <c r="T1345" s="29" t="n"/>
      <c r="U1345" s="29" t="n"/>
      <c r="V1345" s="29" t="n"/>
      <c r="W1345" s="29" t="n"/>
      <c r="X1345" s="29" t="n"/>
      <c r="Y1345" s="29" t="n"/>
      <c r="Z1345" s="29" t="n"/>
      <c r="AA1345" s="29" t="n"/>
      <c r="AB1345" s="29" t="n"/>
      <c r="AC1345" s="29" t="n"/>
      <c r="AD1345" s="29" t="n"/>
      <c r="AE1345" s="29" t="n"/>
      <c r="AF1345" s="29" t="n"/>
      <c r="AG1345" s="29" t="n"/>
      <c r="AH1345" s="29" t="n"/>
      <c r="AI1345" s="29" t="n"/>
    </row>
    <row r="1346">
      <c r="L1346" s="29" t="n"/>
      <c r="M1346" s="29" t="n"/>
      <c r="N1346" s="29" t="n"/>
      <c r="O1346" s="29" t="n"/>
      <c r="P1346" s="29" t="n"/>
      <c r="Q1346" s="29" t="n"/>
      <c r="R1346" s="29" t="n"/>
      <c r="S1346" s="29" t="n"/>
      <c r="T1346" s="29" t="n"/>
      <c r="U1346" s="29" t="n"/>
      <c r="V1346" s="29" t="n"/>
      <c r="W1346" s="29" t="n"/>
      <c r="X1346" s="29" t="n"/>
      <c r="Y1346" s="29" t="n"/>
      <c r="Z1346" s="29" t="n"/>
      <c r="AA1346" s="29" t="n"/>
      <c r="AB1346" s="29" t="n"/>
      <c r="AC1346" s="29" t="n"/>
      <c r="AD1346" s="29" t="n"/>
      <c r="AE1346" s="29" t="n"/>
      <c r="AF1346" s="29" t="n"/>
      <c r="AG1346" s="29" t="n"/>
      <c r="AH1346" s="29" t="n"/>
      <c r="AI1346" s="29" t="n"/>
    </row>
    <row r="1347">
      <c r="L1347" s="29" t="n"/>
      <c r="M1347" s="29" t="n"/>
      <c r="N1347" s="29" t="n"/>
      <c r="O1347" s="29" t="n"/>
      <c r="P1347" s="29" t="n"/>
      <c r="Q1347" s="29" t="n"/>
      <c r="R1347" s="29" t="n"/>
      <c r="S1347" s="29" t="n"/>
      <c r="T1347" s="29" t="n"/>
      <c r="U1347" s="29" t="n"/>
      <c r="V1347" s="29" t="n"/>
      <c r="W1347" s="29" t="n"/>
      <c r="X1347" s="29" t="n"/>
      <c r="Y1347" s="29" t="n"/>
      <c r="Z1347" s="29" t="n"/>
      <c r="AA1347" s="29" t="n"/>
      <c r="AB1347" s="29" t="n"/>
      <c r="AC1347" s="29" t="n"/>
      <c r="AD1347" s="29" t="n"/>
      <c r="AE1347" s="29" t="n"/>
      <c r="AF1347" s="29" t="n"/>
      <c r="AG1347" s="29" t="n"/>
      <c r="AH1347" s="29" t="n"/>
      <c r="AI1347" s="29" t="n"/>
    </row>
    <row r="1348">
      <c r="L1348" s="29" t="n"/>
      <c r="M1348" s="29" t="n"/>
      <c r="N1348" s="29" t="n"/>
      <c r="O1348" s="29" t="n"/>
      <c r="P1348" s="29" t="n"/>
      <c r="Q1348" s="29" t="n"/>
      <c r="R1348" s="29" t="n"/>
      <c r="S1348" s="29" t="n"/>
      <c r="T1348" s="29" t="n"/>
      <c r="U1348" s="29" t="n"/>
      <c r="V1348" s="29" t="n"/>
      <c r="W1348" s="29" t="n"/>
      <c r="X1348" s="29" t="n"/>
      <c r="Y1348" s="29" t="n"/>
      <c r="Z1348" s="29" t="n"/>
      <c r="AA1348" s="29" t="n"/>
      <c r="AB1348" s="29" t="n"/>
      <c r="AC1348" s="29" t="n"/>
      <c r="AD1348" s="29" t="n"/>
      <c r="AE1348" s="29" t="n"/>
      <c r="AF1348" s="29" t="n"/>
      <c r="AG1348" s="29" t="n"/>
      <c r="AH1348" s="29" t="n"/>
      <c r="AI1348" s="29" t="n"/>
    </row>
    <row r="1349">
      <c r="L1349" s="29" t="n"/>
      <c r="M1349" s="29" t="n"/>
      <c r="N1349" s="29" t="n"/>
      <c r="O1349" s="29" t="n"/>
      <c r="P1349" s="29" t="n"/>
      <c r="Q1349" s="29" t="n"/>
      <c r="R1349" s="29" t="n"/>
      <c r="S1349" s="29" t="n"/>
      <c r="T1349" s="29" t="n"/>
      <c r="U1349" s="29" t="n"/>
      <c r="V1349" s="29" t="n"/>
      <c r="W1349" s="29" t="n"/>
      <c r="X1349" s="29" t="n"/>
      <c r="Y1349" s="29" t="n"/>
      <c r="Z1349" s="29" t="n"/>
      <c r="AA1349" s="29" t="n"/>
      <c r="AB1349" s="29" t="n"/>
      <c r="AC1349" s="29" t="n"/>
      <c r="AD1349" s="29" t="n"/>
      <c r="AE1349" s="29" t="n"/>
      <c r="AF1349" s="29" t="n"/>
      <c r="AG1349" s="29" t="n"/>
      <c r="AH1349" s="29" t="n"/>
      <c r="AI1349" s="29" t="n"/>
    </row>
    <row r="1350">
      <c r="L1350" s="29" t="n"/>
      <c r="M1350" s="29" t="n"/>
      <c r="N1350" s="29" t="n"/>
      <c r="O1350" s="29" t="n"/>
      <c r="P1350" s="29" t="n"/>
      <c r="Q1350" s="29" t="n"/>
      <c r="R1350" s="29" t="n"/>
      <c r="S1350" s="29" t="n"/>
      <c r="T1350" s="29" t="n"/>
      <c r="U1350" s="29" t="n"/>
      <c r="V1350" s="29" t="n"/>
      <c r="W1350" s="29" t="n"/>
      <c r="X1350" s="29" t="n"/>
      <c r="Y1350" s="29" t="n"/>
      <c r="Z1350" s="29" t="n"/>
      <c r="AA1350" s="29" t="n"/>
      <c r="AB1350" s="29" t="n"/>
      <c r="AC1350" s="29" t="n"/>
      <c r="AD1350" s="29" t="n"/>
      <c r="AE1350" s="29" t="n"/>
      <c r="AF1350" s="29" t="n"/>
      <c r="AG1350" s="29" t="n"/>
      <c r="AH1350" s="29" t="n"/>
      <c r="AI1350" s="29" t="n"/>
    </row>
    <row r="1351">
      <c r="L1351" s="29" t="n"/>
      <c r="M1351" s="29" t="n"/>
      <c r="N1351" s="29" t="n"/>
      <c r="O1351" s="29" t="n"/>
      <c r="P1351" s="29" t="n"/>
      <c r="Q1351" s="29" t="n"/>
      <c r="R1351" s="29" t="n"/>
      <c r="S1351" s="29" t="n"/>
      <c r="T1351" s="29" t="n"/>
      <c r="U1351" s="29" t="n"/>
      <c r="V1351" s="29" t="n"/>
      <c r="W1351" s="29" t="n"/>
      <c r="X1351" s="29" t="n"/>
      <c r="Y1351" s="29" t="n"/>
      <c r="Z1351" s="29" t="n"/>
      <c r="AA1351" s="29" t="n"/>
      <c r="AB1351" s="29" t="n"/>
      <c r="AC1351" s="29" t="n"/>
      <c r="AD1351" s="29" t="n"/>
      <c r="AE1351" s="29" t="n"/>
      <c r="AF1351" s="29" t="n"/>
      <c r="AG1351" s="29" t="n"/>
      <c r="AH1351" s="29" t="n"/>
      <c r="AI1351" s="29" t="n"/>
    </row>
    <row r="1352">
      <c r="L1352" s="29" t="n"/>
      <c r="M1352" s="29" t="n"/>
      <c r="N1352" s="29" t="n"/>
      <c r="O1352" s="29" t="n"/>
      <c r="P1352" s="29" t="n"/>
      <c r="Q1352" s="29" t="n"/>
      <c r="R1352" s="29" t="n"/>
      <c r="S1352" s="29" t="n"/>
      <c r="T1352" s="29" t="n"/>
      <c r="U1352" s="29" t="n"/>
      <c r="V1352" s="29" t="n"/>
      <c r="W1352" s="29" t="n"/>
      <c r="X1352" s="29" t="n"/>
      <c r="Y1352" s="29" t="n"/>
      <c r="Z1352" s="29" t="n"/>
      <c r="AA1352" s="29" t="n"/>
      <c r="AB1352" s="29" t="n"/>
      <c r="AC1352" s="29" t="n"/>
      <c r="AD1352" s="29" t="n"/>
      <c r="AE1352" s="29" t="n"/>
      <c r="AF1352" s="29" t="n"/>
      <c r="AG1352" s="29" t="n"/>
      <c r="AH1352" s="29" t="n"/>
      <c r="AI1352" s="29" t="n"/>
    </row>
    <row r="1353">
      <c r="L1353" s="29" t="n"/>
      <c r="M1353" s="29" t="n"/>
      <c r="N1353" s="29" t="n"/>
      <c r="O1353" s="29" t="n"/>
      <c r="P1353" s="29" t="n"/>
      <c r="Q1353" s="29" t="n"/>
      <c r="R1353" s="29" t="n"/>
      <c r="S1353" s="29" t="n"/>
      <c r="T1353" s="29" t="n"/>
      <c r="U1353" s="29" t="n"/>
      <c r="V1353" s="29" t="n"/>
      <c r="W1353" s="29" t="n"/>
      <c r="X1353" s="29" t="n"/>
      <c r="Y1353" s="29" t="n"/>
      <c r="Z1353" s="29" t="n"/>
      <c r="AA1353" s="29" t="n"/>
      <c r="AB1353" s="29" t="n"/>
      <c r="AC1353" s="29" t="n"/>
      <c r="AD1353" s="29" t="n"/>
      <c r="AE1353" s="29" t="n"/>
      <c r="AF1353" s="29" t="n"/>
      <c r="AG1353" s="29" t="n"/>
      <c r="AH1353" s="29" t="n"/>
      <c r="AI1353" s="29" t="n"/>
    </row>
    <row r="1354">
      <c r="L1354" s="29" t="n"/>
      <c r="M1354" s="29" t="n"/>
      <c r="N1354" s="29" t="n"/>
      <c r="O1354" s="29" t="n"/>
      <c r="P1354" s="29" t="n"/>
      <c r="Q1354" s="29" t="n"/>
      <c r="R1354" s="29" t="n"/>
      <c r="S1354" s="29" t="n"/>
      <c r="T1354" s="29" t="n"/>
      <c r="U1354" s="29" t="n"/>
      <c r="V1354" s="29" t="n"/>
      <c r="W1354" s="29" t="n"/>
      <c r="X1354" s="29" t="n"/>
      <c r="Y1354" s="29" t="n"/>
      <c r="Z1354" s="29" t="n"/>
      <c r="AA1354" s="29" t="n"/>
      <c r="AB1354" s="29" t="n"/>
      <c r="AC1354" s="29" t="n"/>
      <c r="AD1354" s="29" t="n"/>
      <c r="AE1354" s="29" t="n"/>
      <c r="AF1354" s="29" t="n"/>
      <c r="AG1354" s="29" t="n"/>
      <c r="AH1354" s="29" t="n"/>
      <c r="AI1354" s="29" t="n"/>
    </row>
    <row r="1355">
      <c r="L1355" s="29" t="n"/>
      <c r="M1355" s="29" t="n"/>
      <c r="N1355" s="29" t="n"/>
      <c r="O1355" s="29" t="n"/>
      <c r="P1355" s="29" t="n"/>
      <c r="Q1355" s="29" t="n"/>
      <c r="R1355" s="29" t="n"/>
      <c r="S1355" s="29" t="n"/>
      <c r="T1355" s="29" t="n"/>
      <c r="U1355" s="29" t="n"/>
      <c r="V1355" s="29" t="n"/>
      <c r="W1355" s="29" t="n"/>
      <c r="X1355" s="29" t="n"/>
      <c r="Y1355" s="29" t="n"/>
      <c r="Z1355" s="29" t="n"/>
      <c r="AA1355" s="29" t="n"/>
      <c r="AB1355" s="29" t="n"/>
      <c r="AC1355" s="29" t="n"/>
      <c r="AD1355" s="29" t="n"/>
      <c r="AE1355" s="29" t="n"/>
      <c r="AF1355" s="29" t="n"/>
      <c r="AG1355" s="29" t="n"/>
      <c r="AH1355" s="29" t="n"/>
      <c r="AI1355" s="29" t="n"/>
    </row>
    <row r="1356">
      <c r="L1356" s="29" t="n"/>
      <c r="M1356" s="29" t="n"/>
      <c r="N1356" s="29" t="n"/>
      <c r="O1356" s="29" t="n"/>
      <c r="P1356" s="29" t="n"/>
      <c r="Q1356" s="29" t="n"/>
      <c r="R1356" s="29" t="n"/>
      <c r="S1356" s="29" t="n"/>
      <c r="T1356" s="29" t="n"/>
      <c r="U1356" s="29" t="n"/>
      <c r="V1356" s="29" t="n"/>
      <c r="W1356" s="29" t="n"/>
      <c r="X1356" s="29" t="n"/>
      <c r="Y1356" s="29" t="n"/>
      <c r="Z1356" s="29" t="n"/>
      <c r="AA1356" s="29" t="n"/>
      <c r="AB1356" s="29" t="n"/>
      <c r="AC1356" s="29" t="n"/>
      <c r="AD1356" s="29" t="n"/>
      <c r="AE1356" s="29" t="n"/>
      <c r="AF1356" s="29" t="n"/>
      <c r="AG1356" s="29" t="n"/>
      <c r="AH1356" s="29" t="n"/>
      <c r="AI1356" s="29" t="n"/>
    </row>
    <row r="1357">
      <c r="L1357" s="29" t="n"/>
      <c r="M1357" s="29" t="n"/>
      <c r="N1357" s="29" t="n"/>
      <c r="O1357" s="29" t="n"/>
      <c r="P1357" s="29" t="n"/>
      <c r="Q1357" s="29" t="n"/>
      <c r="R1357" s="29" t="n"/>
      <c r="S1357" s="29" t="n"/>
      <c r="T1357" s="29" t="n"/>
      <c r="U1357" s="29" t="n"/>
      <c r="V1357" s="29" t="n"/>
      <c r="W1357" s="29" t="n"/>
      <c r="X1357" s="29" t="n"/>
      <c r="Y1357" s="29" t="n"/>
      <c r="Z1357" s="29" t="n"/>
      <c r="AA1357" s="29" t="n"/>
      <c r="AB1357" s="29" t="n"/>
      <c r="AC1357" s="29" t="n"/>
      <c r="AD1357" s="29" t="n"/>
      <c r="AE1357" s="29" t="n"/>
      <c r="AF1357" s="29" t="n"/>
      <c r="AG1357" s="29" t="n"/>
      <c r="AH1357" s="29" t="n"/>
      <c r="AI1357" s="29" t="n"/>
    </row>
    <row r="1358">
      <c r="L1358" s="29" t="n"/>
      <c r="M1358" s="29" t="n"/>
      <c r="N1358" s="29" t="n"/>
      <c r="O1358" s="29" t="n"/>
      <c r="P1358" s="29" t="n"/>
      <c r="Q1358" s="29" t="n"/>
      <c r="R1358" s="29" t="n"/>
      <c r="S1358" s="29" t="n"/>
      <c r="T1358" s="29" t="n"/>
      <c r="U1358" s="29" t="n"/>
      <c r="V1358" s="29" t="n"/>
      <c r="W1358" s="29" t="n"/>
      <c r="X1358" s="29" t="n"/>
      <c r="Y1358" s="29" t="n"/>
      <c r="Z1358" s="29" t="n"/>
      <c r="AA1358" s="29" t="n"/>
      <c r="AB1358" s="29" t="n"/>
      <c r="AC1358" s="29" t="n"/>
      <c r="AD1358" s="29" t="n"/>
      <c r="AE1358" s="29" t="n"/>
      <c r="AF1358" s="29" t="n"/>
      <c r="AG1358" s="29" t="n"/>
      <c r="AH1358" s="29" t="n"/>
      <c r="AI1358" s="29" t="n"/>
    </row>
    <row r="1359">
      <c r="L1359" s="29" t="n"/>
      <c r="M1359" s="29" t="n"/>
      <c r="N1359" s="29" t="n"/>
      <c r="O1359" s="29" t="n"/>
      <c r="P1359" s="29" t="n"/>
      <c r="Q1359" s="29" t="n"/>
      <c r="R1359" s="29" t="n"/>
      <c r="S1359" s="29" t="n"/>
      <c r="T1359" s="29" t="n"/>
      <c r="U1359" s="29" t="n"/>
      <c r="V1359" s="29" t="n"/>
      <c r="W1359" s="29" t="n"/>
      <c r="X1359" s="29" t="n"/>
      <c r="Y1359" s="29" t="n"/>
      <c r="Z1359" s="29" t="n"/>
      <c r="AA1359" s="29" t="n"/>
      <c r="AB1359" s="29" t="n"/>
      <c r="AC1359" s="29" t="n"/>
      <c r="AD1359" s="29" t="n"/>
      <c r="AE1359" s="29" t="n"/>
      <c r="AF1359" s="29" t="n"/>
      <c r="AG1359" s="29" t="n"/>
      <c r="AH1359" s="29" t="n"/>
      <c r="AI1359" s="29" t="n"/>
    </row>
    <row r="1360">
      <c r="L1360" s="29" t="n"/>
      <c r="M1360" s="29" t="n"/>
      <c r="N1360" s="29" t="n"/>
      <c r="O1360" s="29" t="n"/>
      <c r="P1360" s="29" t="n"/>
      <c r="Q1360" s="29" t="n"/>
      <c r="R1360" s="29" t="n"/>
      <c r="S1360" s="29" t="n"/>
      <c r="T1360" s="29" t="n"/>
      <c r="U1360" s="29" t="n"/>
      <c r="V1360" s="29" t="n"/>
      <c r="W1360" s="29" t="n"/>
      <c r="X1360" s="29" t="n"/>
      <c r="Y1360" s="29" t="n"/>
      <c r="Z1360" s="29" t="n"/>
      <c r="AA1360" s="29" t="n"/>
      <c r="AB1360" s="29" t="n"/>
      <c r="AC1360" s="29" t="n"/>
      <c r="AD1360" s="29" t="n"/>
      <c r="AE1360" s="29" t="n"/>
      <c r="AF1360" s="29" t="n"/>
      <c r="AG1360" s="29" t="n"/>
      <c r="AH1360" s="29" t="n"/>
      <c r="AI1360" s="29" t="n"/>
    </row>
    <row r="1361">
      <c r="L1361" s="29" t="n"/>
      <c r="M1361" s="29" t="n"/>
    </row>
    <row r="1362">
      <c r="L1362" s="29" t="n"/>
      <c r="M1362" s="29" t="n"/>
    </row>
    <row r="1363">
      <c r="L1363" s="29" t="n"/>
      <c r="M1363" s="29" t="n"/>
    </row>
    <row r="1364">
      <c r="L1364" s="29" t="n"/>
      <c r="M1364" s="29" t="n"/>
    </row>
    <row r="1365">
      <c r="L1365" s="29" t="n"/>
      <c r="M1365" s="29" t="n"/>
    </row>
    <row r="1366">
      <c r="L1366" s="29" t="n"/>
      <c r="M1366" s="29" t="n"/>
    </row>
    <row r="1367">
      <c r="L1367" s="29" t="n"/>
      <c r="M1367" s="29" t="n"/>
    </row>
    <row r="1368">
      <c r="L1368" s="29" t="n"/>
      <c r="M1368" s="29" t="n"/>
    </row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</sheetData>
  <conditionalFormatting sqref="L3:L65">
    <cfRule type="cellIs" priority="3" operator="equal" dxfId="8">
      <formula>0</formula>
    </cfRule>
  </conditionalFormatting>
  <conditionalFormatting sqref="L3:L68">
    <cfRule type="colorScale" priority="22">
      <colorScale>
        <cfvo type="min"/>
        <cfvo type="max"/>
        <color rgb="FFFCFCFF"/>
        <color rgb="FF63BE7B"/>
      </colorScale>
    </cfRule>
  </conditionalFormatting>
  <conditionalFormatting sqref="M3:M82">
    <cfRule type="cellIs" priority="1" operator="notEqual" dxfId="1">
      <formula>1</formula>
    </cfRule>
    <cfRule type="cellIs" priority="2" operator="equal" dxfId="5">
      <formula>1</formula>
    </cfRule>
  </conditionalFormatting>
  <dataValidations count="1">
    <dataValidation sqref="C3:C210" showDropDown="0" showInputMessage="1" showErrorMessage="1" allowBlank="1" type="list">
      <formula1>"S, C"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48575"/>
  <sheetViews>
    <sheetView topLeftCell="A30" zoomScale="119" workbookViewId="0">
      <selection activeCell="B51" sqref="B51"/>
    </sheetView>
  </sheetViews>
  <sheetFormatPr baseColWidth="10" defaultColWidth="11" defaultRowHeight="15.75" customHeight="1"/>
  <cols>
    <col width="55" bestFit="1" customWidth="1" min="1" max="1"/>
    <col width="61.5" bestFit="1" customWidth="1" min="2" max="2"/>
    <col width="61.5" customWidth="1" min="3" max="3"/>
    <col width="25.6640625" customWidth="1" min="4" max="4"/>
    <col width="16.33203125" customWidth="1" min="5" max="5"/>
    <col width="18.1640625" bestFit="1" customWidth="1" min="6" max="6"/>
    <col width="90.6640625" bestFit="1" customWidth="1" min="7" max="7"/>
    <col width="28.5" customWidth="1" style="29" min="8" max="8"/>
    <col width="11" customWidth="1" style="29" min="9" max="49"/>
  </cols>
  <sheetData>
    <row r="1" ht="16" customHeight="1">
      <c r="A1" s="98" t="inlineStr">
        <is>
          <t>Component Code</t>
        </is>
      </c>
      <c r="B1" s="98" t="inlineStr">
        <is>
          <t>Layers</t>
        </is>
      </c>
      <c r="C1" s="98" t="inlineStr">
        <is>
          <t>Application</t>
        </is>
      </c>
      <c r="D1" s="98" t="inlineStr">
        <is>
          <t>Layer Index</t>
        </is>
      </c>
      <c r="E1" s="98" t="inlineStr">
        <is>
          <t>Shearing Layer</t>
        </is>
      </c>
      <c r="F1" s="99" t="inlineStr">
        <is>
          <t>Archetype</t>
        </is>
      </c>
      <c r="G1" s="99" t="inlineStr">
        <is>
          <t>Notes from Så byggdes husen 1880-2010</t>
        </is>
      </c>
      <c r="H1" s="100" t="inlineStr">
        <is>
          <t>Flag</t>
        </is>
      </c>
    </row>
    <row r="2" ht="79" customHeight="1">
      <c r="A2" s="101" t="inlineStr">
        <is>
          <t>Component code Archetype_Application_ShearingLayer</t>
        </is>
      </c>
      <c r="B2" s="101" t="inlineStr">
        <is>
          <t>Order of layer from exterior to interior</t>
        </is>
      </c>
      <c r="C2" s="101" t="inlineStr">
        <is>
          <t>Element where component is applicable</t>
        </is>
      </c>
      <c r="D2" s="101" t="inlineStr">
        <is>
          <t>Index of layer, from exterior to interior where 0 is most exterior</t>
        </is>
      </c>
      <c r="E2" s="101" t="inlineStr">
        <is>
          <t>Shearing Layer as in Brand model</t>
        </is>
      </c>
      <c r="F2" s="56" t="inlineStr">
        <is>
          <t>Code for archetype inhertied from BUD_MI</t>
        </is>
      </c>
      <c r="G2" s="56" t="inlineStr">
        <is>
          <t>Qualitative information about the components.</t>
        </is>
      </c>
      <c r="H2" s="55" t="inlineStr">
        <is>
          <t>Counts how many times a layer defined in this sheet exists in Layers sheet, if none, "No match"</t>
        </is>
      </c>
    </row>
    <row r="3" ht="16" customHeight="1">
      <c r="A3" s="102">
        <f>F3&amp;"_"&amp;C3&amp;"_"&amp;E3</f>
        <v/>
      </c>
      <c r="B3" s="73" t="inlineStr">
        <is>
          <t>GALVANIZED_SHEET_METAL_003_S</t>
        </is>
      </c>
      <c r="C3" s="73" t="inlineStr">
        <is>
          <t>ROOF</t>
        </is>
      </c>
      <c r="D3" s="103" t="n">
        <v>0</v>
      </c>
      <c r="E3" s="73" t="inlineStr">
        <is>
          <t>SKIN</t>
        </is>
      </c>
      <c r="F3" s="73" t="inlineStr">
        <is>
          <t>CMF_1950</t>
        </is>
      </c>
      <c r="G3" s="118" t="inlineStr">
        <is>
          <t>Cold roof, no insulation as part of outermost structure</t>
        </is>
      </c>
      <c r="H3" s="44">
        <f t="array" ref="H3">IF(SUMPRODUCT(--EXACT(B3,Layers!$A$3:$A$268))=0,"No match",SUMPRODUCT(--EXACT(B3,Layers!$A$3:$A$268)))</f>
        <v/>
      </c>
    </row>
    <row r="4" ht="16" customHeight="1">
      <c r="A4" s="102">
        <f>F4&amp;"_"&amp;C4&amp;"_"&amp;E4</f>
        <v/>
      </c>
      <c r="B4" s="73" t="inlineStr">
        <is>
          <t>WOODEN_PANEL_038_S</t>
        </is>
      </c>
      <c r="C4" s="104" t="inlineStr">
        <is>
          <t>ROOF</t>
        </is>
      </c>
      <c r="D4" s="103" t="n">
        <v>1</v>
      </c>
      <c r="E4" s="73" t="inlineStr">
        <is>
          <t>SKIN</t>
        </is>
      </c>
      <c r="F4" s="73" t="inlineStr">
        <is>
          <t>CMF_1950</t>
        </is>
      </c>
      <c r="G4" s="118" t="n"/>
      <c r="H4" s="44">
        <f t="array" ref="H4">IF(SUMPRODUCT(--EXACT(B4,Layers!$A$3:$A$268))=0,"No match",SUMPRODUCT(--EXACT(B4,Layers!$A$3:$A$268)))</f>
        <v/>
      </c>
    </row>
    <row r="5" ht="17" customHeight="1">
      <c r="A5" s="102">
        <f>F5&amp;"_"&amp;C5&amp;"_"&amp;E5</f>
        <v/>
      </c>
      <c r="B5" s="73" t="inlineStr">
        <is>
          <t>WOODEN_RAFTER_1016_S</t>
        </is>
      </c>
      <c r="C5" s="104" t="inlineStr">
        <is>
          <t>ROOF</t>
        </is>
      </c>
      <c r="D5" s="103" t="n">
        <v>0</v>
      </c>
      <c r="E5" s="73" t="inlineStr">
        <is>
          <t>STRUCTURE</t>
        </is>
      </c>
      <c r="F5" s="73" t="inlineStr">
        <is>
          <t>CMF_1950</t>
        </is>
      </c>
      <c r="G5" s="119" t="inlineStr">
        <is>
          <t>Minor impact on thermal performance of roof structure as they are not interupting any insulation layer.</t>
        </is>
      </c>
      <c r="H5" s="44">
        <f t="array" ref="H5">IF(SUMPRODUCT(--EXACT(B5,Layers!$A$3:$A$268))=0,"No match",SUMPRODUCT(--EXACT(B5,Layers!$A$3:$A$268)))</f>
        <v/>
      </c>
    </row>
    <row r="6" ht="16" customHeight="1">
      <c r="A6" s="102">
        <f>F6&amp;"_"&amp;C6&amp;"_"&amp;E6</f>
        <v/>
      </c>
      <c r="B6" s="73" t="inlineStr">
        <is>
          <t>WOODEN_BEAM_1524_S</t>
        </is>
      </c>
      <c r="C6" s="104" t="inlineStr">
        <is>
          <t>ROOF</t>
        </is>
      </c>
      <c r="D6" s="103" t="n">
        <v>1</v>
      </c>
      <c r="E6" s="73" t="inlineStr">
        <is>
          <t>STRUCTURE</t>
        </is>
      </c>
      <c r="F6" s="73" t="inlineStr">
        <is>
          <t>CMF_1950</t>
        </is>
      </c>
      <c r="G6" s="119" t="n"/>
      <c r="H6" s="44">
        <f t="array" ref="H6">IF(SUMPRODUCT(--EXACT(B6,Layers!$A$3:$A$268))=0,"No match",SUMPRODUCT(--EXACT(B6,Layers!$A$3:$A$268)))</f>
        <v/>
      </c>
    </row>
    <row r="7" ht="16" customHeight="1">
      <c r="A7" s="102">
        <f>F7&amp;"_"&amp;C7&amp;"_"&amp;E7</f>
        <v/>
      </c>
      <c r="B7" s="73" t="inlineStr">
        <is>
          <t>CONCRETE_05_S</t>
        </is>
      </c>
      <c r="C7" s="73" t="inlineStr">
        <is>
          <t>TOP_FLOOR</t>
        </is>
      </c>
      <c r="D7" s="103" t="n">
        <v>0</v>
      </c>
      <c r="E7" s="73" t="inlineStr">
        <is>
          <t>SPACE</t>
        </is>
      </c>
      <c r="F7" s="73" t="inlineStr">
        <is>
          <t>CMF_1950</t>
        </is>
      </c>
      <c r="G7" s="118" t="inlineStr">
        <is>
          <t>Insulating "roof" structure</t>
        </is>
      </c>
      <c r="H7" s="44">
        <f t="array" ref="H7">IF(SUMPRODUCT(--EXACT(B7,Layers!$A$3:$A$268))=0,"No match",SUMPRODUCT(--EXACT(B7,Layers!$A$3:$A$268)))</f>
        <v/>
      </c>
    </row>
    <row r="8" ht="16" customHeight="1">
      <c r="A8" s="102">
        <f>F8&amp;"_"&amp;C8&amp;"_"&amp;E8</f>
        <v/>
      </c>
      <c r="B8" s="73" t="inlineStr">
        <is>
          <t>GRANULATED_BLAST_FURNACE_SLAG_15_S</t>
        </is>
      </c>
      <c r="C8" s="73" t="inlineStr">
        <is>
          <t>TOP_FLOOR</t>
        </is>
      </c>
      <c r="D8" s="103" t="n">
        <v>1</v>
      </c>
      <c r="E8" s="73" t="inlineStr">
        <is>
          <t>SPACE</t>
        </is>
      </c>
      <c r="F8" s="73" t="inlineStr">
        <is>
          <t>CMF_1950</t>
        </is>
      </c>
      <c r="G8" s="118" t="n"/>
      <c r="H8" s="44">
        <f t="array" ref="H8">IF(SUMPRODUCT(--EXACT(B8,Layers!$A$3:$A$268))=0,"No match",SUMPRODUCT(--EXACT(B8,Layers!$A$3:$A$268)))</f>
        <v/>
      </c>
    </row>
    <row r="9" ht="16" customHeight="1">
      <c r="A9" s="102">
        <f>F9&amp;"_"&amp;C9&amp;"_"&amp;E9</f>
        <v/>
      </c>
      <c r="B9" s="73" t="inlineStr">
        <is>
          <t>CONCRETE_14_S</t>
        </is>
      </c>
      <c r="C9" s="73" t="inlineStr">
        <is>
          <t>TOP_FLOOR</t>
        </is>
      </c>
      <c r="D9" s="103" t="n">
        <v>0</v>
      </c>
      <c r="E9" s="73" t="inlineStr">
        <is>
          <t>STRUCTURE</t>
        </is>
      </c>
      <c r="F9" s="73" t="inlineStr">
        <is>
          <t>CMF_1950</t>
        </is>
      </c>
      <c r="G9" s="118" t="n"/>
      <c r="H9" s="44">
        <f t="array" ref="H9">IF(SUMPRODUCT(--EXACT(B9,Layers!$A$3:$A$268))=0,"No match",SUMPRODUCT(--EXACT(B9,Layers!$A$3:$A$268)))</f>
        <v/>
      </c>
    </row>
    <row r="10" ht="16" customHeight="1">
      <c r="A10" s="102">
        <f>F10&amp;"_"&amp;C10&amp;"_"&amp;E10</f>
        <v/>
      </c>
      <c r="B10" s="73" t="inlineStr">
        <is>
          <t>TERRASIT_PLASTER_005_S</t>
        </is>
      </c>
      <c r="C10" s="73" t="inlineStr">
        <is>
          <t>EXT_WALL_LOW</t>
        </is>
      </c>
      <c r="D10" s="103" t="n">
        <v>0</v>
      </c>
      <c r="E10" s="73" t="inlineStr">
        <is>
          <t>SKIN</t>
        </is>
      </c>
      <c r="F10" s="73" t="inlineStr">
        <is>
          <t>CMF_1950</t>
        </is>
      </c>
      <c r="G10" s="118" t="inlineStr">
        <is>
          <t> </t>
        </is>
      </c>
      <c r="H10" s="44">
        <f t="array" ref="H10">IF(SUMPRODUCT(--EXACT(B10,Layers!$A$3:$A$268))=0,"No match",SUMPRODUCT(--EXACT(B10,Layers!$A$3:$A$268)))</f>
        <v/>
      </c>
    </row>
    <row r="11" ht="16" customHeight="1">
      <c r="A11" s="102">
        <f>F11&amp;"_"&amp;C11&amp;"_"&amp;E11</f>
        <v/>
      </c>
      <c r="B11" s="73" t="inlineStr">
        <is>
          <t>LIGHTWEIGHT_CONCRETE_MORTAR_125_C</t>
        </is>
      </c>
      <c r="C11" s="73" t="inlineStr">
        <is>
          <t>EXT_WALL_LOW</t>
        </is>
      </c>
      <c r="D11" s="103" t="n">
        <v>0</v>
      </c>
      <c r="E11" s="73" t="inlineStr">
        <is>
          <t>STRUCTURE</t>
        </is>
      </c>
      <c r="F11" s="73" t="inlineStr">
        <is>
          <t>CMF_1950</t>
        </is>
      </c>
      <c r="G11" s="118" t="n"/>
      <c r="H11" s="44">
        <f t="array" ref="H11">IF(SUMPRODUCT(--EXACT(B11,Layers!$A$3:$A$268))=0,"No match",SUMPRODUCT(--EXACT(B11,Layers!$A$3:$A$268)))</f>
        <v/>
      </c>
    </row>
    <row r="12" ht="16" customHeight="1">
      <c r="A12" s="102">
        <f>F12&amp;"_"&amp;C12&amp;"_"&amp;E12</f>
        <v/>
      </c>
      <c r="B12" s="73" t="inlineStr">
        <is>
          <t>MORTAR_005_S</t>
        </is>
      </c>
      <c r="C12" s="73" t="inlineStr">
        <is>
          <t>EXT_WALL_LOW</t>
        </is>
      </c>
      <c r="D12" s="103" t="n">
        <v>1</v>
      </c>
      <c r="E12" s="73" t="inlineStr">
        <is>
          <t>STRUCTURE</t>
        </is>
      </c>
      <c r="F12" s="73" t="inlineStr">
        <is>
          <t>CMF_1950</t>
        </is>
      </c>
      <c r="G12" s="118" t="n"/>
      <c r="H12" s="44">
        <f t="array" ref="H12">IF(SUMPRODUCT(--EXACT(B12,Layers!$A$3:$A$268))=0,"No match",SUMPRODUCT(--EXACT(B12,Layers!$A$3:$A$268)))</f>
        <v/>
      </c>
    </row>
    <row r="13" ht="16" customHeight="1">
      <c r="A13" s="102">
        <f>F13&amp;"_"&amp;C13&amp;"_"&amp;E13</f>
        <v/>
      </c>
      <c r="B13" s="73" t="inlineStr">
        <is>
          <t>CONCRETE_15_S</t>
        </is>
      </c>
      <c r="C13" s="73" t="inlineStr">
        <is>
          <t>EXT_WALL_LOW</t>
        </is>
      </c>
      <c r="D13" s="103" t="n">
        <v>2</v>
      </c>
      <c r="E13" s="73" t="inlineStr">
        <is>
          <t>STRUCTURE</t>
        </is>
      </c>
      <c r="F13" s="73" t="inlineStr">
        <is>
          <t>CMF_1950</t>
        </is>
      </c>
      <c r="G13" s="118" t="n"/>
      <c r="H13" s="44">
        <f t="array" ref="H13">IF(SUMPRODUCT(--EXACT(B13,Layers!$A$3:$A$268))=0,"No match",SUMPRODUCT(--EXACT(B13,Layers!$A$3:$A$268)))</f>
        <v/>
      </c>
    </row>
    <row r="14" ht="16" customHeight="1">
      <c r="A14" s="102">
        <f>F14&amp;"_"&amp;C14&amp;"_"&amp;E14</f>
        <v/>
      </c>
      <c r="B14" s="73" t="inlineStr">
        <is>
          <t>LIME_PLASTER_005_S</t>
        </is>
      </c>
      <c r="C14" s="73" t="inlineStr">
        <is>
          <t>EXT_WALL_LOW</t>
        </is>
      </c>
      <c r="D14" s="103" t="n">
        <v>0</v>
      </c>
      <c r="E14" s="73" t="inlineStr">
        <is>
          <t>SPACE</t>
        </is>
      </c>
      <c r="F14" s="73" t="inlineStr">
        <is>
          <t>CMF_1950</t>
        </is>
      </c>
      <c r="G14" s="118" t="n"/>
      <c r="H14" s="44">
        <f t="array" ref="H14">IF(SUMPRODUCT(--EXACT(B14,Layers!$A$3:$A$268))=0,"No match",SUMPRODUCT(--EXACT(B14,Layers!$A$3:$A$268)))</f>
        <v/>
      </c>
    </row>
    <row r="15" ht="16" customHeight="1">
      <c r="A15" s="102">
        <f>F15&amp;"_"&amp;C15&amp;"_"&amp;E15</f>
        <v/>
      </c>
      <c r="B15" s="73" t="inlineStr">
        <is>
          <t>TERRASIT_PLASTER_005_S</t>
        </is>
      </c>
      <c r="C15" s="73" t="inlineStr">
        <is>
          <t>EXT_WALL_MEDIUM</t>
        </is>
      </c>
      <c r="D15" s="103" t="n">
        <v>0</v>
      </c>
      <c r="E15" s="73" t="inlineStr">
        <is>
          <t>SKIN</t>
        </is>
      </c>
      <c r="F15" s="73" t="inlineStr">
        <is>
          <t>CMF_1950</t>
        </is>
      </c>
      <c r="G15" s="118" t="inlineStr">
        <is>
          <t> </t>
        </is>
      </c>
      <c r="H15" s="44">
        <f t="array" ref="H15">IF(SUMPRODUCT(--EXACT(B15,Layers!$A$3:$A$268))=0,"No match",SUMPRODUCT(--EXACT(B15,Layers!$A$3:$A$268)))</f>
        <v/>
      </c>
    </row>
    <row r="16" ht="16" customHeight="1">
      <c r="A16" s="102">
        <f>F16&amp;"_"&amp;C16&amp;"_"&amp;E16</f>
        <v/>
      </c>
      <c r="B16" s="73" t="inlineStr">
        <is>
          <t>LIGHTWEIGHT_CONCRETE_MORTAR_25_C</t>
        </is>
      </c>
      <c r="C16" s="73" t="inlineStr">
        <is>
          <t>EXT_WALL_MEDIUM</t>
        </is>
      </c>
      <c r="D16" s="103" t="n">
        <v>0</v>
      </c>
      <c r="E16" s="73" t="inlineStr">
        <is>
          <t>STRUCTURE</t>
        </is>
      </c>
      <c r="F16" s="73" t="inlineStr">
        <is>
          <t>CMF_1950</t>
        </is>
      </c>
      <c r="G16" s="118" t="n"/>
      <c r="H16" s="44">
        <f t="array" ref="H16">IF(SUMPRODUCT(--EXACT(B16,Layers!$A$3:$A$268))=0,"No match",SUMPRODUCT(--EXACT(B16,Layers!$A$3:$A$268)))</f>
        <v/>
      </c>
    </row>
    <row r="17" ht="16" customHeight="1">
      <c r="A17" s="102">
        <f>F17&amp;"_"&amp;C17&amp;"_"&amp;E17</f>
        <v/>
      </c>
      <c r="B17" s="73" t="inlineStr">
        <is>
          <t>LIME_PLASTER_005_S</t>
        </is>
      </c>
      <c r="C17" s="73" t="inlineStr">
        <is>
          <t>EXT_WALL_MEDIUM</t>
        </is>
      </c>
      <c r="D17" s="103" t="n">
        <v>0</v>
      </c>
      <c r="E17" s="73" t="inlineStr">
        <is>
          <t>SPACE</t>
        </is>
      </c>
      <c r="F17" s="73" t="inlineStr">
        <is>
          <t>CMF_1950</t>
        </is>
      </c>
      <c r="G17" s="118" t="n"/>
      <c r="H17" s="44">
        <f t="array" ref="H17">IF(SUMPRODUCT(--EXACT(B17,Layers!$A$3:$A$268))=0,"No match",SUMPRODUCT(--EXACT(B17,Layers!$A$3:$A$268)))</f>
        <v/>
      </c>
    </row>
    <row r="18" ht="16" customHeight="1">
      <c r="A18" s="102">
        <f>F18&amp;"_"&amp;C18&amp;"_"&amp;E18</f>
        <v/>
      </c>
      <c r="B18" s="73" t="inlineStr">
        <is>
          <t>TERRASIT_PLASTER_005_S</t>
        </is>
      </c>
      <c r="C18" s="73" t="inlineStr">
        <is>
          <t>EXT_WALL_HIGH</t>
        </is>
      </c>
      <c r="D18" s="103" t="n">
        <v>0</v>
      </c>
      <c r="E18" s="73" t="inlineStr">
        <is>
          <t>SKIN</t>
        </is>
      </c>
      <c r="F18" s="73" t="inlineStr">
        <is>
          <t>CMF_1950</t>
        </is>
      </c>
      <c r="G18" s="120" t="inlineStr">
        <is>
          <t>Was missing from BUD_MI</t>
        </is>
      </c>
      <c r="H18" s="44">
        <f t="array" ref="H18">IF(SUMPRODUCT(--EXACT(B18,Layers!$A$3:$A$268))=0,"No match",SUMPRODUCT(--EXACT(B18,Layers!$A$3:$A$268)))</f>
        <v/>
      </c>
    </row>
    <row r="19" ht="16" customHeight="1">
      <c r="A19" s="102">
        <f>F19&amp;"_"&amp;C19&amp;"_"&amp;E19</f>
        <v/>
      </c>
      <c r="B19" s="73" t="inlineStr">
        <is>
          <t>LIGHTWEIGHT_CONCRETE_MORTAR_2_C</t>
        </is>
      </c>
      <c r="C19" s="73" t="inlineStr">
        <is>
          <t>EXT_WALL_HIGH</t>
        </is>
      </c>
      <c r="D19" s="103" t="n">
        <v>0</v>
      </c>
      <c r="E19" s="73" t="inlineStr">
        <is>
          <t>STRUCTURE</t>
        </is>
      </c>
      <c r="F19" s="73" t="inlineStr">
        <is>
          <t>CMF_1950</t>
        </is>
      </c>
      <c r="G19" s="120" t="inlineStr">
        <is>
          <t>Was missing from BUD_MI</t>
        </is>
      </c>
      <c r="H19" s="44">
        <f t="array" ref="H19">IF(SUMPRODUCT(--EXACT(B19,Layers!$A$3:$A$268))=0,"No match",SUMPRODUCT(--EXACT(B19,Layers!$A$3:$A$268)))</f>
        <v/>
      </c>
    </row>
    <row r="20" ht="16" customHeight="1">
      <c r="A20" s="102">
        <f>F20&amp;"_"&amp;C20&amp;"_"&amp;E20</f>
        <v/>
      </c>
      <c r="B20" s="73" t="inlineStr">
        <is>
          <t>PLASTIC_MAT_01_S</t>
        </is>
      </c>
      <c r="C20" s="104" t="inlineStr">
        <is>
          <t>GROUND_FLOOR</t>
        </is>
      </c>
      <c r="D20" s="103" t="n">
        <v>0</v>
      </c>
      <c r="E20" s="73" t="inlineStr">
        <is>
          <t>SPACE</t>
        </is>
      </c>
      <c r="F20" s="73" t="inlineStr">
        <is>
          <t>CMF_1950</t>
        </is>
      </c>
      <c r="G20" s="118" t="inlineStr">
        <is>
          <t> </t>
        </is>
      </c>
      <c r="H20" s="44">
        <f t="array" ref="H20">IF(SUMPRODUCT(--EXACT(B20,Layers!$A$3:$A$268))=0,"No match",SUMPRODUCT(--EXACT(B20,Layers!$A$3:$A$268)))</f>
        <v/>
      </c>
    </row>
    <row r="21" ht="16" customHeight="1">
      <c r="A21" s="102">
        <f>F21&amp;"_"&amp;C21&amp;"_"&amp;E21</f>
        <v/>
      </c>
      <c r="B21" s="73" t="inlineStr">
        <is>
          <t>PLASTER_05_S</t>
        </is>
      </c>
      <c r="C21" s="104" t="inlineStr">
        <is>
          <t>GROUND_FLOOR</t>
        </is>
      </c>
      <c r="D21" s="103" t="n">
        <v>1</v>
      </c>
      <c r="E21" s="73" t="inlineStr">
        <is>
          <t>SPACE</t>
        </is>
      </c>
      <c r="F21" s="73" t="inlineStr">
        <is>
          <t>CMF_1950</t>
        </is>
      </c>
      <c r="G21" s="118" t="n"/>
      <c r="H21" s="44">
        <f t="array" ref="H21">IF(SUMPRODUCT(--EXACT(B21,Layers!$A$3:$A$268))=0,"No match",SUMPRODUCT(--EXACT(B21,Layers!$A$3:$A$268)))</f>
        <v/>
      </c>
    </row>
    <row r="22" ht="16" customHeight="1">
      <c r="A22" s="102">
        <f>F22&amp;"_"&amp;C22&amp;"_"&amp;E22</f>
        <v/>
      </c>
      <c r="B22" s="73" t="inlineStr">
        <is>
          <t>CONCRETE_MIXED_WITH_SAWDUST_05_S</t>
        </is>
      </c>
      <c r="C22" s="104" t="inlineStr">
        <is>
          <t>GROUND_FLOOR</t>
        </is>
      </c>
      <c r="D22" s="103" t="n">
        <v>0</v>
      </c>
      <c r="E22" s="73" t="inlineStr">
        <is>
          <t>STRUCTURE</t>
        </is>
      </c>
      <c r="F22" s="73" t="inlineStr">
        <is>
          <t>CMF_1950</t>
        </is>
      </c>
      <c r="G22" s="118" t="inlineStr">
        <is>
          <t> </t>
        </is>
      </c>
      <c r="H22" s="44">
        <f t="array" ref="H22">IF(SUMPRODUCT(--EXACT(B22,Layers!$A$3:$A$268))=0,"No match",SUMPRODUCT(--EXACT(B22,Layers!$A$3:$A$268)))</f>
        <v/>
      </c>
    </row>
    <row r="23" ht="16" customHeight="1">
      <c r="A23" s="102">
        <f>F23&amp;"_"&amp;C23&amp;"_"&amp;E23</f>
        <v/>
      </c>
      <c r="B23" s="73" t="inlineStr">
        <is>
          <t>COKE_ASH_08_S</t>
        </is>
      </c>
      <c r="C23" s="104" t="inlineStr">
        <is>
          <t>GROUND_FLOOR</t>
        </is>
      </c>
      <c r="D23" s="103" t="n">
        <v>1</v>
      </c>
      <c r="E23" s="73" t="inlineStr">
        <is>
          <t>STRUCTURE</t>
        </is>
      </c>
      <c r="F23" s="73" t="inlineStr">
        <is>
          <t>CMF_1950</t>
        </is>
      </c>
      <c r="G23" s="118" t="n"/>
      <c r="H23" s="44">
        <f t="array" ref="H23">IF(SUMPRODUCT(--EXACT(B23,Layers!$A$3:$A$268))=0,"No match",SUMPRODUCT(--EXACT(B23,Layers!$A$3:$A$268)))</f>
        <v/>
      </c>
    </row>
    <row r="24" ht="16" customHeight="1">
      <c r="A24" s="102">
        <f>F24&amp;"_"&amp;C24&amp;"_"&amp;E24</f>
        <v/>
      </c>
      <c r="B24" s="73" t="inlineStr">
        <is>
          <t>CONCRETE_16_S</t>
        </is>
      </c>
      <c r="C24" s="104" t="inlineStr">
        <is>
          <t>GROUND_FLOOR</t>
        </is>
      </c>
      <c r="D24" s="103" t="n">
        <v>2</v>
      </c>
      <c r="E24" s="73" t="inlineStr">
        <is>
          <t>STRUCTURE</t>
        </is>
      </c>
      <c r="F24" s="73" t="inlineStr">
        <is>
          <t>CMF_1950</t>
        </is>
      </c>
      <c r="G24" s="118" t="n"/>
      <c r="H24" s="44">
        <f t="array" ref="H24">IF(SUMPRODUCT(--EXACT(B24,Layers!$A$3:$A$268))=0,"No match",SUMPRODUCT(--EXACT(B24,Layers!$A$3:$A$268)))</f>
        <v/>
      </c>
    </row>
    <row r="25" ht="16" customHeight="1">
      <c r="A25" s="102">
        <f>F25&amp;"_"&amp;C25&amp;"_"&amp;E25</f>
        <v/>
      </c>
      <c r="B25" s="73" t="inlineStr">
        <is>
          <t>PLASTER_05_S</t>
        </is>
      </c>
      <c r="C25" s="105" t="inlineStr">
        <is>
          <t>INT_WALL_NONLOADBEARING</t>
        </is>
      </c>
      <c r="D25" s="103" t="n">
        <v>0</v>
      </c>
      <c r="E25" s="73" t="inlineStr">
        <is>
          <t>SKIN</t>
        </is>
      </c>
      <c r="F25" s="73" t="inlineStr">
        <is>
          <t>CMF_1950</t>
        </is>
      </c>
      <c r="G25" s="118" t="n"/>
      <c r="H25" s="44">
        <f t="array" ref="H25">IF(SUMPRODUCT(--EXACT(B25,Layers!$A$3:$A$268))=0,"No match",SUMPRODUCT(--EXACT(B25,Layers!$A$3:$A$268)))</f>
        <v/>
      </c>
    </row>
    <row r="26" ht="16" customHeight="1">
      <c r="A26" s="102">
        <f>F26&amp;"_"&amp;C26&amp;"_"&amp;E26</f>
        <v/>
      </c>
      <c r="B26" s="73" t="n"/>
      <c r="C26" s="105" t="inlineStr">
        <is>
          <t>INT_WALL_NONLOADBEARING</t>
        </is>
      </c>
      <c r="D26" s="103" t="n">
        <v>0</v>
      </c>
      <c r="E26" s="73" t="inlineStr">
        <is>
          <t>STRUCTURE</t>
        </is>
      </c>
      <c r="F26" s="73" t="inlineStr">
        <is>
          <t>CMF_1950</t>
        </is>
      </c>
      <c r="G26" s="118" t="inlineStr">
        <is>
          <t>No souce found</t>
        </is>
      </c>
      <c r="H26" s="44">
        <f t="array" ref="H26">IF(SUMPRODUCT(--EXACT(B26,Layers!$A$3:$A$268))=0,"No match",SUMPRODUCT(--EXACT(B26,Layers!$A$3:$A$268)))</f>
        <v/>
      </c>
    </row>
    <row r="27" ht="16" customHeight="1">
      <c r="A27" s="102">
        <f>F27&amp;"_"&amp;C27&amp;"_"&amp;E27</f>
        <v/>
      </c>
      <c r="B27" s="73" t="n"/>
      <c r="C27" s="105" t="inlineStr">
        <is>
          <t>INT_WALL_NONLOADBEARING</t>
        </is>
      </c>
      <c r="D27" s="103" t="n">
        <v>0</v>
      </c>
      <c r="E27" s="73" t="inlineStr">
        <is>
          <t>SPACE</t>
        </is>
      </c>
      <c r="F27" s="73" t="inlineStr">
        <is>
          <t>CMF_1950</t>
        </is>
      </c>
      <c r="G27" s="118" t="inlineStr">
        <is>
          <t>No souce found</t>
        </is>
      </c>
      <c r="H27" s="44">
        <f t="array" ref="H27">IF(SUMPRODUCT(--EXACT(B27,Layers!$A$3:$A$268))=0,"No match",SUMPRODUCT(--EXACT(B27,Layers!$A$3:$A$268)))</f>
        <v/>
      </c>
    </row>
    <row r="28" ht="16" customHeight="1">
      <c r="A28" s="102">
        <f>F28&amp;"_"&amp;C28&amp;"_"&amp;E28</f>
        <v/>
      </c>
      <c r="B28" s="73" t="n"/>
      <c r="C28" s="105" t="inlineStr">
        <is>
          <t>INT_WALL_NONLOADBEARING</t>
        </is>
      </c>
      <c r="D28" s="103" t="n">
        <v>0</v>
      </c>
      <c r="E28" s="73" t="inlineStr">
        <is>
          <t>STRUCTURE</t>
        </is>
      </c>
      <c r="F28" s="73" t="inlineStr">
        <is>
          <t>CMF_1950</t>
        </is>
      </c>
      <c r="G28" s="118" t="inlineStr">
        <is>
          <t>No souce found</t>
        </is>
      </c>
      <c r="H28" s="44">
        <f t="array" ref="H28">IF(SUMPRODUCT(--EXACT(B28,Layers!$A$3:$A$268))=0,"No match",SUMPRODUCT(--EXACT(B28,Layers!$A$3:$A$268)))</f>
        <v/>
      </c>
    </row>
    <row r="29" ht="16" customHeight="1">
      <c r="A29" s="102">
        <f>F29&amp;"_"&amp;C29&amp;"_"&amp;E29</f>
        <v/>
      </c>
      <c r="B29" s="73" t="inlineStr">
        <is>
          <t>PLASTIC_MAT_01_S</t>
        </is>
      </c>
      <c r="C29" s="106" t="inlineStr">
        <is>
          <t>INTERMEDIATE_FLOOR</t>
        </is>
      </c>
      <c r="D29" s="103" t="n">
        <v>0</v>
      </c>
      <c r="E29" s="73" t="inlineStr">
        <is>
          <t>SPACE</t>
        </is>
      </c>
      <c r="F29" s="73" t="inlineStr">
        <is>
          <t>CMF_1950</t>
        </is>
      </c>
      <c r="G29" s="118" t="n"/>
      <c r="H29" s="44">
        <f t="array" ref="H29">IF(SUMPRODUCT(--EXACT(B29,Layers!$A$3:$A$268))=0,"No match",SUMPRODUCT(--EXACT(B29,Layers!$A$3:$A$268)))</f>
        <v/>
      </c>
    </row>
    <row r="30" ht="16" customHeight="1">
      <c r="A30" s="102">
        <f>F30&amp;"_"&amp;C30&amp;"_"&amp;E30</f>
        <v/>
      </c>
      <c r="B30" s="73" t="inlineStr">
        <is>
          <t>CONCRETE_MIXED_WITH_SAWDUST_05_S</t>
        </is>
      </c>
      <c r="C30" s="106" t="inlineStr">
        <is>
          <t>INTERMEDIATE_FLOOR</t>
        </is>
      </c>
      <c r="D30" s="103" t="n">
        <v>1</v>
      </c>
      <c r="E30" s="73" t="inlineStr">
        <is>
          <t>SPACE</t>
        </is>
      </c>
      <c r="F30" s="73" t="inlineStr">
        <is>
          <t>CMF_1950</t>
        </is>
      </c>
      <c r="G30" s="118" t="n"/>
      <c r="H30" s="44">
        <f t="array" ref="H30">IF(SUMPRODUCT(--EXACT(B30,Layers!$A$3:$A$268))=0,"No match",SUMPRODUCT(--EXACT(B30,Layers!$A$3:$A$268)))</f>
        <v/>
      </c>
    </row>
    <row r="31" ht="16" customHeight="1">
      <c r="A31" s="102">
        <f>F31&amp;"_"&amp;C31&amp;"_"&amp;E31</f>
        <v/>
      </c>
      <c r="B31" s="73" t="inlineStr">
        <is>
          <t>COKE_ASH_08_S</t>
        </is>
      </c>
      <c r="C31" s="106" t="inlineStr">
        <is>
          <t>INTERMEDIATE_FLOOR</t>
        </is>
      </c>
      <c r="D31" s="103" t="n">
        <v>2</v>
      </c>
      <c r="E31" s="73" t="inlineStr">
        <is>
          <t>SPACE</t>
        </is>
      </c>
      <c r="F31" s="73" t="inlineStr">
        <is>
          <t>CMF_1950</t>
        </is>
      </c>
      <c r="G31" s="118" t="n"/>
      <c r="H31" s="44">
        <f t="array" ref="H31">IF(SUMPRODUCT(--EXACT(B31,Layers!$A$3:$A$268))=0,"No match",SUMPRODUCT(--EXACT(B31,Layers!$A$3:$A$268)))</f>
        <v/>
      </c>
    </row>
    <row r="32" ht="16" customHeight="1">
      <c r="A32" s="102">
        <f>F32&amp;"_"&amp;C32&amp;"_"&amp;E32</f>
        <v/>
      </c>
      <c r="B32" s="73" t="inlineStr">
        <is>
          <t>CONCRETE_16_S</t>
        </is>
      </c>
      <c r="C32" s="106" t="inlineStr">
        <is>
          <t>INTERMEDIATE_FLOOR</t>
        </is>
      </c>
      <c r="D32" s="103" t="n">
        <v>0</v>
      </c>
      <c r="E32" s="73" t="inlineStr">
        <is>
          <t>STRUCTURE</t>
        </is>
      </c>
      <c r="F32" s="73" t="inlineStr">
        <is>
          <t>CMF_1950</t>
        </is>
      </c>
      <c r="G32" s="118" t="n"/>
      <c r="H32" s="44">
        <f t="array" ref="H32">IF(SUMPRODUCT(--EXACT(B32,Layers!$A$3:$A$268))=0,"No match",SUMPRODUCT(--EXACT(B32,Layers!$A$3:$A$268)))</f>
        <v/>
      </c>
    </row>
    <row r="33" ht="16" customHeight="1">
      <c r="A33" s="102">
        <f>F33&amp;"_"&amp;C33&amp;"_"&amp;E33</f>
        <v/>
      </c>
      <c r="B33" s="73" t="inlineStr">
        <is>
          <t>PLASTER_005_S</t>
        </is>
      </c>
      <c r="C33" s="106" t="inlineStr">
        <is>
          <t>INTERMEDIATE_FLOOR</t>
        </is>
      </c>
      <c r="D33" s="103" t="n">
        <v>0</v>
      </c>
      <c r="E33" s="73" t="inlineStr">
        <is>
          <t>SPACE</t>
        </is>
      </c>
      <c r="F33" s="73" t="inlineStr">
        <is>
          <t>CMF_1950</t>
        </is>
      </c>
      <c r="G33" s="118" t="n"/>
      <c r="H33" s="44">
        <f t="array" ref="H33">IF(SUMPRODUCT(--EXACT(B33,Layers!$A$3:$A$268))=0,"No match",SUMPRODUCT(--EXACT(B33,Layers!$A$3:$A$268)))</f>
        <v/>
      </c>
    </row>
    <row r="34" ht="16" customHeight="1">
      <c r="A34" s="102">
        <f>F34&amp;"_"&amp;C34&amp;"_"&amp;E34</f>
        <v/>
      </c>
      <c r="B34" s="73" t="inlineStr">
        <is>
          <t>METAL_SHEET_003_S</t>
        </is>
      </c>
      <c r="C34" s="73" t="inlineStr">
        <is>
          <t>ROOF</t>
        </is>
      </c>
      <c r="D34" s="103" t="n">
        <v>0</v>
      </c>
      <c r="E34" s="73" t="inlineStr">
        <is>
          <t>SKIN</t>
        </is>
      </c>
      <c r="F34" s="73" t="inlineStr">
        <is>
          <t>CMF_1960_1</t>
        </is>
      </c>
      <c r="G34" s="120" t="inlineStr">
        <is>
          <t> </t>
        </is>
      </c>
      <c r="H34" s="44">
        <f t="array" ref="H34">IF(SUMPRODUCT(--EXACT(B34,Layers!$A$3:$A$268))=0,"No match",SUMPRODUCT(--EXACT(B34,Layers!$A$3:$A$268)))</f>
        <v/>
      </c>
    </row>
    <row r="35" ht="16" customHeight="1">
      <c r="A35" s="102">
        <f>F35&amp;"_"&amp;C35&amp;"_"&amp;E35</f>
        <v/>
      </c>
      <c r="B35" s="73" t="inlineStr">
        <is>
          <t>BATTENS_1_023_S</t>
        </is>
      </c>
      <c r="C35" s="73" t="inlineStr">
        <is>
          <t>ROOF</t>
        </is>
      </c>
      <c r="D35" s="103" t="n">
        <v>1</v>
      </c>
      <c r="E35" s="73" t="inlineStr">
        <is>
          <t>SKIN</t>
        </is>
      </c>
      <c r="F35" s="73" t="inlineStr">
        <is>
          <t>CMF_1960_1</t>
        </is>
      </c>
      <c r="G35" s="120" t="inlineStr">
        <is>
          <t>Double check in book</t>
        </is>
      </c>
      <c r="H35" s="44">
        <f t="array" ref="H35">IF(SUMPRODUCT(--EXACT(B35,Layers!$A$3:$A$268))=0,"No match",SUMPRODUCT(--EXACT(B35,Layers!$A$3:$A$268)))</f>
        <v/>
      </c>
    </row>
    <row r="36" ht="16" customHeight="1">
      <c r="A36" s="102">
        <f>F36&amp;"_"&amp;C36&amp;"_"&amp;E36</f>
        <v/>
      </c>
      <c r="B36" s="73" t="inlineStr">
        <is>
          <t>BATTENS_2_023_S</t>
        </is>
      </c>
      <c r="C36" s="73" t="inlineStr">
        <is>
          <t>ROOF</t>
        </is>
      </c>
      <c r="D36" s="103" t="n">
        <v>2</v>
      </c>
      <c r="E36" s="73" t="inlineStr">
        <is>
          <t>SKIN</t>
        </is>
      </c>
      <c r="F36" s="73" t="inlineStr">
        <is>
          <t>CMF_1960_1</t>
        </is>
      </c>
      <c r="G36" s="120" t="inlineStr">
        <is>
          <t>Double check in book</t>
        </is>
      </c>
      <c r="H36" s="44">
        <f t="array" ref="H36">IF(SUMPRODUCT(--EXACT(B36,Layers!$A$3:$A$268))=0,"No match",SUMPRODUCT(--EXACT(B36,Layers!$A$3:$A$268)))</f>
        <v/>
      </c>
    </row>
    <row r="37" ht="16" customHeight="1">
      <c r="A37" s="102">
        <f>F37&amp;"_"&amp;C37&amp;"_"&amp;E37</f>
        <v/>
      </c>
      <c r="B37" s="73" t="inlineStr">
        <is>
          <t>ROOFING_FELT_005_S</t>
        </is>
      </c>
      <c r="C37" s="73" t="inlineStr">
        <is>
          <t>ROOF</t>
        </is>
      </c>
      <c r="D37" s="103" t="n">
        <v>3</v>
      </c>
      <c r="E37" s="73" t="inlineStr">
        <is>
          <t>SKIN</t>
        </is>
      </c>
      <c r="F37" s="73" t="inlineStr">
        <is>
          <t>CMF_1960_1</t>
        </is>
      </c>
      <c r="G37" s="120" t="inlineStr">
        <is>
          <t> </t>
        </is>
      </c>
      <c r="H37" s="44">
        <f t="array" ref="H37">IF(SUMPRODUCT(--EXACT(B37,Layers!$A$3:$A$268))=0,"No match",SUMPRODUCT(--EXACT(B37,Layers!$A$3:$A$268)))</f>
        <v/>
      </c>
    </row>
    <row r="38" ht="16" customHeight="1">
      <c r="A38" s="102">
        <f>F38&amp;"_"&amp;C38&amp;"_"&amp;E38</f>
        <v/>
      </c>
      <c r="B38" s="73" t="inlineStr">
        <is>
          <t>WOODEN_PANEL_03_S</t>
        </is>
      </c>
      <c r="C38" s="73" t="inlineStr">
        <is>
          <t>ROOF</t>
        </is>
      </c>
      <c r="D38" s="103" t="n">
        <v>4</v>
      </c>
      <c r="E38" s="73" t="inlineStr">
        <is>
          <t>SKIN</t>
        </is>
      </c>
      <c r="F38" s="73" t="inlineStr">
        <is>
          <t>CMF_1960_1</t>
        </is>
      </c>
      <c r="G38" s="120" t="inlineStr">
        <is>
          <t> </t>
        </is>
      </c>
      <c r="H38" s="44">
        <f t="array" ref="H38">IF(SUMPRODUCT(--EXACT(B38,Layers!$A$3:$A$268))=0,"No match",SUMPRODUCT(--EXACT(B38,Layers!$A$3:$A$268)))</f>
        <v/>
      </c>
    </row>
    <row r="39" ht="16" customHeight="1">
      <c r="A39" s="102">
        <f>F39&amp;"_"&amp;C39&amp;"_"&amp;E39</f>
        <v/>
      </c>
      <c r="B39" s="73" t="inlineStr">
        <is>
          <t>BRICK_MORTAR_125_C</t>
        </is>
      </c>
      <c r="C39" s="73" t="inlineStr">
        <is>
          <t>EXT_WALL</t>
        </is>
      </c>
      <c r="D39" s="103" t="n">
        <v>0</v>
      </c>
      <c r="E39" s="73" t="inlineStr">
        <is>
          <t>SKIN</t>
        </is>
      </c>
      <c r="F39" s="73" t="inlineStr">
        <is>
          <t>CMF_1960_1</t>
        </is>
      </c>
      <c r="G39" s="120" t="inlineStr">
        <is>
          <t> </t>
        </is>
      </c>
      <c r="H39" s="44">
        <f t="array" ref="H39">IF(SUMPRODUCT(--EXACT(B39,Layers!$A$3:$A$268))=0,"No match",SUMPRODUCT(--EXACT(B39,Layers!$A$3:$A$268)))</f>
        <v/>
      </c>
    </row>
    <row r="40" ht="16" customHeight="1">
      <c r="A40" s="102">
        <f>F40&amp;"_"&amp;C40&amp;"_"&amp;E40</f>
        <v/>
      </c>
      <c r="B40" s="73" t="inlineStr">
        <is>
          <t>PLASTER_BOARD_013_S</t>
        </is>
      </c>
      <c r="C40" s="73" t="inlineStr">
        <is>
          <t>EXT_WALL</t>
        </is>
      </c>
      <c r="D40" s="103" t="n">
        <v>0</v>
      </c>
      <c r="E40" s="73" t="inlineStr">
        <is>
          <t>SPACE</t>
        </is>
      </c>
      <c r="F40" s="73" t="inlineStr">
        <is>
          <t>CMF_1960_1</t>
        </is>
      </c>
      <c r="G40" s="120" t="inlineStr">
        <is>
          <t> </t>
        </is>
      </c>
      <c r="H40" s="44">
        <f t="array" ref="H40">IF(SUMPRODUCT(--EXACT(B40,Layers!$A$3:$A$268))=0,"No match",SUMPRODUCT(--EXACT(B40,Layers!$A$3:$A$268)))</f>
        <v/>
      </c>
    </row>
    <row r="41" ht="16" customHeight="1">
      <c r="A41" s="102">
        <f>F41&amp;"_"&amp;C41&amp;"_"&amp;E41</f>
        <v/>
      </c>
      <c r="B41" s="73" t="inlineStr">
        <is>
          <t>ETERNIT_BOARD_009_S</t>
        </is>
      </c>
      <c r="C41" s="73" t="inlineStr">
        <is>
          <t>EXT_WALL</t>
        </is>
      </c>
      <c r="D41" s="103" t="n">
        <v>0</v>
      </c>
      <c r="E41" s="73" t="inlineStr">
        <is>
          <t>SKIN</t>
        </is>
      </c>
      <c r="F41" s="73" t="inlineStr">
        <is>
          <t>CMF_1960_1</t>
        </is>
      </c>
      <c r="G41" s="120" t="inlineStr">
        <is>
          <t> </t>
        </is>
      </c>
      <c r="H41" s="44">
        <f t="array" ref="H41">IF(SUMPRODUCT(--EXACT(B41,Layers!$A$3:$A$268))=0,"No match",SUMPRODUCT(--EXACT(B41,Layers!$A$3:$A$268)))</f>
        <v/>
      </c>
    </row>
    <row r="42" ht="16" customHeight="1">
      <c r="A42" s="102">
        <f>F42&amp;"_"&amp;C42&amp;"_"&amp;E42</f>
        <v/>
      </c>
      <c r="B42" s="73" t="inlineStr">
        <is>
          <t>MINERAL_WOOL_WOODEN_STUD_095_C</t>
        </is>
      </c>
      <c r="C42" s="73" t="inlineStr">
        <is>
          <t>EXT_WALL</t>
        </is>
      </c>
      <c r="D42" s="103" t="n">
        <v>0</v>
      </c>
      <c r="E42" s="73" t="inlineStr">
        <is>
          <t>STRUCTURE</t>
        </is>
      </c>
      <c r="F42" s="73" t="inlineStr">
        <is>
          <t>CMF_1960_1</t>
        </is>
      </c>
      <c r="G42" s="120" t="inlineStr">
        <is>
          <t>Is the mineral wool here regarded as structure since its a composite layer?</t>
        </is>
      </c>
      <c r="H42" s="44">
        <f t="array" ref="H42">IF(SUMPRODUCT(--EXACT(B42,Layers!$A$3:$A$268))=0,"No match",SUMPRODUCT(--EXACT(B42,Layers!$A$3:$A$268)))</f>
        <v/>
      </c>
    </row>
    <row r="43" ht="16" customHeight="1">
      <c r="A43" s="102">
        <f>F43&amp;"_"&amp;C43&amp;"_"&amp;E43</f>
        <v/>
      </c>
      <c r="B43" s="73" t="inlineStr">
        <is>
          <t>ASPHALT_BOARD_012_S</t>
        </is>
      </c>
      <c r="C43" s="73" t="inlineStr">
        <is>
          <t>EXT_WALL</t>
        </is>
      </c>
      <c r="D43" s="103" t="n">
        <v>0</v>
      </c>
      <c r="E43" s="73" t="inlineStr">
        <is>
          <t>SPACE</t>
        </is>
      </c>
      <c r="F43" s="73" t="inlineStr">
        <is>
          <t>CMF_1960_1</t>
        </is>
      </c>
      <c r="G43" s="120" t="inlineStr">
        <is>
          <t> </t>
        </is>
      </c>
      <c r="H43" s="44">
        <f t="array" ref="H43">IF(SUMPRODUCT(--EXACT(B43,Layers!$A$3:$A$268))=0,"No match",SUMPRODUCT(--EXACT(B43,Layers!$A$3:$A$268)))</f>
        <v/>
      </c>
    </row>
    <row r="44" ht="16" customHeight="1">
      <c r="A44" s="102">
        <f>F44&amp;"_"&amp;C44&amp;"_"&amp;E44</f>
        <v/>
      </c>
      <c r="B44" s="73" t="inlineStr">
        <is>
          <t>PLASTER_BOARD_013_S</t>
        </is>
      </c>
      <c r="C44" s="73" t="inlineStr">
        <is>
          <t>EXT_WALL</t>
        </is>
      </c>
      <c r="D44" s="103" t="n">
        <v>1</v>
      </c>
      <c r="E44" s="73" t="inlineStr">
        <is>
          <t>SPACE</t>
        </is>
      </c>
      <c r="F44" s="73" t="inlineStr">
        <is>
          <t>CMF_1960_1</t>
        </is>
      </c>
      <c r="G44" s="120" t="inlineStr">
        <is>
          <t> </t>
        </is>
      </c>
      <c r="H44" s="44">
        <f t="array" ref="H44">IF(SUMPRODUCT(--EXACT(B44,Layers!$A$3:$A$268))=0,"No match",SUMPRODUCT(--EXACT(B44,Layers!$A$3:$A$268)))</f>
        <v/>
      </c>
    </row>
    <row r="45" ht="16" customHeight="1">
      <c r="A45" s="102">
        <f>F45&amp;"_"&amp;C45&amp;"_"&amp;E45</f>
        <v/>
      </c>
      <c r="B45" s="73" t="inlineStr">
        <is>
          <t>LINOLEUM_01_S</t>
        </is>
      </c>
      <c r="C45" s="73" t="inlineStr">
        <is>
          <t>GROUND_FLOOR</t>
        </is>
      </c>
      <c r="D45" s="103" t="n">
        <v>0</v>
      </c>
      <c r="E45" s="73" t="inlineStr">
        <is>
          <t>SPACE</t>
        </is>
      </c>
      <c r="F45" s="73" t="inlineStr">
        <is>
          <t>CMF_1960_1</t>
        </is>
      </c>
      <c r="G45" s="120" t="inlineStr">
        <is>
          <t> </t>
        </is>
      </c>
      <c r="H45" s="44">
        <f t="array" ref="H45">IF(SUMPRODUCT(--EXACT(B45,Layers!$A$3:$A$268))=0,"No match",SUMPRODUCT(--EXACT(B45,Layers!$A$3:$A$268)))</f>
        <v/>
      </c>
    </row>
    <row r="46" ht="16" customHeight="1">
      <c r="A46" s="102">
        <f>F46&amp;"_"&amp;C46&amp;"_"&amp;E46</f>
        <v/>
      </c>
      <c r="B46" s="73" t="inlineStr">
        <is>
          <t>WOODFIBER_BOARD_013_S</t>
        </is>
      </c>
      <c r="C46" s="73" t="inlineStr">
        <is>
          <t>GROUND_FLOOR</t>
        </is>
      </c>
      <c r="D46" s="103" t="n">
        <v>1</v>
      </c>
      <c r="E46" s="73" t="inlineStr">
        <is>
          <t>SPACE</t>
        </is>
      </c>
      <c r="F46" s="73" t="inlineStr">
        <is>
          <t>CMF_1960_1</t>
        </is>
      </c>
      <c r="G46" s="120" t="inlineStr">
        <is>
          <t> </t>
        </is>
      </c>
      <c r="H46" s="44">
        <f t="array" ref="H46">IF(SUMPRODUCT(--EXACT(B46,Layers!$A$3:$A$268))=0,"No match",SUMPRODUCT(--EXACT(B46,Layers!$A$3:$A$268)))</f>
        <v/>
      </c>
    </row>
    <row r="47" ht="16" customHeight="1">
      <c r="A47" s="102">
        <f>F47&amp;"_"&amp;C47&amp;"_"&amp;E47</f>
        <v/>
      </c>
      <c r="B47" s="73" t="inlineStr">
        <is>
          <t>CONCRETE_15_S</t>
        </is>
      </c>
      <c r="C47" s="73" t="inlineStr">
        <is>
          <t>GROUND_FLOOR</t>
        </is>
      </c>
      <c r="D47" s="103" t="n">
        <v>0</v>
      </c>
      <c r="E47" s="73" t="inlineStr">
        <is>
          <t>STRUCTURE</t>
        </is>
      </c>
      <c r="F47" s="73" t="inlineStr">
        <is>
          <t>CMF_1960_1</t>
        </is>
      </c>
      <c r="G47" s="120" t="inlineStr">
        <is>
          <t> </t>
        </is>
      </c>
      <c r="H47" s="44">
        <f t="array" ref="H47">IF(SUMPRODUCT(--EXACT(B47,Layers!$A$3:$A$268))=0,"No match",SUMPRODUCT(--EXACT(B47,Layers!$A$3:$A$268)))</f>
        <v/>
      </c>
    </row>
    <row r="48" ht="16" customHeight="1">
      <c r="A48" s="102">
        <f>F48&amp;"_"&amp;C48&amp;"_"&amp;E48</f>
        <v/>
      </c>
      <c r="B48" s="73" t="inlineStr">
        <is>
          <t>LECA_15_S</t>
        </is>
      </c>
      <c r="C48" s="73" t="inlineStr">
        <is>
          <t>GROUND_FLOOR</t>
        </is>
      </c>
      <c r="D48" s="103" t="n">
        <v>0</v>
      </c>
      <c r="E48" s="73" t="inlineStr">
        <is>
          <t>SKIN</t>
        </is>
      </c>
      <c r="F48" s="73" t="inlineStr">
        <is>
          <t>CMF_1960_1</t>
        </is>
      </c>
      <c r="G48" s="120" t="inlineStr">
        <is>
          <t>What should shearing layer be here?</t>
        </is>
      </c>
      <c r="H48" s="44">
        <f t="array" ref="H48">IF(SUMPRODUCT(--EXACT(B48,Layers!$A$3:$A$268))=0,"No match",SUMPRODUCT(--EXACT(B48,Layers!$A$3:$A$268)))</f>
        <v/>
      </c>
    </row>
    <row r="49" ht="16" customHeight="1">
      <c r="A49" s="102">
        <f>F49&amp;"_"&amp;C49&amp;"_"&amp;E49</f>
        <v/>
      </c>
      <c r="B49" s="73" t="inlineStr">
        <is>
          <t>CARDBOARD_005_S</t>
        </is>
      </c>
      <c r="C49" s="104" t="inlineStr">
        <is>
          <t>TOP_FLOOR</t>
        </is>
      </c>
      <c r="D49" s="103" t="n">
        <v>0</v>
      </c>
      <c r="E49" s="73" t="inlineStr">
        <is>
          <t>SPACE</t>
        </is>
      </c>
      <c r="F49" s="73" t="inlineStr">
        <is>
          <t>CMF_1960_1</t>
        </is>
      </c>
      <c r="G49" s="120" t="inlineStr">
        <is>
          <t> </t>
        </is>
      </c>
      <c r="H49" s="44">
        <f t="array" ref="H49">IF(SUMPRODUCT(--EXACT(B49,Layers!$A$3:$A$268))=0,"No match",SUMPRODUCT(--EXACT(B49,Layers!$A$3:$A$268)))</f>
        <v/>
      </c>
    </row>
    <row r="50" ht="16" customHeight="1">
      <c r="A50" s="102">
        <f>F50&amp;"_"&amp;C50&amp;"_"&amp;E50</f>
        <v/>
      </c>
      <c r="B50" s="73" t="inlineStr">
        <is>
          <t>MINERAL_WOOL_BLANKET_03_S</t>
        </is>
      </c>
      <c r="C50" s="104" t="inlineStr">
        <is>
          <t>TOP_FLOOR</t>
        </is>
      </c>
      <c r="D50" s="103" t="n">
        <v>1</v>
      </c>
      <c r="E50" s="73" t="inlineStr">
        <is>
          <t>SPACE</t>
        </is>
      </c>
      <c r="F50" s="73" t="inlineStr">
        <is>
          <t>CMF_1960_1</t>
        </is>
      </c>
      <c r="G50" s="120" t="inlineStr">
        <is>
          <t> </t>
        </is>
      </c>
      <c r="H50" s="44">
        <f t="array" ref="H50">IF(SUMPRODUCT(--EXACT(B50,Layers!$A$3:$A$268))=0,"No match",SUMPRODUCT(--EXACT(B50,Layers!$A$3:$A$268)))</f>
        <v/>
      </c>
    </row>
    <row r="51" ht="16" customHeight="1">
      <c r="A51" s="102">
        <f>F51&amp;"_"&amp;C51&amp;"_"&amp;E51</f>
        <v/>
      </c>
      <c r="B51" s="73" t="inlineStr">
        <is>
          <t>MINERAL_WOOL_CARPET_2_S</t>
        </is>
      </c>
      <c r="C51" s="104" t="inlineStr">
        <is>
          <t>TOP_FLOOR</t>
        </is>
      </c>
      <c r="D51" s="103" t="n">
        <v>2</v>
      </c>
      <c r="E51" s="73" t="inlineStr">
        <is>
          <t>SPACE</t>
        </is>
      </c>
      <c r="F51" s="73" t="inlineStr">
        <is>
          <t>CMF_1960_1</t>
        </is>
      </c>
      <c r="G51" s="120" t="inlineStr">
        <is>
          <t> </t>
        </is>
      </c>
      <c r="H51" s="44">
        <f t="array" ref="H51">IF(SUMPRODUCT(--EXACT(B51,Layers!$A$3:$A$268))=0,"No match",SUMPRODUCT(--EXACT(B51,Layers!$A$3:$A$268)))</f>
        <v/>
      </c>
    </row>
    <row r="52" ht="16" customHeight="1">
      <c r="A52" s="102">
        <f>F52&amp;"_"&amp;C52&amp;"_"&amp;E52</f>
        <v/>
      </c>
      <c r="B52" s="73" t="inlineStr">
        <is>
          <t>CONCRETE_14_S</t>
        </is>
      </c>
      <c r="C52" s="104" t="inlineStr">
        <is>
          <t>TOP_FLOOR</t>
        </is>
      </c>
      <c r="D52" s="103" t="n">
        <v>0</v>
      </c>
      <c r="E52" s="73" t="inlineStr">
        <is>
          <t>STRUCTURE</t>
        </is>
      </c>
      <c r="F52" s="73" t="inlineStr">
        <is>
          <t>CMF_1960_1</t>
        </is>
      </c>
      <c r="G52" s="120" t="inlineStr">
        <is>
          <t> </t>
        </is>
      </c>
      <c r="H52" s="44">
        <f t="array" ref="H52">IF(SUMPRODUCT(--EXACT(B52,Layers!$A$3:$A$268))=0,"No match",SUMPRODUCT(--EXACT(B52,Layers!$A$3:$A$268)))</f>
        <v/>
      </c>
    </row>
    <row r="53" ht="16" customHeight="1">
      <c r="A53" s="102">
        <f>F53&amp;"_"&amp;C53&amp;"_"&amp;E53</f>
        <v/>
      </c>
      <c r="B53" s="105" t="inlineStr">
        <is>
          <t>PLASTER_005_S</t>
        </is>
      </c>
      <c r="C53" s="105" t="inlineStr">
        <is>
          <t>INT_WALL_LOADBEARING</t>
        </is>
      </c>
      <c r="D53" s="103" t="n">
        <v>0</v>
      </c>
      <c r="E53" s="73" t="inlineStr">
        <is>
          <t>SPACE</t>
        </is>
      </c>
      <c r="F53" s="73" t="inlineStr">
        <is>
          <t>CMF_1960_1</t>
        </is>
      </c>
      <c r="G53" s="120" t="n"/>
      <c r="H53" s="44">
        <f t="array" ref="H53">IF(SUMPRODUCT(--EXACT(B53,Layers!$A$3:$A$268))=0,"No match",SUMPRODUCT(--EXACT(B53,Layers!$A$3:$A$268)))</f>
        <v/>
      </c>
    </row>
    <row r="54" ht="16" customHeight="1">
      <c r="A54" s="102">
        <f>F54&amp;"_"&amp;C54&amp;"_"&amp;E54</f>
        <v/>
      </c>
      <c r="B54" s="105" t="inlineStr">
        <is>
          <t>CONCRETE_16_S</t>
        </is>
      </c>
      <c r="C54" s="105" t="inlineStr">
        <is>
          <t>INT_WALL_LOADBEARING</t>
        </is>
      </c>
      <c r="D54" s="103" t="n">
        <v>0</v>
      </c>
      <c r="E54" s="73" t="inlineStr">
        <is>
          <t>STRUCTURE</t>
        </is>
      </c>
      <c r="F54" s="73" t="inlineStr">
        <is>
          <t>CMF_1960_1</t>
        </is>
      </c>
      <c r="G54" s="120" t="n"/>
      <c r="H54" s="44">
        <f t="array" ref="H54">IF(SUMPRODUCT(--EXACT(B54,Layers!$A$3:$A$268))=0,"No match",SUMPRODUCT(--EXACT(B54,Layers!$A$3:$A$268)))</f>
        <v/>
      </c>
    </row>
    <row r="55" ht="16" customHeight="1">
      <c r="A55" s="102">
        <f>F55&amp;"_"&amp;C55&amp;"_"&amp;E55</f>
        <v/>
      </c>
      <c r="B55" s="105" t="inlineStr">
        <is>
          <t>GYPSUM_BOARD_013_S</t>
        </is>
      </c>
      <c r="C55" s="105" t="inlineStr">
        <is>
          <t>INT_WALL_NONLOADBEARING</t>
        </is>
      </c>
      <c r="D55" s="103" t="n">
        <v>0</v>
      </c>
      <c r="E55" s="73" t="inlineStr">
        <is>
          <t>SPACE</t>
        </is>
      </c>
      <c r="F55" s="73" t="inlineStr">
        <is>
          <t>CMF_1960_1</t>
        </is>
      </c>
      <c r="G55" s="120" t="n"/>
      <c r="H55" s="44">
        <f t="array" ref="H55">IF(SUMPRODUCT(--EXACT(B55,Layers!$A$3:$A$268))=0,"No match",SUMPRODUCT(--EXACT(B55,Layers!$A$3:$A$268)))</f>
        <v/>
      </c>
    </row>
    <row r="56" ht="16" customHeight="1">
      <c r="A56" s="102">
        <f>F56&amp;"_"&amp;C56&amp;"_"&amp;E56</f>
        <v/>
      </c>
      <c r="B56" s="105" t="inlineStr">
        <is>
          <t>MINERAL_WOOL_WOODEN_STUD_07_C</t>
        </is>
      </c>
      <c r="C56" s="105" t="inlineStr">
        <is>
          <t>INT_WALL_NONLOADBEARING</t>
        </is>
      </c>
      <c r="D56" s="103" t="n">
        <v>0</v>
      </c>
      <c r="E56" s="73" t="inlineStr">
        <is>
          <t>STRUCTURE</t>
        </is>
      </c>
      <c r="F56" s="73" t="inlineStr">
        <is>
          <t>CMF_1960_1</t>
        </is>
      </c>
      <c r="G56" s="120" t="n"/>
      <c r="H56" s="44">
        <f t="array" ref="H56">IF(SUMPRODUCT(--EXACT(B56,Layers!$A$3:$A$268))=0,"No match",SUMPRODUCT(--EXACT(B56,Layers!$A$3:$A$268)))</f>
        <v/>
      </c>
    </row>
    <row r="57" ht="16" customHeight="1">
      <c r="A57" s="102">
        <f>F57&amp;"_"&amp;C57&amp;"_"&amp;E57</f>
        <v/>
      </c>
      <c r="B57" s="73" t="inlineStr">
        <is>
          <t>LINOLEUM_01_S</t>
        </is>
      </c>
      <c r="C57" s="105" t="inlineStr">
        <is>
          <t>INTERMEDIATE_FLOOR</t>
        </is>
      </c>
      <c r="D57" s="103" t="n">
        <v>0</v>
      </c>
      <c r="E57" s="73" t="inlineStr">
        <is>
          <t>SPACE</t>
        </is>
      </c>
      <c r="F57" s="73" t="inlineStr">
        <is>
          <t>CMF_1960_1</t>
        </is>
      </c>
      <c r="G57" s="120" t="n"/>
      <c r="H57" s="44">
        <f t="array" ref="H57">IF(SUMPRODUCT(--EXACT(B57,Layers!$A$3:$A$268))=0,"No match",SUMPRODUCT(--EXACT(B57,Layers!$A$3:$A$268)))</f>
        <v/>
      </c>
    </row>
    <row r="58" ht="16" customHeight="1">
      <c r="A58" s="102">
        <f>F58&amp;"_"&amp;C58&amp;"_"&amp;E58</f>
        <v/>
      </c>
      <c r="B58" s="73" t="inlineStr">
        <is>
          <t>WOODFIBER_BOARD_013_S</t>
        </is>
      </c>
      <c r="C58" s="105" t="inlineStr">
        <is>
          <t>INTERMEDIATE_FLOOR</t>
        </is>
      </c>
      <c r="D58" s="103" t="n">
        <v>1</v>
      </c>
      <c r="E58" s="73" t="inlineStr">
        <is>
          <t>SPACE</t>
        </is>
      </c>
      <c r="F58" s="73" t="inlineStr">
        <is>
          <t>CMF_1960_1</t>
        </is>
      </c>
      <c r="G58" s="120" t="n"/>
      <c r="H58" s="44">
        <f t="array" ref="H58">IF(SUMPRODUCT(--EXACT(B58,Layers!$A$3:$A$268))=0,"No match",SUMPRODUCT(--EXACT(B58,Layers!$A$3:$A$268)))</f>
        <v/>
      </c>
    </row>
    <row r="59" ht="16" customHeight="1">
      <c r="A59" s="102">
        <f>F59&amp;"_"&amp;C59&amp;"_"&amp;E59</f>
        <v/>
      </c>
      <c r="B59" s="105" t="inlineStr">
        <is>
          <t>CONCRETE_16_S</t>
        </is>
      </c>
      <c r="C59" s="105" t="inlineStr">
        <is>
          <t>INTERMEDIATE_FLOOR</t>
        </is>
      </c>
      <c r="D59" s="103" t="n">
        <v>0</v>
      </c>
      <c r="E59" s="73" t="inlineStr">
        <is>
          <t>STRUCTURE</t>
        </is>
      </c>
      <c r="F59" s="73" t="inlineStr">
        <is>
          <t>CMF_1960_1</t>
        </is>
      </c>
      <c r="G59" s="120" t="n"/>
      <c r="H59" s="44">
        <f t="array" ref="H59">IF(SUMPRODUCT(--EXACT(B59,Layers!$A$3:$A$268))=0,"No match",SUMPRODUCT(--EXACT(B59,Layers!$A$3:$A$268)))</f>
        <v/>
      </c>
    </row>
    <row r="60" ht="16" customHeight="1">
      <c r="A60" s="102">
        <f>F60&amp;"_"&amp;C60&amp;"_"&amp;E60</f>
        <v/>
      </c>
      <c r="B60" s="105" t="inlineStr">
        <is>
          <t>PLASTER_005_S</t>
        </is>
      </c>
      <c r="C60" s="105" t="inlineStr">
        <is>
          <t>INTERMEDIATE_FLOOR</t>
        </is>
      </c>
      <c r="D60" s="103" t="n">
        <v>0</v>
      </c>
      <c r="E60" s="73" t="inlineStr">
        <is>
          <t>SPACE</t>
        </is>
      </c>
      <c r="F60" s="73" t="inlineStr">
        <is>
          <t>CMF_1960_1</t>
        </is>
      </c>
      <c r="G60" s="120" t="n"/>
      <c r="H60" s="44">
        <f t="array" ref="H60">IF(SUMPRODUCT(--EXACT(B60,Layers!$A$3:$A$268))=0,"No match",SUMPRODUCT(--EXACT(B60,Layers!$A$3:$A$268)))</f>
        <v/>
      </c>
    </row>
    <row r="61" ht="16" customHeight="1">
      <c r="A61" s="102">
        <f>F61&amp;"_"&amp;C61&amp;"_"&amp;E61</f>
        <v/>
      </c>
      <c r="B61" s="73" t="inlineStr">
        <is>
          <t>METAL_SHEET_003_S</t>
        </is>
      </c>
      <c r="C61" s="73" t="inlineStr">
        <is>
          <t>ROOF</t>
        </is>
      </c>
      <c r="D61" s="103" t="n">
        <v>0</v>
      </c>
      <c r="E61" s="73" t="inlineStr">
        <is>
          <t>SKIN</t>
        </is>
      </c>
      <c r="F61" s="73" t="inlineStr">
        <is>
          <t>CMF_1960_2</t>
        </is>
      </c>
      <c r="G61" s="120" t="inlineStr">
        <is>
          <t> </t>
        </is>
      </c>
      <c r="H61" s="44">
        <f t="array" ref="H61">IF(SUMPRODUCT(--EXACT(B61,Layers!$A$3:$A$268))=0,"No match",SUMPRODUCT(--EXACT(B61,Layers!$A$3:$A$268)))</f>
        <v/>
      </c>
    </row>
    <row r="62" ht="16" customHeight="1">
      <c r="A62" s="102">
        <f>F62&amp;"_"&amp;C62&amp;"_"&amp;E62</f>
        <v/>
      </c>
      <c r="B62" s="73" t="inlineStr">
        <is>
          <t>ROOFING_FELT_01_S</t>
        </is>
      </c>
      <c r="C62" s="73" t="inlineStr">
        <is>
          <t>ROOF</t>
        </is>
      </c>
      <c r="D62" s="103" t="n">
        <v>1</v>
      </c>
      <c r="E62" s="73" t="inlineStr">
        <is>
          <t>SKIN</t>
        </is>
      </c>
      <c r="F62" s="73" t="inlineStr">
        <is>
          <t>CMF_1960_2</t>
        </is>
      </c>
      <c r="G62" s="120" t="inlineStr">
        <is>
          <t> </t>
        </is>
      </c>
      <c r="H62" s="44">
        <f t="array" ref="H62">IF(SUMPRODUCT(--EXACT(B62,Layers!$A$3:$A$268))=0,"No match",SUMPRODUCT(--EXACT(B62,Layers!$A$3:$A$268)))</f>
        <v/>
      </c>
    </row>
    <row r="63" ht="16" customHeight="1">
      <c r="A63" s="102">
        <f>F63&amp;"_"&amp;C63&amp;"_"&amp;E63</f>
        <v/>
      </c>
      <c r="B63" s="73" t="inlineStr">
        <is>
          <t>WOODEN_PANEL_03_S</t>
        </is>
      </c>
      <c r="C63" s="73" t="inlineStr">
        <is>
          <t>ROOF</t>
        </is>
      </c>
      <c r="D63" s="103" t="n">
        <v>2</v>
      </c>
      <c r="E63" s="73" t="inlineStr">
        <is>
          <t>SKIN</t>
        </is>
      </c>
      <c r="F63" s="73" t="inlineStr">
        <is>
          <t>CMF_1960_2</t>
        </is>
      </c>
      <c r="G63" s="120" t="inlineStr">
        <is>
          <t> </t>
        </is>
      </c>
      <c r="H63" s="44">
        <f t="array" ref="H63">IF(SUMPRODUCT(--EXACT(B63,Layers!$A$3:$A$268))=0,"No match",SUMPRODUCT(--EXACT(B63,Layers!$A$3:$A$268)))</f>
        <v/>
      </c>
    </row>
    <row r="64" ht="16" customHeight="1">
      <c r="A64" s="102">
        <f>F64&amp;"_"&amp;C64&amp;"_"&amp;E64</f>
        <v/>
      </c>
      <c r="B64" s="73" t="inlineStr">
        <is>
          <t>WOODEN_TRUSS_05_S</t>
        </is>
      </c>
      <c r="C64" s="73" t="inlineStr">
        <is>
          <t>ROOF</t>
        </is>
      </c>
      <c r="D64" s="103" t="n">
        <v>0</v>
      </c>
      <c r="E64" s="73" t="inlineStr">
        <is>
          <t>STRUCTURE</t>
        </is>
      </c>
      <c r="F64" s="73" t="inlineStr">
        <is>
          <t>CMF_1960_2</t>
        </is>
      </c>
      <c r="G64" s="120" t="inlineStr">
        <is>
          <t> </t>
        </is>
      </c>
      <c r="H64" s="44">
        <f t="array" ref="H64">IF(SUMPRODUCT(--EXACT(B64,Layers!$A$3:$A$268))=0,"No match",SUMPRODUCT(--EXACT(B64,Layers!$A$3:$A$268)))</f>
        <v/>
      </c>
    </row>
    <row r="65" ht="16" customHeight="1">
      <c r="A65" s="102">
        <f>F65&amp;"_"&amp;C65&amp;"_"&amp;E65</f>
        <v/>
      </c>
      <c r="B65" s="73" t="inlineStr">
        <is>
          <t>MINERAL_WOOL_CARPET_12_S</t>
        </is>
      </c>
      <c r="C65" s="73" t="inlineStr">
        <is>
          <t>TOP_FLOOR</t>
        </is>
      </c>
      <c r="D65" s="103" t="n">
        <v>0</v>
      </c>
      <c r="E65" s="73" t="inlineStr">
        <is>
          <t>SPACE</t>
        </is>
      </c>
      <c r="F65" s="73" t="inlineStr">
        <is>
          <t>CMF_1960_2</t>
        </is>
      </c>
      <c r="G65" s="120" t="inlineStr">
        <is>
          <t> </t>
        </is>
      </c>
      <c r="H65" s="44">
        <f t="array" ref="H65">IF(SUMPRODUCT(--EXACT(B65,Layers!$A$3:$A$268))=0,"No match",SUMPRODUCT(--EXACT(B65,Layers!$A$3:$A$268)))</f>
        <v/>
      </c>
    </row>
    <row r="66" ht="16" customHeight="1">
      <c r="A66" s="102">
        <f>F66&amp;"_"&amp;C66&amp;"_"&amp;E66</f>
        <v/>
      </c>
      <c r="B66" s="73" t="inlineStr">
        <is>
          <t>MINERAL_WOOL_BLANKET_03_S</t>
        </is>
      </c>
      <c r="C66" s="73" t="inlineStr">
        <is>
          <t>TOP_FLOOR</t>
        </is>
      </c>
      <c r="D66" s="103" t="n">
        <v>1</v>
      </c>
      <c r="E66" s="73" t="inlineStr">
        <is>
          <t>SPACE</t>
        </is>
      </c>
      <c r="F66" s="73" t="inlineStr">
        <is>
          <t>CMF_1960_2</t>
        </is>
      </c>
      <c r="G66" s="120" t="inlineStr">
        <is>
          <t> </t>
        </is>
      </c>
      <c r="H66" s="44">
        <f t="array" ref="H66">IF(SUMPRODUCT(--EXACT(B66,Layers!$A$3:$A$268))=0,"No match",SUMPRODUCT(--EXACT(B66,Layers!$A$3:$A$268)))</f>
        <v/>
      </c>
    </row>
    <row r="67" ht="16" customHeight="1">
      <c r="A67" s="102">
        <f>F67&amp;"_"&amp;C67&amp;"_"&amp;E67</f>
        <v/>
      </c>
      <c r="B67" s="73" t="inlineStr">
        <is>
          <t>CONCRETE_16_S</t>
        </is>
      </c>
      <c r="C67" s="73" t="inlineStr">
        <is>
          <t>TOP_FLOOR</t>
        </is>
      </c>
      <c r="D67" s="103" t="n">
        <v>0</v>
      </c>
      <c r="E67" s="73" t="inlineStr">
        <is>
          <t>STRUCTURE</t>
        </is>
      </c>
      <c r="F67" s="73" t="inlineStr">
        <is>
          <t>CMF_1960_2</t>
        </is>
      </c>
      <c r="G67" s="120" t="inlineStr">
        <is>
          <t> </t>
        </is>
      </c>
      <c r="H67" s="44">
        <f t="array" ref="H67">IF(SUMPRODUCT(--EXACT(B67,Layers!$A$3:$A$268))=0,"No match",SUMPRODUCT(--EXACT(B67,Layers!$A$3:$A$268)))</f>
        <v/>
      </c>
    </row>
    <row r="68" ht="16" customHeight="1">
      <c r="A68" s="102">
        <f>F68&amp;"_"&amp;C68&amp;"_"&amp;E68</f>
        <v/>
      </c>
      <c r="B68" s="105" t="inlineStr">
        <is>
          <t>PLASTER_005_S</t>
        </is>
      </c>
      <c r="C68" s="73" t="inlineStr">
        <is>
          <t>EXT_WALL</t>
        </is>
      </c>
      <c r="D68" s="103" t="n">
        <v>0</v>
      </c>
      <c r="E68" s="73" t="inlineStr">
        <is>
          <t>SKIN</t>
        </is>
      </c>
      <c r="F68" s="73" t="inlineStr">
        <is>
          <t>CMF_1960_2</t>
        </is>
      </c>
      <c r="G68" s="120" t="inlineStr">
        <is>
          <t> </t>
        </is>
      </c>
      <c r="H68" s="44">
        <f t="array" ref="H68">IF(SUMPRODUCT(--EXACT(B68,Layers!$A$3:$A$268))=0,"No match",SUMPRODUCT(--EXACT(B68,Layers!$A$3:$A$268)))</f>
        <v/>
      </c>
    </row>
    <row r="69" ht="16" customHeight="1">
      <c r="A69" s="102">
        <f>F69&amp;"_"&amp;C69&amp;"_"&amp;E69</f>
        <v/>
      </c>
      <c r="B69" s="73" t="inlineStr">
        <is>
          <t>LIGHTWEIGHT_CONCRETE_MORTAR_15_C</t>
        </is>
      </c>
      <c r="C69" s="73" t="inlineStr">
        <is>
          <t>EXT_WALL</t>
        </is>
      </c>
      <c r="D69" s="103" t="n">
        <v>1</v>
      </c>
      <c r="E69" s="73" t="inlineStr">
        <is>
          <t>STRUCTURE</t>
        </is>
      </c>
      <c r="F69" s="73" t="inlineStr">
        <is>
          <t>CMF_1960_2</t>
        </is>
      </c>
      <c r="G69" s="120" t="inlineStr">
        <is>
          <t> </t>
        </is>
      </c>
      <c r="H69" s="44">
        <f t="array" ref="H69">IF(SUMPRODUCT(--EXACT(B69,Layers!$A$3:$A$268))=0,"No match",SUMPRODUCT(--EXACT(B69,Layers!$A$3:$A$268)))</f>
        <v/>
      </c>
    </row>
    <row r="70" ht="16" customHeight="1">
      <c r="A70" s="102">
        <f>F70&amp;"_"&amp;C70&amp;"_"&amp;E70</f>
        <v/>
      </c>
      <c r="B70" s="73" t="inlineStr">
        <is>
          <t>CONCRETE_15_S</t>
        </is>
      </c>
      <c r="C70" s="73" t="inlineStr">
        <is>
          <t>EXT_WALL</t>
        </is>
      </c>
      <c r="D70" s="103" t="n">
        <v>1</v>
      </c>
      <c r="E70" s="73" t="inlineStr">
        <is>
          <t>STRUCTURE</t>
        </is>
      </c>
      <c r="F70" s="73" t="inlineStr">
        <is>
          <t>CMF_1960_2</t>
        </is>
      </c>
      <c r="G70" s="120" t="inlineStr">
        <is>
          <t> </t>
        </is>
      </c>
      <c r="H70" s="44">
        <f t="array" ref="H70">IF(SUMPRODUCT(--EXACT(B70,Layers!$A$3:$A$268))=0,"No match",SUMPRODUCT(--EXACT(B70,Layers!$A$3:$A$268)))</f>
        <v/>
      </c>
    </row>
    <row r="71" ht="16" customHeight="1">
      <c r="A71" s="102">
        <f>F71&amp;"_"&amp;C71&amp;"_"&amp;E71</f>
        <v/>
      </c>
      <c r="B71" s="73" t="inlineStr">
        <is>
          <t>PLASTER_01_S</t>
        </is>
      </c>
      <c r="C71" s="73" t="inlineStr">
        <is>
          <t>EXT_WALL</t>
        </is>
      </c>
      <c r="D71" s="103" t="n">
        <v>0</v>
      </c>
      <c r="E71" s="73" t="inlineStr">
        <is>
          <t>SPACE</t>
        </is>
      </c>
      <c r="F71" s="73" t="inlineStr">
        <is>
          <t>CMF_1960_2</t>
        </is>
      </c>
      <c r="G71" s="120" t="inlineStr">
        <is>
          <t> </t>
        </is>
      </c>
      <c r="H71" s="44">
        <f t="array" ref="H71">IF(SUMPRODUCT(--EXACT(B71,Layers!$A$3:$A$268))=0,"No match",SUMPRODUCT(--EXACT(B71,Layers!$A$3:$A$268)))</f>
        <v/>
      </c>
    </row>
    <row r="72" ht="16" customHeight="1">
      <c r="A72" s="102">
        <f>F72&amp;"_"&amp;C72&amp;"_"&amp;E72</f>
        <v/>
      </c>
      <c r="B72" s="73" t="inlineStr">
        <is>
          <t>ASBESTOS_CEMENT_BOARD_01_S</t>
        </is>
      </c>
      <c r="C72" s="73" t="inlineStr">
        <is>
          <t>EXT_WALL</t>
        </is>
      </c>
      <c r="D72" s="103" t="n">
        <v>0</v>
      </c>
      <c r="E72" s="73" t="inlineStr">
        <is>
          <t>SKIN</t>
        </is>
      </c>
      <c r="F72" s="73" t="inlineStr">
        <is>
          <t>CMF_1960_2</t>
        </is>
      </c>
      <c r="G72" s="120" t="n"/>
      <c r="H72" s="44">
        <f t="array" ref="H72">IF(SUMPRODUCT(--EXACT(B72,Layers!$A$3:$A$268))=0,"No match",SUMPRODUCT(--EXACT(B72,Layers!$A$3:$A$268)))</f>
        <v/>
      </c>
    </row>
    <row r="73" ht="16" customHeight="1">
      <c r="A73" s="102">
        <f>F73&amp;"_"&amp;C73&amp;"_"&amp;E73</f>
        <v/>
      </c>
      <c r="B73" s="73" t="inlineStr">
        <is>
          <t>ASPHALT_BOARD_01_S</t>
        </is>
      </c>
      <c r="C73" s="73" t="inlineStr">
        <is>
          <t>EXT_WALL</t>
        </is>
      </c>
      <c r="D73" s="103" t="n">
        <v>1</v>
      </c>
      <c r="E73" s="73" t="inlineStr">
        <is>
          <t>SKIN</t>
        </is>
      </c>
      <c r="F73" s="73" t="inlineStr">
        <is>
          <t>CMF_1960_2</t>
        </is>
      </c>
      <c r="G73" s="120" t="inlineStr">
        <is>
          <t> </t>
        </is>
      </c>
      <c r="H73" s="44">
        <f t="array" ref="H73">IF(SUMPRODUCT(--EXACT(B73,Layers!$A$3:$A$268))=0,"No match",SUMPRODUCT(--EXACT(B73,Layers!$A$3:$A$268)))</f>
        <v/>
      </c>
    </row>
    <row r="74" ht="16" customHeight="1">
      <c r="A74" s="102">
        <f>F74&amp;"_"&amp;C74&amp;"_"&amp;E74</f>
        <v/>
      </c>
      <c r="B74" s="73" t="inlineStr">
        <is>
          <t>MINERAL_WOOL_WOODEN_STUD_05_C</t>
        </is>
      </c>
      <c r="C74" s="73" t="inlineStr">
        <is>
          <t>EXT_WALL</t>
        </is>
      </c>
      <c r="D74" s="103" t="n">
        <v>0</v>
      </c>
      <c r="E74" s="73" t="inlineStr">
        <is>
          <t>STRUCTURE</t>
        </is>
      </c>
      <c r="F74" s="73" t="inlineStr">
        <is>
          <t>CMF_1960_2</t>
        </is>
      </c>
      <c r="G74" s="120" t="inlineStr">
        <is>
          <t> </t>
        </is>
      </c>
      <c r="H74" s="44">
        <f t="array" ref="H74">IF(SUMPRODUCT(--EXACT(B74,Layers!$A$3:$A$268))=0,"No match",SUMPRODUCT(--EXACT(B74,Layers!$A$3:$A$268)))</f>
        <v/>
      </c>
    </row>
    <row r="75" ht="16" customHeight="1">
      <c r="A75" s="102">
        <f>F75&amp;"_"&amp;C75&amp;"_"&amp;E75</f>
        <v/>
      </c>
      <c r="B75" s="73" t="inlineStr">
        <is>
          <t>FOIL_001_S</t>
        </is>
      </c>
      <c r="C75" s="73" t="inlineStr">
        <is>
          <t>EXT_WALL</t>
        </is>
      </c>
      <c r="D75" s="103" t="n">
        <v>0</v>
      </c>
      <c r="E75" s="73" t="inlineStr">
        <is>
          <t>SPACE</t>
        </is>
      </c>
      <c r="F75" s="73" t="inlineStr">
        <is>
          <t>CMF_1960_2</t>
        </is>
      </c>
      <c r="G75" s="120" t="n"/>
      <c r="H75" s="44">
        <f t="array" ref="H75">IF(SUMPRODUCT(--EXACT(B75,Layers!$A$3:$A$268))=0,"No match",SUMPRODUCT(--EXACT(B75,Layers!$A$3:$A$268)))</f>
        <v/>
      </c>
    </row>
    <row r="76" ht="16" customHeight="1">
      <c r="A76" s="102">
        <f>F76&amp;"_"&amp;C76&amp;"_"&amp;E76</f>
        <v/>
      </c>
      <c r="B76" s="73" t="inlineStr">
        <is>
          <t>GYPSUM_BOARD_013_S</t>
        </is>
      </c>
      <c r="C76" s="73" t="inlineStr">
        <is>
          <t>EXT_WALL</t>
        </is>
      </c>
      <c r="D76" s="103" t="n">
        <v>1</v>
      </c>
      <c r="E76" s="73" t="inlineStr">
        <is>
          <t>SPACE</t>
        </is>
      </c>
      <c r="F76" s="73" t="inlineStr">
        <is>
          <t>CMF_1960_2</t>
        </is>
      </c>
      <c r="G76" s="120" t="inlineStr">
        <is>
          <t> </t>
        </is>
      </c>
      <c r="H76" s="44">
        <f t="array" ref="H76">IF(SUMPRODUCT(--EXACT(B76,Layers!$A$3:$A$268))=0,"No match",SUMPRODUCT(--EXACT(B76,Layers!$A$3:$A$268)))</f>
        <v/>
      </c>
    </row>
    <row r="77" ht="16" customHeight="1">
      <c r="A77" s="102">
        <f>F77&amp;"_"&amp;C77&amp;"_"&amp;E77</f>
        <v/>
      </c>
      <c r="B77" s="73" t="inlineStr">
        <is>
          <t>PLASTER_01_S</t>
        </is>
      </c>
      <c r="C77" s="104" t="inlineStr">
        <is>
          <t>INT_WALL_LOADBEARING</t>
        </is>
      </c>
      <c r="D77" s="103" t="n">
        <v>0</v>
      </c>
      <c r="E77" s="73" t="inlineStr">
        <is>
          <t>SPACE</t>
        </is>
      </c>
      <c r="F77" s="73" t="inlineStr">
        <is>
          <t>CMF_1960_2</t>
        </is>
      </c>
      <c r="G77" s="120" t="inlineStr">
        <is>
          <t> </t>
        </is>
      </c>
      <c r="H77" s="44">
        <f t="array" ref="H77">IF(SUMPRODUCT(--EXACT(B77,Layers!$A$3:$A$268))=0,"No match",SUMPRODUCT(--EXACT(B77,Layers!$A$3:$A$268)))</f>
        <v/>
      </c>
    </row>
    <row r="78" ht="16" customHeight="1">
      <c r="A78" s="102">
        <f>F78&amp;"_"&amp;C78&amp;"_"&amp;E78</f>
        <v/>
      </c>
      <c r="B78" s="73" t="inlineStr">
        <is>
          <t>CONCRETE_15_S</t>
        </is>
      </c>
      <c r="C78" s="104" t="inlineStr">
        <is>
          <t>INT_WALL_LOADBEARING</t>
        </is>
      </c>
      <c r="D78" s="90" t="n">
        <v>0</v>
      </c>
      <c r="E78" s="73" t="inlineStr">
        <is>
          <t>STRUCTURE</t>
        </is>
      </c>
      <c r="F78" s="73" t="inlineStr">
        <is>
          <t>CMF_1960_2</t>
        </is>
      </c>
      <c r="G78" s="120" t="inlineStr">
        <is>
          <t> </t>
        </is>
      </c>
      <c r="H78" s="44">
        <f t="array" ref="H78">IF(SUMPRODUCT(--EXACT(B78,Layers!$A$3:$A$268))=0,"No match",SUMPRODUCT(--EXACT(B78,Layers!$A$3:$A$268)))</f>
        <v/>
      </c>
    </row>
    <row r="79" ht="16" customHeight="1">
      <c r="A79" s="102">
        <f>F79&amp;"_"&amp;C79&amp;"_"&amp;E79</f>
        <v/>
      </c>
      <c r="B79" s="73" t="inlineStr">
        <is>
          <t>CONCRETE_TILE_03_S</t>
        </is>
      </c>
      <c r="C79" s="73" t="inlineStr">
        <is>
          <t>ROOF</t>
        </is>
      </c>
      <c r="D79" s="103" t="n">
        <v>0</v>
      </c>
      <c r="E79" s="73" t="inlineStr">
        <is>
          <t>SKIN</t>
        </is>
      </c>
      <c r="F79" s="73" t="inlineStr">
        <is>
          <t>CMF_1940_1</t>
        </is>
      </c>
      <c r="G79" s="120" t="inlineStr">
        <is>
          <t> </t>
        </is>
      </c>
      <c r="H79" s="44">
        <f t="array" ref="H79">IF(SUMPRODUCT(--EXACT(B79,Layers!$A$3:$A$268))=0,"No match",SUMPRODUCT(--EXACT(B79,Layers!$A$3:$A$268)))</f>
        <v/>
      </c>
    </row>
    <row r="80" ht="16" customHeight="1">
      <c r="A80" s="102">
        <f>F80&amp;"_"&amp;C80&amp;"_"&amp;E80</f>
        <v/>
      </c>
      <c r="B80" s="73" t="inlineStr">
        <is>
          <t>BATTENS_1_04_S</t>
        </is>
      </c>
      <c r="C80" s="73" t="inlineStr">
        <is>
          <t>ROOF</t>
        </is>
      </c>
      <c r="D80" s="103" t="n">
        <v>1</v>
      </c>
      <c r="E80" s="73" t="inlineStr">
        <is>
          <t>SKIN</t>
        </is>
      </c>
      <c r="F80" s="73" t="inlineStr">
        <is>
          <t>CMF_1940_1</t>
        </is>
      </c>
      <c r="G80" s="120" t="inlineStr">
        <is>
          <t> </t>
        </is>
      </c>
      <c r="H80" s="44">
        <f t="array" ref="H80">IF(SUMPRODUCT(--EXACT(B80,Layers!$A$3:$A$268))=0,"No match",SUMPRODUCT(--EXACT(B80,Layers!$A$3:$A$268)))</f>
        <v/>
      </c>
    </row>
    <row r="81" ht="16" customHeight="1">
      <c r="A81" s="102">
        <f>F81&amp;"_"&amp;C81&amp;"_"&amp;E81</f>
        <v/>
      </c>
      <c r="B81" s="73" t="inlineStr">
        <is>
          <t>BATTENS_2_04_S</t>
        </is>
      </c>
      <c r="C81" s="73" t="inlineStr">
        <is>
          <t>ROOF</t>
        </is>
      </c>
      <c r="D81" s="103" t="n">
        <v>2</v>
      </c>
      <c r="E81" s="73" t="inlineStr">
        <is>
          <t>SKIN</t>
        </is>
      </c>
      <c r="F81" s="73" t="inlineStr">
        <is>
          <t>CMF_1940_1</t>
        </is>
      </c>
      <c r="G81" s="120" t="n"/>
      <c r="H81" s="44">
        <f t="array" ref="H81">IF(SUMPRODUCT(--EXACT(B81,Layers!$A$3:$A$268))=0,"No match",SUMPRODUCT(--EXACT(B81,Layers!$A$3:$A$268)))</f>
        <v/>
      </c>
    </row>
    <row r="82" ht="16" customHeight="1">
      <c r="A82" s="102">
        <f>F82&amp;"_"&amp;C82&amp;"_"&amp;E82</f>
        <v/>
      </c>
      <c r="B82" s="73" t="inlineStr">
        <is>
          <t>WOODEN_PANEL_03_S</t>
        </is>
      </c>
      <c r="C82" s="73" t="inlineStr">
        <is>
          <t>ROOF</t>
        </is>
      </c>
      <c r="D82" s="103" t="n">
        <v>3</v>
      </c>
      <c r="E82" s="73" t="inlineStr">
        <is>
          <t>SKIN</t>
        </is>
      </c>
      <c r="F82" s="73" t="inlineStr">
        <is>
          <t>CMF_1940_1</t>
        </is>
      </c>
      <c r="G82" s="120" t="inlineStr">
        <is>
          <t> </t>
        </is>
      </c>
      <c r="H82" s="44">
        <f t="array" ref="H82">IF(SUMPRODUCT(--EXACT(B82,Layers!$A$3:$A$268))=0,"No match",SUMPRODUCT(--EXACT(B82,Layers!$A$3:$A$268)))</f>
        <v/>
      </c>
    </row>
    <row r="83" ht="16" customHeight="1">
      <c r="A83" s="102">
        <f>F83&amp;"_"&amp;C83&amp;"_"&amp;E83</f>
        <v/>
      </c>
      <c r="B83" s="73" t="inlineStr">
        <is>
          <t>COKE_ASH_1_S</t>
        </is>
      </c>
      <c r="C83" s="73" t="inlineStr">
        <is>
          <t>TOP_FLOOR</t>
        </is>
      </c>
      <c r="D83" s="103" t="n">
        <v>0</v>
      </c>
      <c r="E83" s="73" t="inlineStr">
        <is>
          <t>SPACE</t>
        </is>
      </c>
      <c r="F83" s="73" t="inlineStr">
        <is>
          <t>CMF_1940_1</t>
        </is>
      </c>
      <c r="G83" s="120" t="inlineStr">
        <is>
          <t> </t>
        </is>
      </c>
      <c r="H83" s="44">
        <f t="array" ref="H83">IF(SUMPRODUCT(--EXACT(B83,Layers!$A$3:$A$268))=0,"No match",SUMPRODUCT(--EXACT(B83,Layers!$A$3:$A$268)))</f>
        <v/>
      </c>
    </row>
    <row r="84" ht="16" customHeight="1">
      <c r="A84" s="102">
        <f>F84&amp;"_"&amp;C84&amp;"_"&amp;E84</f>
        <v/>
      </c>
      <c r="B84" s="73" t="inlineStr">
        <is>
          <t>CARDBOARD_005_S</t>
        </is>
      </c>
      <c r="C84" s="73" t="inlineStr">
        <is>
          <t>TOP_FLOOR</t>
        </is>
      </c>
      <c r="D84" s="103" t="n">
        <v>1</v>
      </c>
      <c r="E84" s="73" t="inlineStr">
        <is>
          <t>SPACE</t>
        </is>
      </c>
      <c r="F84" s="73" t="inlineStr">
        <is>
          <t>CMF_1940_1</t>
        </is>
      </c>
      <c r="G84" s="120" t="inlineStr">
        <is>
          <t> </t>
        </is>
      </c>
      <c r="H84" s="44">
        <f t="array" ref="H84">IF(SUMPRODUCT(--EXACT(B84,Layers!$A$3:$A$268))=0,"No match",SUMPRODUCT(--EXACT(B84,Layers!$A$3:$A$268)))</f>
        <v/>
      </c>
    </row>
    <row r="85" ht="16" customHeight="1">
      <c r="A85" s="102">
        <f>F85&amp;"_"&amp;C85&amp;"_"&amp;E85</f>
        <v/>
      </c>
      <c r="B85" s="73" t="inlineStr">
        <is>
          <t>WOOD_SHAVINGS_15_S</t>
        </is>
      </c>
      <c r="C85" s="73" t="inlineStr">
        <is>
          <t>TOP_FLOOR</t>
        </is>
      </c>
      <c r="D85" s="103" t="n">
        <v>2</v>
      </c>
      <c r="E85" s="73" t="inlineStr">
        <is>
          <t>SPACE</t>
        </is>
      </c>
      <c r="F85" s="73" t="inlineStr">
        <is>
          <t>CMF_1940_1</t>
        </is>
      </c>
      <c r="G85" s="120" t="inlineStr">
        <is>
          <t> </t>
        </is>
      </c>
      <c r="H85" s="44">
        <f t="array" ref="H85">IF(SUMPRODUCT(--EXACT(B85,Layers!$A$3:$A$268))=0,"No match",SUMPRODUCT(--EXACT(B85,Layers!$A$3:$A$268)))</f>
        <v/>
      </c>
    </row>
    <row r="86" ht="16" customHeight="1">
      <c r="A86" s="102">
        <f>F86&amp;"_"&amp;C86&amp;"_"&amp;E86</f>
        <v/>
      </c>
      <c r="B86" s="73" t="inlineStr">
        <is>
          <t>CONCRETE_14_S</t>
        </is>
      </c>
      <c r="C86" s="73" t="inlineStr">
        <is>
          <t>TOP_FLOOR</t>
        </is>
      </c>
      <c r="D86" s="103" t="n">
        <v>0</v>
      </c>
      <c r="E86" s="73" t="inlineStr">
        <is>
          <t>STRUCTURE</t>
        </is>
      </c>
      <c r="F86" s="73" t="inlineStr">
        <is>
          <t>CMF_1940_1</t>
        </is>
      </c>
      <c r="G86" s="120" t="inlineStr">
        <is>
          <t> </t>
        </is>
      </c>
      <c r="H86" s="44">
        <f t="array" ref="H86">IF(SUMPRODUCT(--EXACT(B86,Layers!$A$3:$A$268))=0,"No match",SUMPRODUCT(--EXACT(B86,Layers!$A$3:$A$268)))</f>
        <v/>
      </c>
    </row>
    <row r="87" ht="16" customHeight="1">
      <c r="A87" s="102">
        <f>F87&amp;"_"&amp;C87&amp;"_"&amp;E87</f>
        <v/>
      </c>
      <c r="B87" s="73" t="inlineStr">
        <is>
          <t>CONCRETE_05_S</t>
        </is>
      </c>
      <c r="C87" s="104" t="inlineStr">
        <is>
          <t>INTERMEDIATE_FLOOR</t>
        </is>
      </c>
      <c r="D87" s="103" t="n">
        <v>0</v>
      </c>
      <c r="E87" s="73" t="inlineStr">
        <is>
          <t>SPACE</t>
        </is>
      </c>
      <c r="F87" s="73" t="inlineStr">
        <is>
          <t>CMF_1940_1</t>
        </is>
      </c>
      <c r="G87" s="120" t="inlineStr">
        <is>
          <t> </t>
        </is>
      </c>
      <c r="H87" s="44">
        <f t="array" ref="H87">IF(SUMPRODUCT(--EXACT(B87,Layers!$A$3:$A$268))=0,"No match",SUMPRODUCT(--EXACT(B87,Layers!$A$3:$A$268)))</f>
        <v/>
      </c>
    </row>
    <row r="88" ht="16" customHeight="1">
      <c r="A88" s="102">
        <f>F88&amp;"_"&amp;C88&amp;"_"&amp;E88</f>
        <v/>
      </c>
      <c r="B88" s="73" t="inlineStr">
        <is>
          <t>STUD_05_S</t>
        </is>
      </c>
      <c r="C88" s="104" t="inlineStr">
        <is>
          <t>INTERMEDIATE_FLOOR</t>
        </is>
      </c>
      <c r="D88" s="103" t="n">
        <v>1</v>
      </c>
      <c r="E88" s="73" t="inlineStr">
        <is>
          <t>SPACE</t>
        </is>
      </c>
      <c r="F88" s="73" t="inlineStr">
        <is>
          <t>CMF_1940_1</t>
        </is>
      </c>
      <c r="G88" s="120" t="inlineStr">
        <is>
          <t> </t>
        </is>
      </c>
      <c r="H88" s="44">
        <f t="array" ref="H88">IF(SUMPRODUCT(--EXACT(B88,Layers!$A$3:$A$268))=0,"No match",SUMPRODUCT(--EXACT(B88,Layers!$A$3:$A$268)))</f>
        <v/>
      </c>
    </row>
    <row r="89" ht="16" customHeight="1">
      <c r="A89" s="102">
        <f>F89&amp;"_"&amp;C89&amp;"_"&amp;E89</f>
        <v/>
      </c>
      <c r="B89" s="73" t="inlineStr">
        <is>
          <t>COKE_ASH_1_S</t>
        </is>
      </c>
      <c r="C89" s="104" t="inlineStr">
        <is>
          <t>INTERMEDIATE_FLOOR</t>
        </is>
      </c>
      <c r="D89" s="103" t="n">
        <v>2</v>
      </c>
      <c r="E89" s="73" t="inlineStr">
        <is>
          <t>SPACE</t>
        </is>
      </c>
      <c r="F89" s="73" t="inlineStr">
        <is>
          <t>CMF_1940_1</t>
        </is>
      </c>
      <c r="G89" s="120" t="inlineStr">
        <is>
          <t> </t>
        </is>
      </c>
      <c r="H89" s="44">
        <f t="array" ref="H89">IF(SUMPRODUCT(--EXACT(B89,Layers!$A$3:$A$268))=0,"No match",SUMPRODUCT(--EXACT(B89,Layers!$A$3:$A$268)))</f>
        <v/>
      </c>
    </row>
    <row r="90" ht="16" customHeight="1">
      <c r="A90" s="102">
        <f>F90&amp;"_"&amp;C90&amp;"_"&amp;E90</f>
        <v/>
      </c>
      <c r="B90" s="73" t="inlineStr">
        <is>
          <t>CONCRETE_16_S</t>
        </is>
      </c>
      <c r="C90" s="104" t="inlineStr">
        <is>
          <t>INTERMEDIATE_FLOOR</t>
        </is>
      </c>
      <c r="D90" s="103" t="n">
        <v>0</v>
      </c>
      <c r="E90" s="73" t="inlineStr">
        <is>
          <t>STRUCTURE</t>
        </is>
      </c>
      <c r="F90" s="73" t="inlineStr">
        <is>
          <t>CMF_1940_1</t>
        </is>
      </c>
      <c r="G90" s="120" t="inlineStr">
        <is>
          <t> </t>
        </is>
      </c>
      <c r="H90" s="44">
        <f t="array" ref="H90">IF(SUMPRODUCT(--EXACT(B90,Layers!$A$3:$A$268))=0,"No match",SUMPRODUCT(--EXACT(B90,Layers!$A$3:$A$268)))</f>
        <v/>
      </c>
    </row>
    <row r="91" ht="16" customHeight="1">
      <c r="A91" s="102">
        <f>F91&amp;"_"&amp;C91&amp;"_"&amp;E91</f>
        <v/>
      </c>
      <c r="B91" s="73" t="inlineStr">
        <is>
          <t>VINYL_FLOORING_04_S</t>
        </is>
      </c>
      <c r="C91" s="104" t="inlineStr">
        <is>
          <t>INTERMEDIATE_FLOOR</t>
        </is>
      </c>
      <c r="D91" s="103" t="n">
        <v>0</v>
      </c>
      <c r="E91" s="73" t="inlineStr">
        <is>
          <t>SPACE</t>
        </is>
      </c>
      <c r="F91" s="73" t="inlineStr">
        <is>
          <t>CMF_1940_1</t>
        </is>
      </c>
      <c r="G91" s="120" t="inlineStr">
        <is>
          <t>missing in BUD_MI</t>
        </is>
      </c>
      <c r="H91" s="44">
        <f t="array" ref="H91">IF(SUMPRODUCT(--EXACT(B91,Layers!$A$3:$A$268))=0,"No match",SUMPRODUCT(--EXACT(B91,Layers!$A$3:$A$268)))</f>
        <v/>
      </c>
    </row>
    <row r="92" ht="16" customHeight="1">
      <c r="A92" s="102">
        <f>F92&amp;"_"&amp;C92&amp;"_"&amp;E92</f>
        <v/>
      </c>
      <c r="B92" s="73" t="inlineStr">
        <is>
          <t>CONCRETE_05_S</t>
        </is>
      </c>
      <c r="C92" s="104" t="inlineStr">
        <is>
          <t>INTERMEDIATE_FLOOR</t>
        </is>
      </c>
      <c r="D92" s="103" t="n">
        <v>1</v>
      </c>
      <c r="E92" s="73" t="inlineStr">
        <is>
          <t>SPACE</t>
        </is>
      </c>
      <c r="F92" s="73" t="inlineStr">
        <is>
          <t>CMF_1940_1</t>
        </is>
      </c>
      <c r="G92" s="120" t="inlineStr">
        <is>
          <t>over-concrete?</t>
        </is>
      </c>
      <c r="H92" s="44">
        <f t="array" ref="H92">IF(SUMPRODUCT(--EXACT(B92,Layers!$A$3:$A$268))=0,"No match",SUMPRODUCT(--EXACT(B92,Layers!$A$3:$A$268)))</f>
        <v/>
      </c>
    </row>
    <row r="93" ht="16" customHeight="1">
      <c r="A93" s="102">
        <f>F93&amp;"_"&amp;C93&amp;"_"&amp;E93</f>
        <v/>
      </c>
      <c r="B93" s="73" t="inlineStr">
        <is>
          <t>COKE_ASH_08_S</t>
        </is>
      </c>
      <c r="C93" s="104" t="inlineStr">
        <is>
          <t>INTERMEDIATE_FLOOR</t>
        </is>
      </c>
      <c r="D93" s="103" t="n">
        <v>2</v>
      </c>
      <c r="E93" s="73" t="inlineStr">
        <is>
          <t>SPACE</t>
        </is>
      </c>
      <c r="F93" s="73" t="inlineStr">
        <is>
          <t>CMF_1940_1</t>
        </is>
      </c>
      <c r="G93" s="120" t="inlineStr">
        <is>
          <t> </t>
        </is>
      </c>
      <c r="H93" s="44">
        <f t="array" ref="H93">IF(SUMPRODUCT(--EXACT(B93,Layers!$A$3:$A$268))=0,"No match",SUMPRODUCT(--EXACT(B93,Layers!$A$3:$A$268)))</f>
        <v/>
      </c>
    </row>
    <row r="94" ht="16" customHeight="1">
      <c r="A94" s="102">
        <f>F94&amp;"_"&amp;C94&amp;"_"&amp;E94</f>
        <v/>
      </c>
      <c r="B94" s="73" t="inlineStr">
        <is>
          <t>PLASTER_01_S</t>
        </is>
      </c>
      <c r="C94" s="73" t="inlineStr">
        <is>
          <t>EXT_WALL</t>
        </is>
      </c>
      <c r="D94" s="103" t="n">
        <v>0</v>
      </c>
      <c r="E94" s="73" t="inlineStr">
        <is>
          <t>SKIN</t>
        </is>
      </c>
      <c r="F94" s="73" t="inlineStr">
        <is>
          <t>CMF_1940_1</t>
        </is>
      </c>
      <c r="G94" s="120" t="inlineStr">
        <is>
          <t>slätputsad</t>
        </is>
      </c>
      <c r="H94" s="44">
        <f t="array" ref="H94">IF(SUMPRODUCT(--EXACT(B94,Layers!$A$3:$A$268))=0,"No match",SUMPRODUCT(--EXACT(B94,Layers!$A$3:$A$268)))</f>
        <v/>
      </c>
    </row>
    <row r="95" ht="16" customHeight="1">
      <c r="A95" s="102">
        <f>F95&amp;"_"&amp;C95&amp;"_"&amp;E95</f>
        <v/>
      </c>
      <c r="B95" s="73" t="inlineStr">
        <is>
          <t>LIGHTWEIGHT_CONCRETE_MORTAR_25_C</t>
        </is>
      </c>
      <c r="C95" s="73" t="inlineStr">
        <is>
          <t>EXT_WALL</t>
        </is>
      </c>
      <c r="D95" s="103" t="n">
        <v>0</v>
      </c>
      <c r="E95" s="73" t="inlineStr">
        <is>
          <t>STRUCTURE</t>
        </is>
      </c>
      <c r="F95" s="73" t="inlineStr">
        <is>
          <t>CMF_1940_1</t>
        </is>
      </c>
      <c r="G95" s="120" t="inlineStr">
        <is>
          <t> </t>
        </is>
      </c>
      <c r="H95" s="44">
        <f t="array" ref="H95">IF(SUMPRODUCT(--EXACT(B95,Layers!$A$3:$A$268))=0,"No match",SUMPRODUCT(--EXACT(B95,Layers!$A$3:$A$268)))</f>
        <v/>
      </c>
    </row>
    <row r="96" ht="16" customHeight="1">
      <c r="A96" s="102">
        <f>F96&amp;"_"&amp;C96&amp;"_"&amp;E96</f>
        <v/>
      </c>
      <c r="B96" s="73" t="inlineStr">
        <is>
          <t>PLASTER_01_S</t>
        </is>
      </c>
      <c r="C96" s="73" t="inlineStr">
        <is>
          <t>EXT_WALL</t>
        </is>
      </c>
      <c r="D96" s="103" t="n">
        <v>0</v>
      </c>
      <c r="E96" s="73" t="inlineStr">
        <is>
          <t>SPACE</t>
        </is>
      </c>
      <c r="F96" s="73" t="inlineStr">
        <is>
          <t>CMF_1940_1</t>
        </is>
      </c>
      <c r="G96" s="120" t="inlineStr">
        <is>
          <t>spritputsad</t>
        </is>
      </c>
      <c r="H96" s="44">
        <f t="array" ref="H96">IF(SUMPRODUCT(--EXACT(B96,Layers!$A$3:$A$268))=0,"No match",SUMPRODUCT(--EXACT(B96,Layers!$A$3:$A$268)))</f>
        <v/>
      </c>
    </row>
    <row r="97" ht="16" customHeight="1">
      <c r="A97" s="102">
        <f>F97&amp;"_"&amp;C97&amp;"_"&amp;E97</f>
        <v/>
      </c>
      <c r="B97" s="73" t="inlineStr">
        <is>
          <t>PLASTER_01_S</t>
        </is>
      </c>
      <c r="C97" s="104" t="inlineStr">
        <is>
          <t>INT_WALL_LOADBEARING</t>
        </is>
      </c>
      <c r="D97" s="103" t="n">
        <v>0</v>
      </c>
      <c r="E97" s="73" t="inlineStr">
        <is>
          <t>SPACE</t>
        </is>
      </c>
      <c r="F97" s="73" t="inlineStr">
        <is>
          <t>CMF_1940_1</t>
        </is>
      </c>
      <c r="G97" s="120" t="inlineStr">
        <is>
          <t xml:space="preserve">Goes on both sides of structure, </t>
        </is>
      </c>
      <c r="H97" s="44">
        <f t="array" ref="H97">IF(SUMPRODUCT(--EXACT(B97,Layers!$A$3:$A$268))=0,"No match",SUMPRODUCT(--EXACT(B97,Layers!$A$3:$A$268)))</f>
        <v/>
      </c>
    </row>
    <row r="98" ht="16" customHeight="1">
      <c r="A98" s="102">
        <f>F98&amp;"_"&amp;C98&amp;"_"&amp;E98</f>
        <v/>
      </c>
      <c r="B98" s="73" t="inlineStr">
        <is>
          <t>CONCRETE_2_S</t>
        </is>
      </c>
      <c r="C98" s="104" t="inlineStr">
        <is>
          <t>INT_WALL_LOADBEARING</t>
        </is>
      </c>
      <c r="D98" s="103" t="n">
        <v>0</v>
      </c>
      <c r="E98" s="73" t="inlineStr">
        <is>
          <t>STRUCTURE</t>
        </is>
      </c>
      <c r="F98" s="73" t="inlineStr">
        <is>
          <t>CMF_1940_1</t>
        </is>
      </c>
      <c r="G98" s="120" t="inlineStr">
        <is>
          <t>Couldn't verify this element</t>
        </is>
      </c>
      <c r="H98" s="44">
        <f t="array" ref="H98">IF(SUMPRODUCT(--EXACT(B98,Layers!$A$3:$A$268))=0,"No match",SUMPRODUCT(--EXACT(B98,Layers!$A$3:$A$268)))</f>
        <v/>
      </c>
    </row>
    <row r="99" ht="16" customHeight="1">
      <c r="A99" s="102">
        <f>F99&amp;"_"&amp;C99&amp;"_"&amp;E99</f>
        <v/>
      </c>
      <c r="B99" s="73" t="inlineStr">
        <is>
          <t>PLASTER_01_S</t>
        </is>
      </c>
      <c r="C99" s="104" t="inlineStr">
        <is>
          <t>INT_WALL_NONLOADBEARING</t>
        </is>
      </c>
      <c r="D99" s="103" t="n">
        <v>0</v>
      </c>
      <c r="E99" s="73" t="inlineStr">
        <is>
          <t>SPACE</t>
        </is>
      </c>
      <c r="F99" s="73" t="inlineStr">
        <is>
          <t>CMF_1940_1</t>
        </is>
      </c>
      <c r="G99" s="120" t="inlineStr">
        <is>
          <t>Couldn't verify this element</t>
        </is>
      </c>
      <c r="H99" s="44">
        <f t="array" ref="H99">IF(SUMPRODUCT(--EXACT(B99,Layers!$A$3:$A$268))=0,"No match",SUMPRODUCT(--EXACT(B99,Layers!$A$3:$A$268)))</f>
        <v/>
      </c>
    </row>
    <row r="100" ht="16" customHeight="1">
      <c r="A100" s="102">
        <f>F100&amp;"_"&amp;C100&amp;"_"&amp;E100</f>
        <v/>
      </c>
      <c r="B100" s="73" t="inlineStr">
        <is>
          <t>CONCRETE_07_S</t>
        </is>
      </c>
      <c r="C100" s="104" t="inlineStr">
        <is>
          <t>INT_WALL_NONLOADBEARING</t>
        </is>
      </c>
      <c r="D100" s="103" t="n">
        <v>0</v>
      </c>
      <c r="E100" s="73" t="inlineStr">
        <is>
          <t>SPACE</t>
        </is>
      </c>
      <c r="F100" s="73" t="inlineStr">
        <is>
          <t>CMF_1940_1</t>
        </is>
      </c>
      <c r="G100" s="120" t="inlineStr">
        <is>
          <t>Couldn't verify this element</t>
        </is>
      </c>
      <c r="H100" s="44">
        <f t="array" ref="H100">IF(SUMPRODUCT(--EXACT(B100,Layers!$A$3:$A$268))=0,"No match",SUMPRODUCT(--EXACT(B100,Layers!$A$3:$A$268)))</f>
        <v/>
      </c>
    </row>
    <row r="101" ht="16" customHeight="1">
      <c r="A101" s="102">
        <f>F101&amp;"_"&amp;C101&amp;"_"&amp;E101</f>
        <v/>
      </c>
      <c r="B101" s="73" t="inlineStr">
        <is>
          <t>CONCRETE_16_S</t>
        </is>
      </c>
      <c r="C101" s="107" t="inlineStr">
        <is>
          <t>GROUND_FLOOR</t>
        </is>
      </c>
      <c r="D101" s="108" t="n">
        <v>0</v>
      </c>
      <c r="E101" s="107" t="inlineStr">
        <is>
          <t>STRUCTURE</t>
        </is>
      </c>
      <c r="F101" s="107" t="inlineStr">
        <is>
          <t>CMF_1940_1</t>
        </is>
      </c>
      <c r="G101" s="92" t="inlineStr">
        <is>
          <t> </t>
        </is>
      </c>
      <c r="H101" s="44">
        <f t="array" ref="H101">IF(SUMPRODUCT(--EXACT(B101,Layers!$A$3:$A$268))=0,"No match",SUMPRODUCT(--EXACT(B101,Layers!$A$3:$A$268)))</f>
        <v/>
      </c>
    </row>
    <row r="102" ht="16" customHeight="1">
      <c r="A102" s="102">
        <f>F102&amp;"_"&amp;C102&amp;"_"&amp;E102</f>
        <v/>
      </c>
      <c r="B102" s="73" t="inlineStr">
        <is>
          <t>COKE_ASH_08_S</t>
        </is>
      </c>
      <c r="C102" s="107" t="inlineStr">
        <is>
          <t>GROUND_FLOOR</t>
        </is>
      </c>
      <c r="D102" s="108" t="n">
        <v>0</v>
      </c>
      <c r="E102" s="107" t="inlineStr">
        <is>
          <t>SPACE</t>
        </is>
      </c>
      <c r="F102" s="107" t="inlineStr">
        <is>
          <t>CMF_1940_1</t>
        </is>
      </c>
      <c r="G102" s="92" t="inlineStr">
        <is>
          <t> </t>
        </is>
      </c>
      <c r="H102" s="44">
        <f t="array" ref="H102">IF(SUMPRODUCT(--EXACT(B102,Layers!$A$3:$A$268))=0,"No match",SUMPRODUCT(--EXACT(B102,Layers!$A$3:$A$268)))</f>
        <v/>
      </c>
    </row>
    <row r="103" ht="16" customHeight="1">
      <c r="A103" s="102">
        <f>F103&amp;"_"&amp;C103&amp;"_"&amp;E103</f>
        <v/>
      </c>
      <c r="B103" s="73" t="inlineStr">
        <is>
          <t>CONCRETE_05_S</t>
        </is>
      </c>
      <c r="C103" s="107" t="inlineStr">
        <is>
          <t>GROUND_FLOOR</t>
        </is>
      </c>
      <c r="D103" s="108" t="n">
        <v>1</v>
      </c>
      <c r="E103" s="107" t="inlineStr">
        <is>
          <t>SPACE</t>
        </is>
      </c>
      <c r="F103" s="107" t="inlineStr">
        <is>
          <t>CMF_1940_1</t>
        </is>
      </c>
      <c r="G103" s="92" t="inlineStr">
        <is>
          <t> </t>
        </is>
      </c>
      <c r="H103" s="44">
        <f t="array" ref="H103">IF(SUMPRODUCT(--EXACT(B103,Layers!$A$3:$A$268))=0,"No match",SUMPRODUCT(--EXACT(B103,Layers!$A$3:$A$268)))</f>
        <v/>
      </c>
    </row>
    <row r="104" ht="16" customHeight="1">
      <c r="A104" s="102">
        <f>F104&amp;"_"&amp;C104&amp;"_"&amp;E104</f>
        <v/>
      </c>
      <c r="B104" s="73" t="inlineStr">
        <is>
          <t>VINYL_FLOORING_04_S</t>
        </is>
      </c>
      <c r="C104" s="107" t="inlineStr">
        <is>
          <t>GROUND_FLOOR</t>
        </is>
      </c>
      <c r="D104" s="108" t="n">
        <v>2</v>
      </c>
      <c r="E104" s="107" t="inlineStr">
        <is>
          <t>SPACE</t>
        </is>
      </c>
      <c r="F104" s="107" t="inlineStr">
        <is>
          <t>CMF_1940_1</t>
        </is>
      </c>
      <c r="G104" s="92" t="inlineStr">
        <is>
          <t> </t>
        </is>
      </c>
      <c r="H104" s="44">
        <f t="array" ref="H104">IF(SUMPRODUCT(--EXACT(B104,Layers!$A$3:$A$268))=0,"No match",SUMPRODUCT(--EXACT(B104,Layers!$A$3:$A$268)))</f>
        <v/>
      </c>
    </row>
    <row r="105" ht="16" customHeight="1">
      <c r="A105" s="102">
        <f>F105&amp;"_"&amp;C105&amp;"_"&amp;E105</f>
        <v/>
      </c>
      <c r="B105" s="73" t="inlineStr">
        <is>
          <t>PLASTER_005_S</t>
        </is>
      </c>
      <c r="C105" s="73" t="inlineStr">
        <is>
          <t>BASEMENT_WALL</t>
        </is>
      </c>
      <c r="D105" s="109" t="n">
        <v>1</v>
      </c>
      <c r="E105" s="110" t="inlineStr">
        <is>
          <t>SPACE</t>
        </is>
      </c>
      <c r="F105" s="110" t="inlineStr">
        <is>
          <t>CMF_1950</t>
        </is>
      </c>
      <c r="G105" s="111" t="inlineStr">
        <is>
          <t> </t>
        </is>
      </c>
      <c r="H105" s="44">
        <f t="array" ref="H105">IF(SUMPRODUCT(--EXACT(B105,Layers!$A$3:$A$268))=0,"No match",SUMPRODUCT(--EXACT(B105,Layers!$A$3:$A$268)))</f>
        <v/>
      </c>
    </row>
    <row r="106" ht="16" customHeight="1">
      <c r="A106" s="102">
        <f>F106&amp;"_"&amp;C106&amp;"_"&amp;E106</f>
        <v/>
      </c>
      <c r="B106" s="73" t="inlineStr">
        <is>
          <t>LIGHTWEIGHT_CONCRETE_MORTAR_1_C</t>
        </is>
      </c>
      <c r="C106" s="73" t="inlineStr">
        <is>
          <t>BASEMENT_WALL</t>
        </is>
      </c>
      <c r="D106" s="109" t="n">
        <v>0</v>
      </c>
      <c r="E106" s="110" t="inlineStr">
        <is>
          <t>STRUCTURE</t>
        </is>
      </c>
      <c r="F106" s="110" t="inlineStr">
        <is>
          <t>CMF_1950</t>
        </is>
      </c>
      <c r="G106" s="111" t="inlineStr">
        <is>
          <t> </t>
        </is>
      </c>
      <c r="H106" s="44">
        <f t="array" ref="H106">IF(SUMPRODUCT(--EXACT(B106,Layers!$A$3:$A$268))=0,"No match",SUMPRODUCT(--EXACT(B106,Layers!$A$3:$A$268)))</f>
        <v/>
      </c>
    </row>
    <row r="107" ht="16" customHeight="1">
      <c r="A107" s="102">
        <f>F107&amp;"_"&amp;C107&amp;"_"&amp;E107</f>
        <v/>
      </c>
      <c r="B107" s="110" t="inlineStr">
        <is>
          <t>CONCRETE_2_S</t>
        </is>
      </c>
      <c r="C107" s="110" t="inlineStr">
        <is>
          <t>BASEMENT_WALL</t>
        </is>
      </c>
      <c r="D107" s="109" t="n">
        <v>1</v>
      </c>
      <c r="E107" s="110" t="inlineStr">
        <is>
          <t>STRUCTURE</t>
        </is>
      </c>
      <c r="F107" s="110" t="inlineStr">
        <is>
          <t>CMF_1950</t>
        </is>
      </c>
      <c r="G107" s="111" t="inlineStr">
        <is>
          <t> </t>
        </is>
      </c>
      <c r="H107" s="44">
        <f t="array" ref="H107">IF(SUMPRODUCT(--EXACT(B107,Layers!$A$3:$A$268))=0,"No match",SUMPRODUCT(--EXACT(B107,Layers!$A$3:$A$268)))</f>
        <v/>
      </c>
    </row>
    <row r="108" ht="16" customHeight="1">
      <c r="A108" s="102">
        <f>F108&amp;"_"&amp;C108&amp;"_"&amp;E108</f>
        <v/>
      </c>
      <c r="B108" s="110" t="inlineStr">
        <is>
          <t>CONCRETE_3_S</t>
        </is>
      </c>
      <c r="C108" s="110" t="inlineStr">
        <is>
          <t>BASEMENT_FLOOR</t>
        </is>
      </c>
      <c r="D108" s="109" t="n">
        <v>0</v>
      </c>
      <c r="E108" s="110" t="inlineStr">
        <is>
          <t>STRUCTURE</t>
        </is>
      </c>
      <c r="F108" s="110" t="inlineStr">
        <is>
          <t>CMF_1950</t>
        </is>
      </c>
      <c r="G108" s="111" t="inlineStr">
        <is>
          <t> </t>
        </is>
      </c>
      <c r="H108" s="44">
        <f t="array" ref="H108">IF(SUMPRODUCT(--EXACT(B108,Layers!$A$3:$A$268))=0,"No match",SUMPRODUCT(--EXACT(B108,Layers!$A$3:$A$268)))</f>
        <v/>
      </c>
    </row>
    <row r="109" ht="15.75" customHeight="1">
      <c r="A109" s="102">
        <f>F109&amp;"_"&amp;C109&amp;"_"&amp;E109</f>
        <v/>
      </c>
      <c r="B109" s="105" t="inlineStr">
        <is>
          <t>CONCRETE_08_S</t>
        </is>
      </c>
      <c r="C109" s="105" t="inlineStr">
        <is>
          <t>BASEMENT_FLOOR</t>
        </is>
      </c>
      <c r="D109" s="109" t="n">
        <v>0</v>
      </c>
      <c r="E109" s="110" t="inlineStr">
        <is>
          <t>STRUCTURE</t>
        </is>
      </c>
      <c r="F109" s="110" t="inlineStr">
        <is>
          <t>CMF_1940_1</t>
        </is>
      </c>
      <c r="G109" s="111" t="n"/>
      <c r="H109" s="44">
        <f t="array" ref="H109">IF(SUMPRODUCT(--EXACT(B109,Layers!$A$3:$A$268))=0,"No match",SUMPRODUCT(--EXACT(B109,Layers!$A$3:$A$268)))</f>
        <v/>
      </c>
    </row>
    <row r="110" ht="15.75" customHeight="1">
      <c r="A110" s="102">
        <f>F110&amp;"_"&amp;C110&amp;"_"&amp;E110</f>
        <v/>
      </c>
      <c r="B110" s="105" t="inlineStr">
        <is>
          <t>PLASTER_005_S</t>
        </is>
      </c>
      <c r="C110" s="105" t="inlineStr">
        <is>
          <t>BASEMENT_WALL</t>
        </is>
      </c>
      <c r="D110" s="109" t="n">
        <v>0</v>
      </c>
      <c r="E110" s="110" t="inlineStr">
        <is>
          <t>SKIN</t>
        </is>
      </c>
      <c r="F110" s="110" t="inlineStr">
        <is>
          <t>CMF_1940_1</t>
        </is>
      </c>
      <c r="G110" s="111" t="n"/>
      <c r="H110" s="44">
        <f t="array" ref="H110">IF(SUMPRODUCT(--EXACT(B110,Layers!$A$3:$A$268))=0,"No match",SUMPRODUCT(--EXACT(B110,Layers!$A$3:$A$268)))</f>
        <v/>
      </c>
    </row>
    <row r="111" ht="15.75" customHeight="1">
      <c r="A111" s="102">
        <f>F111&amp;"_"&amp;C111&amp;"_"&amp;E111</f>
        <v/>
      </c>
      <c r="B111" s="105" t="inlineStr">
        <is>
          <t>CONCRETE_23_S</t>
        </is>
      </c>
      <c r="C111" s="105" t="inlineStr">
        <is>
          <t>BASEMENT_WALL</t>
        </is>
      </c>
      <c r="D111" s="109" t="n">
        <v>0</v>
      </c>
      <c r="E111" s="110" t="inlineStr">
        <is>
          <t>STRUCTURE</t>
        </is>
      </c>
      <c r="F111" s="110" t="inlineStr">
        <is>
          <t>CMF_1940_1</t>
        </is>
      </c>
      <c r="G111" s="111" t="n"/>
      <c r="H111" s="44">
        <f t="array" ref="H111">IF(SUMPRODUCT(--EXACT(B111,Layers!$A$3:$A$268))=0,"No match",SUMPRODUCT(--EXACT(B111,Layers!$A$3:$A$268)))</f>
        <v/>
      </c>
    </row>
    <row r="112" ht="15.75" customHeight="1">
      <c r="A112" s="102">
        <f>F112&amp;"_"&amp;C112&amp;"_"&amp;E112</f>
        <v/>
      </c>
      <c r="B112" s="105" t="inlineStr">
        <is>
          <t>WOOD_WOOL_BOARD_025_S</t>
        </is>
      </c>
      <c r="C112" s="105" t="inlineStr">
        <is>
          <t>BASEMENT_WALL</t>
        </is>
      </c>
      <c r="D112" s="109" t="n">
        <v>0</v>
      </c>
      <c r="E112" s="110" t="inlineStr">
        <is>
          <t>SPACE</t>
        </is>
      </c>
      <c r="F112" s="110" t="inlineStr">
        <is>
          <t>CMF_1940_1</t>
        </is>
      </c>
      <c r="G112" s="111" t="n"/>
      <c r="H112" s="44">
        <f t="array" ref="H112">IF(SUMPRODUCT(--EXACT(B112,Layers!$A$3:$A$268))=0,"No match",SUMPRODUCT(--EXACT(B112,Layers!$A$3:$A$268)))</f>
        <v/>
      </c>
    </row>
    <row r="113" ht="15.75" customHeight="1">
      <c r="A113" s="112">
        <f>F113&amp;"_"&amp;C113&amp;"_"&amp;E113</f>
        <v/>
      </c>
      <c r="B113" s="113" t="inlineStr">
        <is>
          <t>CONCRETE_2_S</t>
        </is>
      </c>
      <c r="C113" s="113" t="inlineStr">
        <is>
          <t>INT_WALL_LOADBEARING</t>
        </is>
      </c>
      <c r="D113" s="114" t="n">
        <v>0</v>
      </c>
      <c r="E113" s="115" t="inlineStr">
        <is>
          <t>STRUCTURE</t>
        </is>
      </c>
      <c r="F113" s="115" t="inlineStr">
        <is>
          <t>CMF_1950</t>
        </is>
      </c>
      <c r="G113" s="116" t="n"/>
      <c r="H113" s="33">
        <f t="array" ref="H113">IF(SUMPRODUCT(--EXACT(B113,Layers!$A$3:$A$268))=0,"No match",SUMPRODUCT(--EXACT(B113,Layers!$A$3:$A$268)))</f>
        <v/>
      </c>
    </row>
    <row r="114" ht="15.75" customHeight="1">
      <c r="A114" s="112">
        <f>F114&amp;"_"&amp;C114&amp;"_"&amp;E114</f>
        <v/>
      </c>
      <c r="B114" s="65" t="inlineStr">
        <is>
          <t>CONCRETE_16_S</t>
        </is>
      </c>
      <c r="C114" s="65" t="inlineStr">
        <is>
          <t>INTERMEDIATE_FLOOR</t>
        </is>
      </c>
      <c r="D114" s="33" t="n">
        <v>3</v>
      </c>
      <c r="E114" s="65" t="inlineStr">
        <is>
          <t>STRUCTURE</t>
        </is>
      </c>
      <c r="F114" s="65" t="inlineStr">
        <is>
          <t>CMF_1960_2</t>
        </is>
      </c>
      <c r="G114" s="33" t="n"/>
      <c r="H114" s="33">
        <f t="array" ref="H114">IF(SUMPRODUCT(--EXACT(B114,Layers!$A$3:$A$268))=0,"No match",SUMPRODUCT(--EXACT(B114,Layers!$A$3:$A$268)))</f>
        <v/>
      </c>
    </row>
    <row r="115" ht="15.75" customHeight="1">
      <c r="A115" s="112">
        <f>F115&amp;"_"&amp;C115&amp;"_"&amp;E115</f>
        <v/>
      </c>
      <c r="B115" s="65" t="inlineStr">
        <is>
          <t>LINOLEUM_01_S</t>
        </is>
      </c>
      <c r="C115" s="65" t="inlineStr">
        <is>
          <t>INTERMEDIATE_FLOOR</t>
        </is>
      </c>
      <c r="D115" s="33" t="n">
        <v>0</v>
      </c>
      <c r="E115" s="65" t="inlineStr">
        <is>
          <t>SPACE</t>
        </is>
      </c>
      <c r="F115" s="65" t="inlineStr">
        <is>
          <t>CMF_1960_2</t>
        </is>
      </c>
      <c r="G115" s="33" t="n"/>
      <c r="H115" s="33">
        <f t="array" ref="H115">IF(SUMPRODUCT(--EXACT(B115,Layers!$A$3:$A$268))=0,"No match",SUMPRODUCT(--EXACT(B115,Layers!$A$3:$A$268)))</f>
        <v/>
      </c>
    </row>
    <row r="116" ht="15.75" customHeight="1">
      <c r="A116" s="112">
        <f>F116&amp;"_"&amp;C116&amp;"_"&amp;E116</f>
        <v/>
      </c>
      <c r="B116" s="65" t="inlineStr">
        <is>
          <t>CONCRETE_05_S</t>
        </is>
      </c>
      <c r="C116" s="65" t="inlineStr">
        <is>
          <t>INTERMEDIATE_FLOOR</t>
        </is>
      </c>
      <c r="D116" s="33" t="n">
        <v>0</v>
      </c>
      <c r="E116" s="65" t="inlineStr">
        <is>
          <t>STRUCTURE</t>
        </is>
      </c>
      <c r="F116" s="65" t="inlineStr">
        <is>
          <t>CMF_1960_2</t>
        </is>
      </c>
      <c r="G116" s="33" t="n"/>
      <c r="H116" s="33">
        <f t="array" ref="H116">IF(SUMPRODUCT(--EXACT(B116,Layers!$A$3:$A$268))=0,"No match",SUMPRODUCT(--EXACT(B116,Layers!$A$3:$A$268)))</f>
        <v/>
      </c>
    </row>
    <row r="117" ht="15.75" customHeight="1">
      <c r="A117" s="112">
        <f>F117&amp;"_"&amp;C117&amp;"_"&amp;E117</f>
        <v/>
      </c>
      <c r="B117" s="65" t="inlineStr">
        <is>
          <t>SAND_05_S</t>
        </is>
      </c>
      <c r="C117" s="65" t="inlineStr">
        <is>
          <t>INTERMEDIATE_FLOOR</t>
        </is>
      </c>
      <c r="D117" s="33" t="n">
        <v>1</v>
      </c>
      <c r="E117" s="65" t="inlineStr">
        <is>
          <t>STRUCTURE</t>
        </is>
      </c>
      <c r="F117" s="65" t="inlineStr">
        <is>
          <t>CMF_1960_2</t>
        </is>
      </c>
      <c r="G117" s="33" t="n"/>
      <c r="H117" s="33">
        <f t="array" ref="H117">IF(SUMPRODUCT(--EXACT(B117,Layers!$A$3:$A$268))=0,"No match",SUMPRODUCT(--EXACT(B117,Layers!$A$3:$A$268)))</f>
        <v/>
      </c>
    </row>
    <row r="118" ht="15.75" customHeight="1">
      <c r="A118" s="112">
        <f>F118&amp;"_"&amp;C118&amp;"_"&amp;E118</f>
        <v/>
      </c>
      <c r="B118" s="65" t="inlineStr">
        <is>
          <t>MINERAL_WOOL_CARPET_03_S</t>
        </is>
      </c>
      <c r="C118" s="65" t="inlineStr">
        <is>
          <t>INTERMEDIATE_FLOOR</t>
        </is>
      </c>
      <c r="D118" s="33" t="n">
        <v>2</v>
      </c>
      <c r="E118" s="65" t="inlineStr">
        <is>
          <t>STRUCTURE</t>
        </is>
      </c>
      <c r="F118" s="65" t="inlineStr">
        <is>
          <t>CMF_1960_2</t>
        </is>
      </c>
      <c r="G118" s="33" t="n"/>
      <c r="H118" s="33">
        <f t="array" ref="H118">IF(SUMPRODUCT(--EXACT(B118,Layers!$A$3:$A$268))=0,"No match",SUMPRODUCT(--EXACT(B118,Layers!$A$3:$A$268)))</f>
        <v/>
      </c>
    </row>
    <row r="119" ht="15.75" customHeight="1">
      <c r="A119" s="112">
        <f>F119&amp;"_"&amp;C119&amp;"_"&amp;E119</f>
        <v/>
      </c>
      <c r="B119" s="65" t="inlineStr">
        <is>
          <t>CONCRETE_16_S</t>
        </is>
      </c>
      <c r="C119" s="65" t="inlineStr">
        <is>
          <t>GROUND_FLOOR</t>
        </is>
      </c>
      <c r="D119" s="33" t="n">
        <v>3</v>
      </c>
      <c r="E119" s="65" t="inlineStr">
        <is>
          <t>STRUCTURE</t>
        </is>
      </c>
      <c r="F119" s="65" t="inlineStr">
        <is>
          <t>CMF_1960_2</t>
        </is>
      </c>
      <c r="G119" s="33" t="n"/>
      <c r="H119" s="33">
        <f t="array" ref="H119">IF(SUMPRODUCT(--EXACT(B119,Layers!$A$3:$A$268))=0,"No match",SUMPRODUCT(--EXACT(B119,Layers!$A$3:$A$268)))</f>
        <v/>
      </c>
    </row>
    <row r="120" ht="15.75" customHeight="1">
      <c r="A120" s="112">
        <f>F120&amp;"_"&amp;C120&amp;"_"&amp;E120</f>
        <v/>
      </c>
      <c r="B120" s="65" t="inlineStr">
        <is>
          <t>LINOLEUM_01_S</t>
        </is>
      </c>
      <c r="C120" s="65" t="inlineStr">
        <is>
          <t>GROUND_FLOOR</t>
        </is>
      </c>
      <c r="D120" s="33" t="n">
        <v>0</v>
      </c>
      <c r="E120" s="65" t="inlineStr">
        <is>
          <t>SPACE</t>
        </is>
      </c>
      <c r="F120" s="65" t="inlineStr">
        <is>
          <t>CMF_1960_2</t>
        </is>
      </c>
      <c r="G120" s="33" t="n"/>
      <c r="H120" s="33">
        <f t="array" ref="H120">IF(SUMPRODUCT(--EXACT(B120,Layers!$A$3:$A$268))=0,"No match",SUMPRODUCT(--EXACT(B120,Layers!$A$3:$A$268)))</f>
        <v/>
      </c>
    </row>
    <row r="121" ht="15.75" customHeight="1">
      <c r="A121" s="112">
        <f>F121&amp;"_"&amp;C121&amp;"_"&amp;E121</f>
        <v/>
      </c>
      <c r="B121" s="65" t="inlineStr">
        <is>
          <t>CONCRETE_05_S</t>
        </is>
      </c>
      <c r="C121" s="65" t="inlineStr">
        <is>
          <t>GROUND_FLOOR</t>
        </is>
      </c>
      <c r="D121" s="33" t="n">
        <v>0</v>
      </c>
      <c r="E121" s="65" t="inlineStr">
        <is>
          <t>STRUCTURE</t>
        </is>
      </c>
      <c r="F121" s="65" t="inlineStr">
        <is>
          <t>CMF_1960_2</t>
        </is>
      </c>
      <c r="G121" s="33" t="n"/>
      <c r="H121" s="33">
        <f t="array" ref="H121">IF(SUMPRODUCT(--EXACT(B121,Layers!$A$3:$A$268))=0,"No match",SUMPRODUCT(--EXACT(B121,Layers!$A$3:$A$268)))</f>
        <v/>
      </c>
    </row>
    <row r="122" ht="15.75" customHeight="1">
      <c r="A122" s="112">
        <f>F122&amp;"_"&amp;C122&amp;"_"&amp;E122</f>
        <v/>
      </c>
      <c r="B122" s="65" t="inlineStr">
        <is>
          <t>SAND_05_S</t>
        </is>
      </c>
      <c r="C122" s="65" t="inlineStr">
        <is>
          <t>GROUND_FLOOR</t>
        </is>
      </c>
      <c r="D122" s="33" t="n">
        <v>1</v>
      </c>
      <c r="E122" s="65" t="inlineStr">
        <is>
          <t>STRUCTURE</t>
        </is>
      </c>
      <c r="F122" s="65" t="inlineStr">
        <is>
          <t>CMF_1960_2</t>
        </is>
      </c>
      <c r="G122" s="33" t="n"/>
      <c r="H122" s="33">
        <f t="array" ref="H122">IF(SUMPRODUCT(--EXACT(B122,Layers!$A$3:$A$268))=0,"No match",SUMPRODUCT(--EXACT(B122,Layers!$A$3:$A$268)))</f>
        <v/>
      </c>
    </row>
    <row r="123" ht="15.75" customHeight="1">
      <c r="A123" s="112">
        <f>F123&amp;"_"&amp;C123&amp;"_"&amp;E123</f>
        <v/>
      </c>
      <c r="B123" s="65" t="inlineStr">
        <is>
          <t>MINERAL_WOOL_CARPET_03_S</t>
        </is>
      </c>
      <c r="C123" s="65" t="inlineStr">
        <is>
          <t>GROUND_FLOOR</t>
        </is>
      </c>
      <c r="D123" s="33" t="n">
        <v>2</v>
      </c>
      <c r="E123" s="65" t="inlineStr">
        <is>
          <t>STRUCTURE</t>
        </is>
      </c>
      <c r="F123" s="65" t="inlineStr">
        <is>
          <t>CMF_1960_2</t>
        </is>
      </c>
      <c r="G123" s="33" t="n"/>
      <c r="H123" s="33">
        <f t="array" ref="H123">IF(SUMPRODUCT(--EXACT(B123,Layers!$A$3:$A$268))=0,"No match",SUMPRODUCT(--EXACT(B123,Layers!$A$3:$A$268)))</f>
        <v/>
      </c>
    </row>
    <row r="124" ht="15.75" customHeight="1">
      <c r="A124" s="112">
        <f>F124&amp;"_"&amp;C124&amp;"_"&amp;E124</f>
        <v/>
      </c>
      <c r="B124" s="65" t="inlineStr">
        <is>
          <t>CONCRETE_07_S</t>
        </is>
      </c>
      <c r="C124" s="65" t="inlineStr">
        <is>
          <t>BASEMENT_FLOOR</t>
        </is>
      </c>
      <c r="D124" s="33" t="n">
        <v>0</v>
      </c>
      <c r="E124" s="65" t="inlineStr">
        <is>
          <t>STRUCTURE</t>
        </is>
      </c>
      <c r="F124" s="65" t="inlineStr">
        <is>
          <t>CMF_1960_2</t>
        </is>
      </c>
      <c r="G124" s="33" t="n"/>
      <c r="H124" s="33">
        <f t="array" ref="H124">IF(SUMPRODUCT(--EXACT(B124,Layers!$A$3:$A$268))=0,"No match",SUMPRODUCT(--EXACT(B124,Layers!$A$3:$A$268)))</f>
        <v/>
      </c>
    </row>
    <row r="125" ht="15.75" customHeight="1">
      <c r="A125" s="112">
        <f>F125&amp;"_"&amp;C125&amp;"_"&amp;E125</f>
        <v/>
      </c>
      <c r="B125" s="65" t="inlineStr">
        <is>
          <t>CELLULAR_PLASTIC_06_S</t>
        </is>
      </c>
      <c r="C125" s="65" t="inlineStr">
        <is>
          <t>BASEMENT_FLOOR</t>
        </is>
      </c>
      <c r="D125" s="33" t="n">
        <v>1</v>
      </c>
      <c r="E125" s="65" t="inlineStr">
        <is>
          <t>STRUCTURE</t>
        </is>
      </c>
      <c r="F125" s="65" t="inlineStr">
        <is>
          <t>CMF_1960_2</t>
        </is>
      </c>
      <c r="G125" s="33" t="n"/>
      <c r="H125" s="33">
        <f t="array" ref="H125">IF(SUMPRODUCT(--EXACT(B125,Layers!$A$3:$A$268))=0,"No match",SUMPRODUCT(--EXACT(B125,Layers!$A$3:$A$268)))</f>
        <v/>
      </c>
    </row>
    <row r="126" ht="15.75" customHeight="1">
      <c r="A126" s="112">
        <f>F126&amp;"_"&amp;C126&amp;"_"&amp;E126</f>
        <v/>
      </c>
      <c r="B126" s="65" t="inlineStr">
        <is>
          <t>FOIL_001_S</t>
        </is>
      </c>
      <c r="C126" s="65" t="inlineStr">
        <is>
          <t>BASEMENT_FLOOR</t>
        </is>
      </c>
      <c r="D126" s="33" t="n">
        <v>2</v>
      </c>
      <c r="E126" s="65" t="inlineStr">
        <is>
          <t>STRUCTURE</t>
        </is>
      </c>
      <c r="F126" s="65" t="inlineStr">
        <is>
          <t>CMF_1960_2</t>
        </is>
      </c>
      <c r="G126" s="33" t="n"/>
      <c r="H126" s="33">
        <f t="array" ref="H126">IF(SUMPRODUCT(--EXACT(B126,Layers!$A$3:$A$268))=0,"No match",SUMPRODUCT(--EXACT(B126,Layers!$A$3:$A$268)))</f>
        <v/>
      </c>
    </row>
    <row r="127" ht="15.75" customHeight="1">
      <c r="A127" s="112">
        <f>F127&amp;"_"&amp;C127&amp;"_"&amp;E127</f>
        <v/>
      </c>
      <c r="B127" s="65" t="inlineStr">
        <is>
          <t>SAND_05_S</t>
        </is>
      </c>
      <c r="C127" s="65" t="inlineStr">
        <is>
          <t>BASEMENT_FLOOR</t>
        </is>
      </c>
      <c r="D127" s="33" t="n">
        <v>3</v>
      </c>
      <c r="E127" s="65" t="inlineStr">
        <is>
          <t>STRUCTURE</t>
        </is>
      </c>
      <c r="F127" s="65" t="inlineStr">
        <is>
          <t>CMF_1960_2</t>
        </is>
      </c>
      <c r="G127" s="33" t="n"/>
      <c r="H127" s="33">
        <f t="array" ref="H127">IF(SUMPRODUCT(--EXACT(B127,Layers!$A$3:$A$268))=0,"No match",SUMPRODUCT(--EXACT(B127,Layers!$A$3:$A$268)))</f>
        <v/>
      </c>
    </row>
    <row r="128" ht="15.75" customHeight="1">
      <c r="A128" s="112">
        <f>F128&amp;"_"&amp;C128&amp;"_"&amp;E128</f>
        <v/>
      </c>
      <c r="B128" s="65" t="inlineStr">
        <is>
          <t>GRAVEL_15_S</t>
        </is>
      </c>
      <c r="C128" s="65" t="inlineStr">
        <is>
          <t>BASEMENT_FLOOR</t>
        </is>
      </c>
      <c r="D128" s="33" t="n">
        <v>4</v>
      </c>
      <c r="E128" s="65" t="inlineStr">
        <is>
          <t>STRUCTURE</t>
        </is>
      </c>
      <c r="F128" s="65" t="inlineStr">
        <is>
          <t>CMF_1960_2</t>
        </is>
      </c>
      <c r="G128" s="33" t="n"/>
      <c r="H128" s="33">
        <f t="array" ref="H128">IF(SUMPRODUCT(--EXACT(B128,Layers!$A$3:$A$268))=0,"No match",SUMPRODUCT(--EXACT(B128,Layers!$A$3:$A$268)))</f>
        <v/>
      </c>
    </row>
    <row r="129" ht="15.75" customHeight="1">
      <c r="A129" s="112">
        <f>F129&amp;"_"&amp;C129&amp;"_"&amp;E129</f>
        <v/>
      </c>
      <c r="B129" s="65" t="inlineStr">
        <is>
          <t>CONCRETE_3_S</t>
        </is>
      </c>
      <c r="C129" s="65" t="inlineStr">
        <is>
          <t>BASEMENT_WALL</t>
        </is>
      </c>
      <c r="D129" s="33" t="n">
        <v>0</v>
      </c>
      <c r="E129" s="65" t="inlineStr">
        <is>
          <t>STRUCTURE</t>
        </is>
      </c>
      <c r="F129" s="65" t="inlineStr">
        <is>
          <t>CMF_1960_2</t>
        </is>
      </c>
      <c r="G129" s="33" t="n"/>
      <c r="H129" s="33">
        <f t="array" ref="H129">IF(SUMPRODUCT(--EXACT(B129,Layers!$A$3:$A$268))=0,"No match",SUMPRODUCT(--EXACT(B129,Layers!$A$3:$A$268)))</f>
        <v/>
      </c>
    </row>
    <row r="130" ht="15.75" customHeight="1">
      <c r="A130" s="121">
        <f>F130&amp;"_"&amp;C130&amp;"_"&amp;E130</f>
        <v/>
      </c>
      <c r="B130" s="65" t="n"/>
      <c r="C130" s="65" t="inlineStr">
        <is>
          <t>INT_WALL_NONLOADBEARING</t>
        </is>
      </c>
      <c r="D130" s="33" t="n">
        <v>0</v>
      </c>
      <c r="E130" s="65" t="inlineStr">
        <is>
          <t>SPACE</t>
        </is>
      </c>
      <c r="F130" s="65" t="inlineStr">
        <is>
          <t>CMF_1960_2</t>
        </is>
      </c>
      <c r="G130" s="118" t="inlineStr">
        <is>
          <t>No souce found</t>
        </is>
      </c>
      <c r="H130" s="33">
        <f t="array" ref="H130">IF(SUMPRODUCT(--EXACT(B130,Layers!$A$3:$A$268))=0,"No match",SUMPRODUCT(--EXACT(B130,Layers!$A$3:$A$268)))</f>
        <v/>
      </c>
    </row>
    <row r="131" ht="15.75" customHeight="1">
      <c r="A131" s="121">
        <f>F131&amp;"_"&amp;C131&amp;"_"&amp;E131</f>
        <v/>
      </c>
      <c r="B131" s="65" t="n"/>
      <c r="C131" s="65" t="inlineStr">
        <is>
          <t>INT_WALL_NONLOADBEARING</t>
        </is>
      </c>
      <c r="D131" s="33" t="n">
        <v>0</v>
      </c>
      <c r="E131" s="65" t="inlineStr">
        <is>
          <t>STRUCTURE</t>
        </is>
      </c>
      <c r="F131" s="65" t="inlineStr">
        <is>
          <t>CMF_1960_2</t>
        </is>
      </c>
      <c r="G131" s="122" t="inlineStr">
        <is>
          <t>No souce found</t>
        </is>
      </c>
      <c r="H131" s="33">
        <f t="array" ref="H131">IF(SUMPRODUCT(--EXACT(B131,Layers!$A$3:$A$268))=0,"No match",SUMPRODUCT(--EXACT(B131,Layers!$A$3:$A$268)))</f>
        <v/>
      </c>
    </row>
    <row r="132" ht="15.75" customHeight="1">
      <c r="A132" s="121">
        <f>F132&amp;"_"&amp;C132&amp;"_"&amp;E132</f>
        <v/>
      </c>
      <c r="B132" s="65" t="inlineStr">
        <is>
          <t>PLYWOOD_017_S</t>
        </is>
      </c>
      <c r="C132" s="65" t="inlineStr">
        <is>
          <t>ROOF</t>
        </is>
      </c>
      <c r="D132" s="33" t="n">
        <v>0</v>
      </c>
      <c r="E132" s="65" t="inlineStr">
        <is>
          <t>SKIN</t>
        </is>
      </c>
      <c r="F132" s="65" t="inlineStr">
        <is>
          <t>CMF_1970</t>
        </is>
      </c>
      <c r="G132" s="33" t="n"/>
      <c r="H132" s="33">
        <f t="array" ref="H132">IF(SUMPRODUCT(--EXACT(B132,Layers!$A$3:$A$268))=0,"No match",SUMPRODUCT(--EXACT(B132,Layers!$A$3:$A$268)))</f>
        <v/>
      </c>
    </row>
    <row r="133" ht="15.75" customHeight="1">
      <c r="A133" s="121">
        <f>F133&amp;"_"&amp;C133&amp;"_"&amp;E133</f>
        <v/>
      </c>
      <c r="B133" s="65" t="inlineStr">
        <is>
          <t>GALVANIZED_SHEET_METAL_003_S</t>
        </is>
      </c>
      <c r="C133" s="65" t="inlineStr">
        <is>
          <t>ROOF</t>
        </is>
      </c>
      <c r="D133" s="33" t="n">
        <v>1</v>
      </c>
      <c r="E133" s="65" t="inlineStr">
        <is>
          <t>SKIN</t>
        </is>
      </c>
      <c r="F133" s="65" t="inlineStr">
        <is>
          <t>CMF_1970</t>
        </is>
      </c>
      <c r="G133" s="33" t="n"/>
      <c r="H133" s="33">
        <f t="array" ref="H133">IF(SUMPRODUCT(--EXACT(B133,Layers!$A$3:$A$268))=0,"No match",SUMPRODUCT(--EXACT(B133,Layers!$A$3:$A$268)))</f>
        <v/>
      </c>
    </row>
    <row r="134" ht="15.75" customHeight="1">
      <c r="A134" s="121">
        <f>F134&amp;"_"&amp;C134&amp;"_"&amp;E134</f>
        <v/>
      </c>
      <c r="B134" s="65" t="inlineStr">
        <is>
          <t>MINERAL_WOOL_3_S</t>
        </is>
      </c>
      <c r="C134" s="65" t="inlineStr">
        <is>
          <t>TOP_FLOOR</t>
        </is>
      </c>
      <c r="D134" s="33" t="n">
        <v>0</v>
      </c>
      <c r="E134" s="65" t="inlineStr">
        <is>
          <t>SKIN</t>
        </is>
      </c>
      <c r="F134" s="65" t="inlineStr">
        <is>
          <t>CMF_1970</t>
        </is>
      </c>
      <c r="G134" s="33" t="n"/>
      <c r="H134" s="33">
        <f t="array" ref="H134">IF(SUMPRODUCT(--EXACT(B134,Layers!$A$3:$A$268))=0,"No match",SUMPRODUCT(--EXACT(B134,Layers!$A$3:$A$268)))</f>
        <v/>
      </c>
    </row>
    <row r="135" ht="15.75" customHeight="1">
      <c r="A135" s="121">
        <f>F135&amp;"_"&amp;C135&amp;"_"&amp;E135</f>
        <v/>
      </c>
      <c r="B135" s="65" t="inlineStr">
        <is>
          <t>CONCRETE_19_S</t>
        </is>
      </c>
      <c r="C135" s="65" t="inlineStr">
        <is>
          <t>TOP_FLOOR</t>
        </is>
      </c>
      <c r="D135" s="33" t="n">
        <v>0</v>
      </c>
      <c r="E135" s="65" t="inlineStr">
        <is>
          <t>STRUCTURE</t>
        </is>
      </c>
      <c r="F135" s="65" t="inlineStr">
        <is>
          <t>CMF_1970</t>
        </is>
      </c>
      <c r="G135" s="33" t="n"/>
      <c r="H135" s="33">
        <f t="array" ref="H135">IF(SUMPRODUCT(--EXACT(B135,Layers!$A$3:$A$268))=0,"No match",SUMPRODUCT(--EXACT(B135,Layers!$A$3:$A$268)))</f>
        <v/>
      </c>
    </row>
    <row r="136" ht="15.75" customHeight="1">
      <c r="A136" s="121">
        <f>F136&amp;"_"&amp;C136&amp;"_"&amp;E136</f>
        <v/>
      </c>
      <c r="B136" s="65" t="inlineStr">
        <is>
          <t>CONCRETE_19_S</t>
        </is>
      </c>
      <c r="C136" s="65" t="inlineStr">
        <is>
          <t>INTERMEDIATE_FLOOR</t>
        </is>
      </c>
      <c r="D136" s="33" t="n">
        <v>0</v>
      </c>
      <c r="E136" s="65" t="inlineStr">
        <is>
          <t>STRUCTURE</t>
        </is>
      </c>
      <c r="F136" s="65" t="inlineStr">
        <is>
          <t>CMF_1970</t>
        </is>
      </c>
      <c r="G136" s="33" t="n"/>
      <c r="H136" s="33">
        <f t="array" ref="H136">IF(SUMPRODUCT(--EXACT(B136,Layers!$A$3:$A$268))=0,"No match",SUMPRODUCT(--EXACT(B136,Layers!$A$3:$A$268)))</f>
        <v/>
      </c>
    </row>
    <row r="137" ht="15.75" customHeight="1">
      <c r="A137" s="121">
        <f>F137&amp;"_"&amp;C137&amp;"_"&amp;E137</f>
        <v/>
      </c>
      <c r="B137" s="65" t="inlineStr">
        <is>
          <t>PLASTIC_MAT_01_S</t>
        </is>
      </c>
      <c r="C137" s="65" t="inlineStr">
        <is>
          <t>INTERMEDIATE_FLOOR</t>
        </is>
      </c>
      <c r="D137" s="33" t="n">
        <v>0</v>
      </c>
      <c r="E137" s="65" t="inlineStr">
        <is>
          <t>SPACE</t>
        </is>
      </c>
      <c r="F137" s="65" t="inlineStr">
        <is>
          <t>CMF_1970</t>
        </is>
      </c>
      <c r="G137" s="33" t="n"/>
      <c r="H137" s="33">
        <f t="array" ref="H137">IF(SUMPRODUCT(--EXACT(B137,Layers!$A$3:$A$268))=0,"No match",SUMPRODUCT(--EXACT(B137,Layers!$A$3:$A$268)))</f>
        <v/>
      </c>
    </row>
    <row r="138" ht="15.75" customHeight="1">
      <c r="A138" s="121">
        <f>F138&amp;"_"&amp;C138&amp;"_"&amp;E138</f>
        <v/>
      </c>
      <c r="B138" s="65" t="inlineStr">
        <is>
          <t>LIGHTWEIGHT_CONCRETE_MORTAR_3_C</t>
        </is>
      </c>
      <c r="C138" s="65" t="inlineStr">
        <is>
          <t>EXT_WALL</t>
        </is>
      </c>
      <c r="D138" s="33" t="n">
        <v>0</v>
      </c>
      <c r="E138" s="65" t="inlineStr">
        <is>
          <t>STRUCTURE</t>
        </is>
      </c>
      <c r="F138" s="65" t="inlineStr">
        <is>
          <t>CMF_1970</t>
        </is>
      </c>
      <c r="G138" s="33" t="n"/>
      <c r="H138" s="33">
        <f t="array" ref="H138">IF(SUMPRODUCT(--EXACT(B138,Layers!$A$3:$A$268))=0,"No match",SUMPRODUCT(--EXACT(B138,Layers!$A$3:$A$268)))</f>
        <v/>
      </c>
    </row>
    <row r="139" ht="15.75" customHeight="1">
      <c r="A139" s="121">
        <f>F139&amp;"_"&amp;C139&amp;"_"&amp;E139</f>
        <v/>
      </c>
      <c r="B139" s="65" t="inlineStr">
        <is>
          <t>PLASTER_005_S</t>
        </is>
      </c>
      <c r="C139" s="65" t="inlineStr">
        <is>
          <t>EXT_WALL</t>
        </is>
      </c>
      <c r="D139" s="33" t="n">
        <v>0</v>
      </c>
      <c r="E139" s="65" t="inlineStr">
        <is>
          <t>SKIN</t>
        </is>
      </c>
      <c r="F139" s="65" t="inlineStr">
        <is>
          <t>CMF_1970</t>
        </is>
      </c>
      <c r="G139" s="33" t="n"/>
      <c r="H139" s="33">
        <f t="array" ref="H139">IF(SUMPRODUCT(--EXACT(B139,Layers!$A$3:$A$268))=0,"No match",SUMPRODUCT(--EXACT(B139,Layers!$A$3:$A$268)))</f>
        <v/>
      </c>
    </row>
    <row r="140" ht="15.75" customHeight="1">
      <c r="A140" s="121">
        <f>F140&amp;"_"&amp;C140&amp;"_"&amp;E140</f>
        <v/>
      </c>
      <c r="B140" s="65" t="inlineStr">
        <is>
          <t>GYPSUM_BOARD_013_S</t>
        </is>
      </c>
      <c r="C140" s="65" t="inlineStr">
        <is>
          <t>EXT_WALL</t>
        </is>
      </c>
      <c r="D140" s="33" t="n">
        <v>0</v>
      </c>
      <c r="E140" s="65" t="inlineStr">
        <is>
          <t>SPACE</t>
        </is>
      </c>
      <c r="F140" s="65" t="inlineStr">
        <is>
          <t>CMF_1970</t>
        </is>
      </c>
      <c r="G140" s="33" t="n"/>
      <c r="H140" s="33">
        <f t="array" ref="H140">IF(SUMPRODUCT(--EXACT(B140,Layers!$A$3:$A$268))=0,"No match",SUMPRODUCT(--EXACT(B140,Layers!$A$3:$A$268)))</f>
        <v/>
      </c>
    </row>
    <row r="141" ht="15.75" customHeight="1">
      <c r="A141" s="121">
        <f>F141&amp;"_"&amp;C141&amp;"_"&amp;E141</f>
        <v/>
      </c>
      <c r="B141" s="65" t="inlineStr">
        <is>
          <t>CONCRETE_15_S</t>
        </is>
      </c>
      <c r="C141" s="65" t="inlineStr">
        <is>
          <t>INT_WALL_LOADBEARING</t>
        </is>
      </c>
      <c r="D141" s="33" t="n">
        <v>0</v>
      </c>
      <c r="E141" s="65" t="inlineStr">
        <is>
          <t>STRUCTURE</t>
        </is>
      </c>
      <c r="F141" s="65" t="inlineStr">
        <is>
          <t>CMF_1970</t>
        </is>
      </c>
      <c r="G141" s="33" t="n"/>
      <c r="H141" s="33">
        <f t="array" ref="H141">IF(SUMPRODUCT(--EXACT(B141,Layers!$A$3:$A$268))=0,"No match",SUMPRODUCT(--EXACT(B141,Layers!$A$3:$A$268)))</f>
        <v/>
      </c>
    </row>
    <row r="142" ht="15.75" customHeight="1">
      <c r="A142" s="121">
        <f>F142&amp;"_"&amp;C142&amp;"_"&amp;E142</f>
        <v/>
      </c>
      <c r="B142" s="65" t="inlineStr">
        <is>
          <t>CONCRETE_2_S</t>
        </is>
      </c>
      <c r="C142" s="65" t="inlineStr">
        <is>
          <t>GROUND_FLOOR</t>
        </is>
      </c>
      <c r="D142" s="33" t="n">
        <v>0</v>
      </c>
      <c r="E142" s="65" t="inlineStr">
        <is>
          <t>STRUCTURE</t>
        </is>
      </c>
      <c r="F142" s="65" t="inlineStr">
        <is>
          <t>CMF_1970</t>
        </is>
      </c>
      <c r="G142" s="33" t="n"/>
      <c r="H142" s="33">
        <f t="array" ref="H142">IF(SUMPRODUCT(--EXACT(B142,Layers!$A$3:$A$268))=0,"No match",SUMPRODUCT(--EXACT(B142,Layers!$A$3:$A$268)))</f>
        <v/>
      </c>
    </row>
    <row r="143" ht="15.75" customHeight="1">
      <c r="A143" s="121">
        <f>F143&amp;"_"&amp;C143&amp;"_"&amp;E143</f>
        <v/>
      </c>
      <c r="B143" s="65" t="inlineStr">
        <is>
          <t>AIR_GAP_WOODEN_RAFTER_05_C</t>
        </is>
      </c>
      <c r="C143" s="65" t="inlineStr">
        <is>
          <t>GROUND_FLOOR</t>
        </is>
      </c>
      <c r="D143" s="33" t="n">
        <v>1</v>
      </c>
      <c r="E143" s="65" t="inlineStr">
        <is>
          <t>STRUCTURE</t>
        </is>
      </c>
      <c r="F143" s="65" t="inlineStr">
        <is>
          <t>CMF_1970</t>
        </is>
      </c>
      <c r="G143" s="33" t="n"/>
      <c r="H143" s="33">
        <f t="array" ref="H143">IF(SUMPRODUCT(--EXACT(B143,Layers!$A$3:$A$268))=0,"No match",SUMPRODUCT(--EXACT(B143,Layers!$A$3:$A$268)))</f>
        <v/>
      </c>
    </row>
    <row r="144" ht="15.75" customHeight="1">
      <c r="A144" s="121">
        <f>F144&amp;"_"&amp;C144&amp;"_"&amp;E144</f>
        <v/>
      </c>
      <c r="B144" s="65" t="inlineStr">
        <is>
          <t>PLASTIC_MAT_01_S</t>
        </is>
      </c>
      <c r="C144" s="65" t="inlineStr">
        <is>
          <t>GROUND_FLOOR</t>
        </is>
      </c>
      <c r="D144" s="33" t="n">
        <v>0</v>
      </c>
      <c r="E144" s="65" t="inlineStr">
        <is>
          <t>SPACE</t>
        </is>
      </c>
      <c r="F144" s="65" t="inlineStr">
        <is>
          <t>CMF_1970</t>
        </is>
      </c>
      <c r="G144" s="33" t="n"/>
      <c r="H144" s="33">
        <f t="array" ref="H144">IF(SUMPRODUCT(--EXACT(B144,Layers!$A$3:$A$268))=0,"No match",SUMPRODUCT(--EXACT(B144,Layers!$A$3:$A$268)))</f>
        <v/>
      </c>
    </row>
    <row r="145" ht="15.75" customHeight="1">
      <c r="A145" s="121">
        <f>F145&amp;"_"&amp;C145&amp;"_"&amp;E145</f>
        <v/>
      </c>
      <c r="B145" s="65" t="n"/>
      <c r="C145" s="65" t="inlineStr">
        <is>
          <t>BASEMENT_FLOOR</t>
        </is>
      </c>
      <c r="D145" s="33" t="n">
        <v>0</v>
      </c>
      <c r="E145" s="65" t="inlineStr">
        <is>
          <t>SKIN</t>
        </is>
      </c>
      <c r="F145" s="65" t="inlineStr">
        <is>
          <t>CMF_1970</t>
        </is>
      </c>
      <c r="G145" s="33" t="inlineStr">
        <is>
          <t>No souce found</t>
        </is>
      </c>
      <c r="H145" s="33">
        <f t="array" ref="H145">IF(SUMPRODUCT(--EXACT(B145,Layers!$A$3:$A$268))=0,"No match",SUMPRODUCT(--EXACT(B145,Layers!$A$3:$A$268)))</f>
        <v/>
      </c>
    </row>
    <row r="146" ht="15.75" customHeight="1">
      <c r="A146" s="121">
        <f>F146&amp;"_"&amp;C146&amp;"_"&amp;E146</f>
        <v/>
      </c>
      <c r="B146" s="65" t="n"/>
      <c r="C146" s="65" t="inlineStr">
        <is>
          <t>BASEMENT_FLOOR</t>
        </is>
      </c>
      <c r="D146" s="33" t="n">
        <v>0</v>
      </c>
      <c r="E146" s="65" t="inlineStr">
        <is>
          <t>STRUCTURE</t>
        </is>
      </c>
      <c r="F146" s="65" t="inlineStr">
        <is>
          <t>CMF_1970</t>
        </is>
      </c>
      <c r="G146" s="33" t="inlineStr">
        <is>
          <t>No souce found</t>
        </is>
      </c>
      <c r="H146" s="33">
        <f t="array" ref="H146">IF(SUMPRODUCT(--EXACT(B146,Layers!$A$3:$A$268))=0,"No match",SUMPRODUCT(--EXACT(B146,Layers!$A$3:$A$268)))</f>
        <v/>
      </c>
    </row>
    <row r="147" ht="15.75" customHeight="1">
      <c r="A147" s="121">
        <f>F147&amp;"_"&amp;C147&amp;"_"&amp;E147</f>
        <v/>
      </c>
      <c r="B147" s="65" t="n"/>
      <c r="C147" s="65" t="inlineStr">
        <is>
          <t>BASEMENT_FLOOR</t>
        </is>
      </c>
      <c r="D147" s="33" t="n">
        <v>0</v>
      </c>
      <c r="E147" s="65" t="inlineStr">
        <is>
          <t>SPACE</t>
        </is>
      </c>
      <c r="F147" s="65" t="inlineStr">
        <is>
          <t>CMF_1970</t>
        </is>
      </c>
      <c r="G147" s="33" t="inlineStr">
        <is>
          <t>No souce found</t>
        </is>
      </c>
      <c r="H147" s="33">
        <f t="array" ref="H147">IF(SUMPRODUCT(--EXACT(B147,Layers!$A$3:$A$268))=0,"No match",SUMPRODUCT(--EXACT(B147,Layers!$A$3:$A$268)))</f>
        <v/>
      </c>
    </row>
    <row r="148" ht="15.75" customHeight="1">
      <c r="A148" s="121">
        <f>F148&amp;"_"&amp;C148&amp;"_"&amp;E148</f>
        <v/>
      </c>
      <c r="B148" s="65" t="n"/>
      <c r="C148" s="65" t="inlineStr">
        <is>
          <t>INT_WALL_NONLOADBEARING</t>
        </is>
      </c>
      <c r="D148" s="33" t="n">
        <v>0</v>
      </c>
      <c r="E148" s="65" t="inlineStr">
        <is>
          <t>SPACE</t>
        </is>
      </c>
      <c r="F148" s="65" t="inlineStr">
        <is>
          <t>CMF_1970</t>
        </is>
      </c>
      <c r="G148" s="33" t="inlineStr">
        <is>
          <t>No souce found</t>
        </is>
      </c>
      <c r="H148" s="33">
        <f t="array" ref="H148">IF(SUMPRODUCT(--EXACT(B148,Layers!$A$3:$A$268))=0,"No match",SUMPRODUCT(--EXACT(B148,Layers!$A$3:$A$268)))</f>
        <v/>
      </c>
    </row>
    <row r="149" ht="15.75" customHeight="1">
      <c r="A149" s="121">
        <f>F149&amp;"_"&amp;C149&amp;"_"&amp;E149</f>
        <v/>
      </c>
      <c r="B149" s="65" t="n"/>
      <c r="C149" s="65" t="inlineStr">
        <is>
          <t>INT_WALL_NONLOADBEARING</t>
        </is>
      </c>
      <c r="D149" s="33" t="n">
        <v>0</v>
      </c>
      <c r="E149" s="65" t="inlineStr">
        <is>
          <t>STRUCTURE</t>
        </is>
      </c>
      <c r="F149" s="65" t="inlineStr">
        <is>
          <t>CMF_1970</t>
        </is>
      </c>
      <c r="G149" s="33" t="inlineStr">
        <is>
          <t>No souce found</t>
        </is>
      </c>
      <c r="H149" s="33">
        <f t="array" ref="H149">IF(SUMPRODUCT(--EXACT(B149,Layers!$A$3:$A$268))=0,"No match",SUMPRODUCT(--EXACT(B149,Layers!$A$3:$A$268)))</f>
        <v/>
      </c>
    </row>
    <row r="150" ht="15.75" customHeight="1">
      <c r="A150" s="121">
        <f>F150&amp;"_"&amp;C150&amp;"_"&amp;E150</f>
        <v/>
      </c>
      <c r="B150" s="65" t="n"/>
      <c r="C150" s="65" t="inlineStr">
        <is>
          <t>BASEMENT_WALL</t>
        </is>
      </c>
      <c r="D150" s="33" t="n">
        <v>0</v>
      </c>
      <c r="E150" s="65" t="inlineStr">
        <is>
          <t>SKIN</t>
        </is>
      </c>
      <c r="F150" s="65" t="inlineStr">
        <is>
          <t>CMF_1970</t>
        </is>
      </c>
      <c r="G150" s="33" t="inlineStr">
        <is>
          <t>No souce found</t>
        </is>
      </c>
      <c r="H150" s="33">
        <f t="array" ref="H150">IF(SUMPRODUCT(--EXACT(B150,Layers!$A$3:$A$268))=0,"No match",SUMPRODUCT(--EXACT(B150,Layers!$A$3:$A$268)))</f>
        <v/>
      </c>
    </row>
    <row r="151" ht="15.75" customHeight="1">
      <c r="A151" s="121">
        <f>F151&amp;"_"&amp;C151&amp;"_"&amp;E151</f>
        <v/>
      </c>
      <c r="B151" s="65" t="n"/>
      <c r="C151" s="65" t="inlineStr">
        <is>
          <t>BASEMENT_WALL</t>
        </is>
      </c>
      <c r="D151" s="33" t="n">
        <v>0</v>
      </c>
      <c r="E151" s="65" t="inlineStr">
        <is>
          <t>STRUCTURE</t>
        </is>
      </c>
      <c r="F151" s="65" t="inlineStr">
        <is>
          <t>CMF_1970</t>
        </is>
      </c>
      <c r="G151" s="33" t="inlineStr">
        <is>
          <t>No souce found</t>
        </is>
      </c>
      <c r="H151" s="33">
        <f t="array" ref="H151">IF(SUMPRODUCT(--EXACT(B151,Layers!$A$3:$A$268))=0,"No match",SUMPRODUCT(--EXACT(B151,Layers!$A$3:$A$268)))</f>
        <v/>
      </c>
    </row>
    <row r="152" ht="15.75" customHeight="1">
      <c r="A152" s="121">
        <f>F152&amp;"_"&amp;C152&amp;"_"&amp;E152</f>
        <v/>
      </c>
      <c r="B152" s="65" t="n"/>
      <c r="C152" s="65" t="inlineStr">
        <is>
          <t>BASEMENT_WALL</t>
        </is>
      </c>
      <c r="D152" s="33" t="n">
        <v>0</v>
      </c>
      <c r="E152" s="65" t="inlineStr">
        <is>
          <t>SPACE</t>
        </is>
      </c>
      <c r="F152" s="65" t="inlineStr">
        <is>
          <t>CMF_1970</t>
        </is>
      </c>
      <c r="G152" s="33" t="inlineStr">
        <is>
          <t>No souce found</t>
        </is>
      </c>
      <c r="H152" s="33">
        <f t="array" ref="H152">IF(SUMPRODUCT(--EXACT(B152,Layers!$A$3:$A$268))=0,"No match",SUMPRODUCT(--EXACT(B152,Layers!$A$3:$A$268)))</f>
        <v/>
      </c>
    </row>
    <row r="153" ht="15.75" customHeight="1">
      <c r="A153" s="121">
        <f>F153&amp;"_"&amp;C153&amp;"_"&amp;E153</f>
        <v/>
      </c>
      <c r="B153" s="65" t="inlineStr">
        <is>
          <t>PLYWOOD_017_S</t>
        </is>
      </c>
      <c r="C153" s="65" t="inlineStr">
        <is>
          <t>ROOF</t>
        </is>
      </c>
      <c r="D153" s="33" t="n">
        <v>0</v>
      </c>
      <c r="E153" s="65" t="inlineStr">
        <is>
          <t>SKIN</t>
        </is>
      </c>
      <c r="F153" s="65" t="inlineStr">
        <is>
          <t>CMF_1980</t>
        </is>
      </c>
      <c r="G153" s="33" t="n"/>
      <c r="H153" s="124">
        <f t="array" ref="H153">IF(SUMPRODUCT(--EXACT(B153,Layers!$A$3:$A$268))=0,"No match",SUMPRODUCT(--EXACT(B153,Layers!$A$3:$A$268)))</f>
        <v/>
      </c>
    </row>
    <row r="154" ht="15.75" customHeight="1">
      <c r="A154" s="121">
        <f>F154&amp;"_"&amp;C154&amp;"_"&amp;E154</f>
        <v/>
      </c>
      <c r="B154" s="65" t="inlineStr">
        <is>
          <t>GALVANIZED_SHEET_METAL_003_S</t>
        </is>
      </c>
      <c r="C154" s="65" t="inlineStr">
        <is>
          <t>ROOF</t>
        </is>
      </c>
      <c r="D154" s="33" t="n">
        <v>1</v>
      </c>
      <c r="E154" s="65" t="inlineStr">
        <is>
          <t>SKIN</t>
        </is>
      </c>
      <c r="F154" s="65" t="inlineStr">
        <is>
          <t>CMF_1980</t>
        </is>
      </c>
      <c r="G154" s="33" t="n"/>
      <c r="H154" s="124">
        <f t="array" ref="H154">IF(SUMPRODUCT(--EXACT(B154,Layers!$A$3:$A$268))=0,"No match",SUMPRODUCT(--EXACT(B154,Layers!$A$3:$A$268)))</f>
        <v/>
      </c>
    </row>
    <row r="155" ht="15.75" customHeight="1">
      <c r="A155" s="121">
        <f>F155&amp;"_"&amp;C155&amp;"_"&amp;E155</f>
        <v/>
      </c>
      <c r="B155" s="65" t="inlineStr">
        <is>
          <t>MINERAL_WOOL_3_S</t>
        </is>
      </c>
      <c r="C155" s="65" t="inlineStr">
        <is>
          <t>TOP_FLOOR</t>
        </is>
      </c>
      <c r="D155" s="33" t="n">
        <v>0</v>
      </c>
      <c r="E155" s="65" t="inlineStr">
        <is>
          <t>SKIN</t>
        </is>
      </c>
      <c r="F155" s="65" t="inlineStr">
        <is>
          <t>CMF_1980</t>
        </is>
      </c>
      <c r="G155" s="33" t="n"/>
      <c r="H155" s="124">
        <f t="array" ref="H155">IF(SUMPRODUCT(--EXACT(B155,Layers!$A$3:$A$268))=0,"No match",SUMPRODUCT(--EXACT(B155,Layers!$A$3:$A$268)))</f>
        <v/>
      </c>
    </row>
    <row r="156" ht="15.75" customHeight="1">
      <c r="A156" s="121">
        <f>F156&amp;"_"&amp;C156&amp;"_"&amp;E156</f>
        <v/>
      </c>
      <c r="B156" s="65" t="inlineStr">
        <is>
          <t>CONCRETE_19_S</t>
        </is>
      </c>
      <c r="C156" s="65" t="inlineStr">
        <is>
          <t>TOP_FLOOR</t>
        </is>
      </c>
      <c r="D156" s="33" t="n">
        <v>0</v>
      </c>
      <c r="E156" s="65" t="inlineStr">
        <is>
          <t>STRUCTURE</t>
        </is>
      </c>
      <c r="F156" s="65" t="inlineStr">
        <is>
          <t>CMF_1980</t>
        </is>
      </c>
      <c r="G156" s="33" t="n"/>
      <c r="H156" s="124">
        <f t="array" ref="H156">IF(SUMPRODUCT(--EXACT(B156,Layers!$A$3:$A$268))=0,"No match",SUMPRODUCT(--EXACT(B156,Layers!$A$3:$A$268)))</f>
        <v/>
      </c>
    </row>
    <row r="157" ht="15.75" customHeight="1">
      <c r="A157" s="121">
        <f>F157&amp;"_"&amp;C157&amp;"_"&amp;E157</f>
        <v/>
      </c>
      <c r="B157" s="65" t="inlineStr">
        <is>
          <t>CONCRETE_19_S</t>
        </is>
      </c>
      <c r="C157" s="65" t="inlineStr">
        <is>
          <t>INTERMEDIATE_FLOOR</t>
        </is>
      </c>
      <c r="D157" s="33" t="n">
        <v>0</v>
      </c>
      <c r="E157" s="65" t="inlineStr">
        <is>
          <t>STRUCTURE</t>
        </is>
      </c>
      <c r="F157" s="65" t="inlineStr">
        <is>
          <t>CMF_1980</t>
        </is>
      </c>
      <c r="G157" s="33" t="n"/>
      <c r="H157" s="124">
        <f t="array" ref="H157">IF(SUMPRODUCT(--EXACT(B157,Layers!$A$3:$A$268))=0,"No match",SUMPRODUCT(--EXACT(B157,Layers!$A$3:$A$268)))</f>
        <v/>
      </c>
    </row>
    <row r="158" ht="15.75" customHeight="1">
      <c r="A158" s="121">
        <f>F158&amp;"_"&amp;C158&amp;"_"&amp;E158</f>
        <v/>
      </c>
      <c r="B158" s="65" t="inlineStr">
        <is>
          <t>PLASTIC_MAT_01_S</t>
        </is>
      </c>
      <c r="C158" s="65" t="inlineStr">
        <is>
          <t>INTERMEDIATE_FLOOR</t>
        </is>
      </c>
      <c r="D158" s="33" t="n">
        <v>0</v>
      </c>
      <c r="E158" s="65" t="inlineStr">
        <is>
          <t>SPACE</t>
        </is>
      </c>
      <c r="F158" s="65" t="inlineStr">
        <is>
          <t>CMF_1980</t>
        </is>
      </c>
      <c r="G158" s="33" t="n"/>
      <c r="H158" s="124">
        <f t="array" ref="H158">IF(SUMPRODUCT(--EXACT(B158,Layers!$A$3:$A$268))=0,"No match",SUMPRODUCT(--EXACT(B158,Layers!$A$3:$A$268)))</f>
        <v/>
      </c>
    </row>
    <row r="159" ht="15.75" customHeight="1">
      <c r="A159" s="121">
        <f>F159&amp;"_"&amp;C159&amp;"_"&amp;E159</f>
        <v/>
      </c>
      <c r="B159" s="65" t="inlineStr">
        <is>
          <t>LIGHTWEIGHT_CONCRETE_MORTAR_3_C</t>
        </is>
      </c>
      <c r="C159" s="65" t="inlineStr">
        <is>
          <t>EXT_WALL</t>
        </is>
      </c>
      <c r="D159" s="33" t="n">
        <v>0</v>
      </c>
      <c r="E159" s="65" t="inlineStr">
        <is>
          <t>STRUCTURE</t>
        </is>
      </c>
      <c r="F159" s="65" t="inlineStr">
        <is>
          <t>CMF_1980</t>
        </is>
      </c>
      <c r="G159" s="33" t="n"/>
      <c r="H159" s="124">
        <f t="array" ref="H159">IF(SUMPRODUCT(--EXACT(B159,Layers!$A$3:$A$268))=0,"No match",SUMPRODUCT(--EXACT(B159,Layers!$A$3:$A$268)))</f>
        <v/>
      </c>
    </row>
    <row r="160" ht="15.75" customHeight="1">
      <c r="A160" s="121">
        <f>F160&amp;"_"&amp;C160&amp;"_"&amp;E160</f>
        <v/>
      </c>
      <c r="B160" s="65" t="inlineStr">
        <is>
          <t>PLASTER_005_S</t>
        </is>
      </c>
      <c r="C160" s="65" t="inlineStr">
        <is>
          <t>EXT_WALL</t>
        </is>
      </c>
      <c r="D160" s="33" t="n">
        <v>0</v>
      </c>
      <c r="E160" s="65" t="inlineStr">
        <is>
          <t>SKIN</t>
        </is>
      </c>
      <c r="F160" s="65" t="inlineStr">
        <is>
          <t>CMF_1980</t>
        </is>
      </c>
      <c r="G160" s="33" t="n"/>
      <c r="H160" s="124">
        <f t="array" ref="H160">IF(SUMPRODUCT(--EXACT(B160,Layers!$A$3:$A$268))=0,"No match",SUMPRODUCT(--EXACT(B160,Layers!$A$3:$A$268)))</f>
        <v/>
      </c>
    </row>
    <row r="161" ht="15.75" customHeight="1">
      <c r="A161" s="121">
        <f>F161&amp;"_"&amp;C161&amp;"_"&amp;E161</f>
        <v/>
      </c>
      <c r="B161" s="65" t="inlineStr">
        <is>
          <t>GYPSUM_BOARD_013_S</t>
        </is>
      </c>
      <c r="C161" s="65" t="inlineStr">
        <is>
          <t>EXT_WALL</t>
        </is>
      </c>
      <c r="D161" s="33" t="n">
        <v>0</v>
      </c>
      <c r="E161" s="65" t="inlineStr">
        <is>
          <t>SPACE</t>
        </is>
      </c>
      <c r="F161" s="65" t="inlineStr">
        <is>
          <t>CMF_1980</t>
        </is>
      </c>
      <c r="G161" s="33" t="n"/>
      <c r="H161" s="124">
        <f t="array" ref="H161">IF(SUMPRODUCT(--EXACT(B161,Layers!$A$3:$A$268))=0,"No match",SUMPRODUCT(--EXACT(B161,Layers!$A$3:$A$268)))</f>
        <v/>
      </c>
    </row>
    <row r="162" ht="15.75" customHeight="1">
      <c r="A162" s="121">
        <f>F162&amp;"_"&amp;C162&amp;"_"&amp;E162</f>
        <v/>
      </c>
      <c r="B162" s="65" t="inlineStr">
        <is>
          <t>CONCRETE_15_S</t>
        </is>
      </c>
      <c r="C162" s="65" t="inlineStr">
        <is>
          <t>INT_WALL_LOADBEARING</t>
        </is>
      </c>
      <c r="D162" s="33" t="n">
        <v>0</v>
      </c>
      <c r="E162" s="65" t="inlineStr">
        <is>
          <t>STRUCTURE</t>
        </is>
      </c>
      <c r="F162" s="65" t="inlineStr">
        <is>
          <t>CMF_1980</t>
        </is>
      </c>
      <c r="G162" s="33" t="n"/>
      <c r="H162" s="124">
        <f t="array" ref="H162">IF(SUMPRODUCT(--EXACT(B162,Layers!$A$3:$A$268))=0,"No match",SUMPRODUCT(--EXACT(B162,Layers!$A$3:$A$268)))</f>
        <v/>
      </c>
    </row>
    <row r="163" ht="15.75" customHeight="1">
      <c r="A163" s="121">
        <f>F163&amp;"_"&amp;C163&amp;"_"&amp;E163</f>
        <v/>
      </c>
      <c r="B163" s="65" t="inlineStr">
        <is>
          <t>CONCRETE_2_S</t>
        </is>
      </c>
      <c r="C163" s="65" t="inlineStr">
        <is>
          <t>GROUND_FLOOR</t>
        </is>
      </c>
      <c r="D163" s="33" t="n">
        <v>0</v>
      </c>
      <c r="E163" s="65" t="inlineStr">
        <is>
          <t>STRUCTURE</t>
        </is>
      </c>
      <c r="F163" s="65" t="inlineStr">
        <is>
          <t>CMF_1980</t>
        </is>
      </c>
      <c r="G163" s="33" t="n"/>
      <c r="H163" s="124">
        <f t="array" ref="H163">IF(SUMPRODUCT(--EXACT(B163,Layers!$A$3:$A$268))=0,"No match",SUMPRODUCT(--EXACT(B163,Layers!$A$3:$A$268)))</f>
        <v/>
      </c>
    </row>
    <row r="164" ht="15.75" customHeight="1">
      <c r="A164" s="121">
        <f>F164&amp;"_"&amp;C164&amp;"_"&amp;E164</f>
        <v/>
      </c>
      <c r="B164" s="65" t="inlineStr">
        <is>
          <t>AIR_GAP_WOODEN_RAFTER_05_C</t>
        </is>
      </c>
      <c r="C164" s="65" t="inlineStr">
        <is>
          <t>GROUND_FLOOR</t>
        </is>
      </c>
      <c r="D164" s="33" t="n">
        <v>1</v>
      </c>
      <c r="E164" s="65" t="inlineStr">
        <is>
          <t>STRUCTURE</t>
        </is>
      </c>
      <c r="F164" s="65" t="inlineStr">
        <is>
          <t>CMF_1980</t>
        </is>
      </c>
      <c r="G164" s="33" t="n"/>
      <c r="H164" s="124">
        <f t="array" ref="H164">IF(SUMPRODUCT(--EXACT(B164,Layers!$A$3:$A$268))=0,"No match",SUMPRODUCT(--EXACT(B164,Layers!$A$3:$A$268)))</f>
        <v/>
      </c>
    </row>
    <row r="165" ht="15.75" customHeight="1">
      <c r="A165" s="121">
        <f>F165&amp;"_"&amp;C165&amp;"_"&amp;E165</f>
        <v/>
      </c>
      <c r="B165" s="65" t="inlineStr">
        <is>
          <t>PLASTIC_MAT_01_S</t>
        </is>
      </c>
      <c r="C165" s="65" t="inlineStr">
        <is>
          <t>GROUND_FLOOR</t>
        </is>
      </c>
      <c r="D165" s="33" t="n">
        <v>0</v>
      </c>
      <c r="E165" s="65" t="inlineStr">
        <is>
          <t>SPACE</t>
        </is>
      </c>
      <c r="F165" s="65" t="inlineStr">
        <is>
          <t>CMF_1980</t>
        </is>
      </c>
      <c r="G165" s="33" t="n"/>
      <c r="H165" s="124">
        <f t="array" ref="H165">IF(SUMPRODUCT(--EXACT(B165,Layers!$A$3:$A$268))=0,"No match",SUMPRODUCT(--EXACT(B165,Layers!$A$3:$A$268)))</f>
        <v/>
      </c>
    </row>
    <row r="166" ht="15.75" customHeight="1">
      <c r="A166" s="121">
        <f>F166&amp;"_"&amp;C166&amp;"_"&amp;E166</f>
        <v/>
      </c>
      <c r="B166" s="65" t="n"/>
      <c r="C166" s="65" t="inlineStr">
        <is>
          <t>BASEMENT_FLOOR</t>
        </is>
      </c>
      <c r="D166" s="33" t="n">
        <v>0</v>
      </c>
      <c r="E166" s="65" t="inlineStr">
        <is>
          <t>SKIN</t>
        </is>
      </c>
      <c r="F166" s="65" t="inlineStr">
        <is>
          <t>CMF_1980</t>
        </is>
      </c>
      <c r="G166" s="33" t="inlineStr">
        <is>
          <t>No souce found</t>
        </is>
      </c>
      <c r="H166" s="124">
        <f t="array" ref="H166">IF(SUMPRODUCT(--EXACT(B166,Layers!$A$3:$A$268))=0,"No match",SUMPRODUCT(--EXACT(B166,Layers!$A$3:$A$268)))</f>
        <v/>
      </c>
    </row>
    <row r="167" ht="15.75" customHeight="1">
      <c r="A167" s="121">
        <f>F167&amp;"_"&amp;C167&amp;"_"&amp;E167</f>
        <v/>
      </c>
      <c r="B167" s="65" t="n"/>
      <c r="C167" s="65" t="inlineStr">
        <is>
          <t>BASEMENT_FLOOR</t>
        </is>
      </c>
      <c r="D167" s="33" t="n">
        <v>0</v>
      </c>
      <c r="E167" s="65" t="inlineStr">
        <is>
          <t>STRUCTURE</t>
        </is>
      </c>
      <c r="F167" s="65" t="inlineStr">
        <is>
          <t>CMF_1980</t>
        </is>
      </c>
      <c r="G167" s="33" t="inlineStr">
        <is>
          <t>No souce found</t>
        </is>
      </c>
      <c r="H167" s="124">
        <f t="array" ref="H167">IF(SUMPRODUCT(--EXACT(B167,Layers!$A$3:$A$268))=0,"No match",SUMPRODUCT(--EXACT(B167,Layers!$A$3:$A$268)))</f>
        <v/>
      </c>
    </row>
    <row r="168" ht="15.75" customHeight="1">
      <c r="A168" s="121">
        <f>F168&amp;"_"&amp;C168&amp;"_"&amp;E168</f>
        <v/>
      </c>
      <c r="B168" s="65" t="n"/>
      <c r="C168" s="65" t="inlineStr">
        <is>
          <t>BASEMENT_FLOOR</t>
        </is>
      </c>
      <c r="D168" s="33" t="n">
        <v>0</v>
      </c>
      <c r="E168" s="65" t="inlineStr">
        <is>
          <t>SPACE</t>
        </is>
      </c>
      <c r="F168" s="65" t="inlineStr">
        <is>
          <t>CMF_1980</t>
        </is>
      </c>
      <c r="G168" s="33" t="inlineStr">
        <is>
          <t>No souce found</t>
        </is>
      </c>
      <c r="H168" s="124">
        <f t="array" ref="H168">IF(SUMPRODUCT(--EXACT(B168,Layers!$A$3:$A$268))=0,"No match",SUMPRODUCT(--EXACT(B168,Layers!$A$3:$A$268)))</f>
        <v/>
      </c>
    </row>
    <row r="169" ht="15.75" customHeight="1">
      <c r="A169" s="121">
        <f>F169&amp;"_"&amp;C169&amp;"_"&amp;E169</f>
        <v/>
      </c>
      <c r="B169" s="65" t="n"/>
      <c r="C169" s="65" t="inlineStr">
        <is>
          <t>INT_WALL_NONLOADBEARING</t>
        </is>
      </c>
      <c r="D169" s="33" t="n">
        <v>0</v>
      </c>
      <c r="E169" s="65" t="inlineStr">
        <is>
          <t>SPACE</t>
        </is>
      </c>
      <c r="F169" s="65" t="inlineStr">
        <is>
          <t>CMF_1980</t>
        </is>
      </c>
      <c r="G169" s="33" t="inlineStr">
        <is>
          <t>No souce found</t>
        </is>
      </c>
      <c r="H169" s="124">
        <f t="array" ref="H169">IF(SUMPRODUCT(--EXACT(B169,Layers!$A$3:$A$268))=0,"No match",SUMPRODUCT(--EXACT(B169,Layers!$A$3:$A$268)))</f>
        <v/>
      </c>
    </row>
    <row r="170" ht="15.75" customHeight="1">
      <c r="A170" s="121">
        <f>F170&amp;"_"&amp;C170&amp;"_"&amp;E170</f>
        <v/>
      </c>
      <c r="B170" s="65" t="n"/>
      <c r="C170" s="65" t="inlineStr">
        <is>
          <t>INT_WALL_NONLOADBEARING</t>
        </is>
      </c>
      <c r="D170" s="33" t="n">
        <v>0</v>
      </c>
      <c r="E170" s="65" t="inlineStr">
        <is>
          <t>STRUCTURE</t>
        </is>
      </c>
      <c r="F170" s="65" t="inlineStr">
        <is>
          <t>CMF_1980</t>
        </is>
      </c>
      <c r="G170" s="33" t="inlineStr">
        <is>
          <t>No souce found</t>
        </is>
      </c>
      <c r="H170" s="124">
        <f t="array" ref="H170">IF(SUMPRODUCT(--EXACT(B170,Layers!$A$3:$A$268))=0,"No match",SUMPRODUCT(--EXACT(B170,Layers!$A$3:$A$268)))</f>
        <v/>
      </c>
    </row>
    <row r="171" ht="15.75" customHeight="1">
      <c r="A171" s="121">
        <f>F171&amp;"_"&amp;C171&amp;"_"&amp;E171</f>
        <v/>
      </c>
      <c r="B171" s="65" t="n"/>
      <c r="C171" s="65" t="inlineStr">
        <is>
          <t>BASEMENT_WALL</t>
        </is>
      </c>
      <c r="D171" s="33" t="n">
        <v>0</v>
      </c>
      <c r="E171" s="65" t="inlineStr">
        <is>
          <t>SKIN</t>
        </is>
      </c>
      <c r="F171" s="65" t="inlineStr">
        <is>
          <t>CMF_1980</t>
        </is>
      </c>
      <c r="G171" s="33" t="inlineStr">
        <is>
          <t>No souce found</t>
        </is>
      </c>
      <c r="H171" s="124">
        <f t="array" ref="H171">IF(SUMPRODUCT(--EXACT(B171,Layers!$A$3:$A$268))=0,"No match",SUMPRODUCT(--EXACT(B171,Layers!$A$3:$A$268)))</f>
        <v/>
      </c>
    </row>
    <row r="172" ht="15.75" customHeight="1">
      <c r="A172" s="121">
        <f>F172&amp;"_"&amp;C172&amp;"_"&amp;E172</f>
        <v/>
      </c>
      <c r="B172" s="65" t="n"/>
      <c r="C172" s="65" t="inlineStr">
        <is>
          <t>BASEMENT_WALL</t>
        </is>
      </c>
      <c r="D172" s="33" t="n">
        <v>0</v>
      </c>
      <c r="E172" s="65" t="inlineStr">
        <is>
          <t>STRUCTURE</t>
        </is>
      </c>
      <c r="F172" s="65" t="inlineStr">
        <is>
          <t>CMF_1980</t>
        </is>
      </c>
      <c r="G172" s="33" t="inlineStr">
        <is>
          <t>No souce found</t>
        </is>
      </c>
      <c r="H172" s="124">
        <f t="array" ref="H172">IF(SUMPRODUCT(--EXACT(B172,Layers!$A$3:$A$268))=0,"No match",SUMPRODUCT(--EXACT(B172,Layers!$A$3:$A$268)))</f>
        <v/>
      </c>
    </row>
    <row r="173" ht="15.75" customHeight="1">
      <c r="A173" s="121">
        <f>F173&amp;"_"&amp;C173&amp;"_"&amp;E173</f>
        <v/>
      </c>
      <c r="B173" s="65" t="n"/>
      <c r="C173" s="65" t="inlineStr">
        <is>
          <t>BASEMENT_WALL</t>
        </is>
      </c>
      <c r="D173" s="33" t="n">
        <v>0</v>
      </c>
      <c r="E173" s="65" t="inlineStr">
        <is>
          <t>SPACE</t>
        </is>
      </c>
      <c r="F173" s="65" t="inlineStr">
        <is>
          <t>CMF_1980</t>
        </is>
      </c>
      <c r="G173" s="33" t="inlineStr">
        <is>
          <t>No souce found</t>
        </is>
      </c>
      <c r="H173" s="124">
        <f t="array" ref="H173">IF(SUMPRODUCT(--EXACT(B173,Layers!$A$3:$A$268))=0,"No match",SUMPRODUCT(--EXACT(B173,Layers!$A$3:$A$268)))</f>
        <v/>
      </c>
    </row>
    <row r="174" ht="15.75" customHeight="1">
      <c r="A174" s="121">
        <f>F174&amp;"_"&amp;C174&amp;"_"&amp;E174</f>
        <v/>
      </c>
      <c r="B174" s="65" t="n"/>
      <c r="C174" s="65" t="inlineStr">
        <is>
          <t>BASEMENT_FLOOR</t>
        </is>
      </c>
      <c r="D174" s="33" t="n">
        <v>0</v>
      </c>
      <c r="E174" s="65" t="inlineStr">
        <is>
          <t>SKIN</t>
        </is>
      </c>
      <c r="F174" s="65" t="inlineStr">
        <is>
          <t>CMF_1960_1</t>
        </is>
      </c>
      <c r="G174" s="33" t="inlineStr">
        <is>
          <t>No souce found</t>
        </is>
      </c>
      <c r="H174" s="124">
        <f t="array" ref="H174">IF(SUMPRODUCT(--EXACT(B174,Layers!$A$3:$A$268))=0,"No match",SUMPRODUCT(--EXACT(B174,Layers!$A$3:$A$268)))</f>
        <v/>
      </c>
    </row>
    <row r="175" ht="15.75" customHeight="1">
      <c r="A175" s="121">
        <f>F175&amp;"_"&amp;C175&amp;"_"&amp;E175</f>
        <v/>
      </c>
      <c r="B175" s="65" t="n"/>
      <c r="C175" s="65" t="inlineStr">
        <is>
          <t>BASEMENT_FLOOR</t>
        </is>
      </c>
      <c r="D175" s="33" t="n">
        <v>0</v>
      </c>
      <c r="E175" s="65" t="inlineStr">
        <is>
          <t>STRUCTURE</t>
        </is>
      </c>
      <c r="F175" s="65" t="inlineStr">
        <is>
          <t>CMF_1960_1</t>
        </is>
      </c>
      <c r="G175" s="33" t="inlineStr">
        <is>
          <t>No souce found</t>
        </is>
      </c>
      <c r="H175" s="124">
        <f t="array" ref="H175">IF(SUMPRODUCT(--EXACT(B175,Layers!$A$3:$A$268))=0,"No match",SUMPRODUCT(--EXACT(B175,Layers!$A$3:$A$268)))</f>
        <v/>
      </c>
    </row>
    <row r="176" ht="15.75" customHeight="1">
      <c r="A176" s="121">
        <f>F176&amp;"_"&amp;C176&amp;"_"&amp;E176</f>
        <v/>
      </c>
      <c r="B176" s="65" t="n"/>
      <c r="C176" s="65" t="inlineStr">
        <is>
          <t>BASEMENT_FLOOR</t>
        </is>
      </c>
      <c r="D176" s="33" t="n">
        <v>0</v>
      </c>
      <c r="E176" s="65" t="inlineStr">
        <is>
          <t>SPACE</t>
        </is>
      </c>
      <c r="F176" s="65" t="inlineStr">
        <is>
          <t>CMF_1960_1</t>
        </is>
      </c>
      <c r="G176" s="33" t="inlineStr">
        <is>
          <t>No souce found</t>
        </is>
      </c>
      <c r="H176" s="124">
        <f t="array" ref="H176">IF(SUMPRODUCT(--EXACT(B176,Layers!$A$3:$A$268))=0,"No match",SUMPRODUCT(--EXACT(B176,Layers!$A$3:$A$268)))</f>
        <v/>
      </c>
    </row>
    <row r="177" ht="15.75" customHeight="1">
      <c r="A177" s="121">
        <f>F177&amp;"_"&amp;C177&amp;"_"&amp;E177</f>
        <v/>
      </c>
      <c r="B177" s="65" t="n"/>
      <c r="C177" s="65" t="inlineStr">
        <is>
          <t>BASEMENT_WALL</t>
        </is>
      </c>
      <c r="D177" s="33" t="n">
        <v>0</v>
      </c>
      <c r="E177" s="65" t="inlineStr">
        <is>
          <t>SKIN</t>
        </is>
      </c>
      <c r="F177" s="65" t="inlineStr">
        <is>
          <t>CMF_1960_1</t>
        </is>
      </c>
      <c r="G177" s="33" t="inlineStr">
        <is>
          <t>No souce found</t>
        </is>
      </c>
      <c r="H177" s="124">
        <f t="array" ref="H177">IF(SUMPRODUCT(--EXACT(B177,Layers!$A$3:$A$268))=0,"No match",SUMPRODUCT(--EXACT(B177,Layers!$A$3:$A$268)))</f>
        <v/>
      </c>
    </row>
    <row r="178" ht="15.75" customHeight="1">
      <c r="A178" s="121">
        <f>F178&amp;"_"&amp;C178&amp;"_"&amp;E178</f>
        <v/>
      </c>
      <c r="B178" s="65" t="n"/>
      <c r="C178" s="65" t="inlineStr">
        <is>
          <t>BASEMENT_WALL</t>
        </is>
      </c>
      <c r="D178" s="33" t="n">
        <v>0</v>
      </c>
      <c r="E178" s="65" t="inlineStr">
        <is>
          <t>STRUCTURE</t>
        </is>
      </c>
      <c r="F178" s="65" t="inlineStr">
        <is>
          <t>CMF_1960_1</t>
        </is>
      </c>
      <c r="G178" s="33" t="inlineStr">
        <is>
          <t>No souce found</t>
        </is>
      </c>
      <c r="H178" s="124">
        <f t="array" ref="H178">IF(SUMPRODUCT(--EXACT(B178,Layers!$A$3:$A$268))=0,"No match",SUMPRODUCT(--EXACT(B178,Layers!$A$3:$A$268)))</f>
        <v/>
      </c>
    </row>
    <row r="179" ht="15.75" customHeight="1">
      <c r="A179" s="121">
        <f>F179&amp;"_"&amp;C179&amp;"_"&amp;E179</f>
        <v/>
      </c>
      <c r="B179" s="65" t="n"/>
      <c r="C179" s="65" t="inlineStr">
        <is>
          <t>BASEMENT_WALL</t>
        </is>
      </c>
      <c r="D179" s="33" t="n">
        <v>0</v>
      </c>
      <c r="E179" s="65" t="inlineStr">
        <is>
          <t>SPACE</t>
        </is>
      </c>
      <c r="F179" s="65" t="inlineStr">
        <is>
          <t>CMF_1960_1</t>
        </is>
      </c>
      <c r="G179" s="33" t="inlineStr">
        <is>
          <t>No souce found</t>
        </is>
      </c>
      <c r="H179" s="124">
        <f t="array" ref="H179">IF(SUMPRODUCT(--EXACT(B179,Layers!$A$3:$A$268))=0,"No match",SUMPRODUCT(--EXACT(B179,Layers!$A$3:$A$268)))</f>
        <v/>
      </c>
    </row>
    <row r="180" ht="15.75" customHeight="1">
      <c r="A180" s="29">
        <f>F180&amp;"_"&amp;C180&amp;"_"&amp;E180</f>
        <v/>
      </c>
      <c r="B180" s="29" t="inlineStr">
        <is>
          <t>CELLULAR_PLASTIC_085_S</t>
        </is>
      </c>
      <c r="C180" s="29" t="inlineStr">
        <is>
          <t>GROUND_FLOOR</t>
        </is>
      </c>
      <c r="D180" s="29" t="n">
        <v>1</v>
      </c>
      <c r="E180" s="29" t="inlineStr">
        <is>
          <t>SKIN</t>
        </is>
      </c>
      <c r="F180" s="29" t="inlineStr">
        <is>
          <t>CMF_1960_1</t>
        </is>
      </c>
      <c r="G180" s="29" t="inlineStr">
        <is>
          <t>85mm XPS insulation under slab. Added to match BETSI/TABULA U=0.26</t>
        </is>
      </c>
      <c r="H180">
        <f>COUNTIF(Layers!$A$3:$A$308,B180)</f>
        <v/>
      </c>
    </row>
    <row r="181" ht="15.75" customHeight="1">
      <c r="A181" s="29" t="n"/>
      <c r="B181" s="29" t="n"/>
      <c r="C181" s="29" t="n"/>
      <c r="D181" s="29" t="n"/>
      <c r="E181" s="29" t="n"/>
      <c r="F181" s="29" t="n"/>
      <c r="G181" s="29" t="n"/>
    </row>
    <row r="182" ht="15.75" customHeight="1">
      <c r="A182" s="29" t="n"/>
      <c r="B182" s="29" t="n"/>
      <c r="C182" s="29" t="n"/>
      <c r="D182" s="29" t="n"/>
      <c r="E182" s="29" t="n"/>
      <c r="F182" s="29" t="n"/>
      <c r="G182" s="29" t="n"/>
    </row>
    <row r="183" ht="15.75" customHeight="1">
      <c r="A183" s="29" t="n"/>
      <c r="B183" s="29" t="n"/>
      <c r="C183" s="29" t="n"/>
      <c r="D183" s="29" t="n"/>
      <c r="E183" s="29" t="n"/>
      <c r="F183" s="29" t="n"/>
      <c r="G183" s="29" t="n"/>
    </row>
    <row r="184" ht="15.75" customHeight="1">
      <c r="A184" s="29" t="n"/>
      <c r="B184" s="29" t="n"/>
      <c r="C184" s="29" t="n"/>
      <c r="D184" s="29" t="n"/>
      <c r="E184" s="29" t="n"/>
      <c r="F184" s="29" t="n"/>
      <c r="G184" s="29" t="n"/>
    </row>
    <row r="185" ht="15.75" customHeight="1">
      <c r="A185" s="29" t="n"/>
      <c r="B185" s="29" t="n"/>
      <c r="C185" s="29" t="n"/>
      <c r="D185" s="29" t="n"/>
      <c r="E185" s="29" t="n"/>
      <c r="F185" s="29" t="n"/>
      <c r="G185" s="29" t="n"/>
    </row>
    <row r="186" ht="15.75" customHeight="1">
      <c r="A186" s="29" t="n"/>
      <c r="B186" s="29" t="n"/>
      <c r="C186" s="29" t="n"/>
      <c r="D186" s="29" t="n"/>
      <c r="E186" s="29" t="n"/>
      <c r="F186" s="29" t="n"/>
      <c r="G186" s="29" t="n"/>
    </row>
    <row r="187" ht="15.75" customHeight="1">
      <c r="A187" s="29" t="n"/>
      <c r="B187" s="29" t="n"/>
      <c r="C187" s="29" t="n"/>
      <c r="D187" s="29" t="n"/>
      <c r="E187" s="29" t="n"/>
      <c r="F187" s="29" t="n"/>
      <c r="G187" s="29" t="n"/>
    </row>
    <row r="188" ht="15.75" customHeight="1">
      <c r="A188" s="29" t="n"/>
      <c r="B188" s="29" t="n"/>
      <c r="C188" s="29" t="n"/>
      <c r="D188" s="29" t="n"/>
      <c r="E188" s="29" t="n"/>
      <c r="F188" s="29" t="n"/>
      <c r="G188" s="29" t="n"/>
    </row>
    <row r="189" ht="15.75" customHeight="1">
      <c r="A189" s="29" t="n"/>
      <c r="B189" s="29" t="n"/>
      <c r="C189" s="29" t="n"/>
      <c r="D189" s="29" t="n"/>
      <c r="E189" s="29" t="n"/>
      <c r="F189" s="29" t="n"/>
      <c r="G189" s="29" t="n"/>
    </row>
    <row r="190" ht="15.75" customHeight="1">
      <c r="A190" s="29" t="n"/>
      <c r="B190" s="29" t="n"/>
      <c r="C190" s="29" t="n"/>
      <c r="D190" s="29" t="n"/>
      <c r="E190" s="29" t="n"/>
      <c r="F190" s="29" t="n"/>
      <c r="G190" s="29" t="n"/>
    </row>
    <row r="191" ht="15.75" customHeight="1">
      <c r="A191" s="29" t="n"/>
      <c r="B191" s="29" t="n"/>
      <c r="C191" s="29" t="n"/>
      <c r="D191" s="29" t="n"/>
      <c r="E191" s="29" t="n"/>
      <c r="F191" s="29" t="n"/>
      <c r="G191" s="29" t="n"/>
    </row>
    <row r="192" ht="15.75" customHeight="1">
      <c r="A192" s="29" t="n"/>
      <c r="B192" s="29" t="n"/>
      <c r="C192" s="29" t="n"/>
      <c r="D192" s="29" t="n"/>
      <c r="E192" s="29" t="n"/>
      <c r="F192" s="29" t="n"/>
      <c r="G192" s="29" t="n"/>
    </row>
    <row r="193" ht="15.75" customHeight="1">
      <c r="A193" s="29" t="n"/>
      <c r="B193" s="29" t="n"/>
      <c r="C193" s="29" t="n"/>
      <c r="D193" s="29" t="n"/>
      <c r="E193" s="29" t="n"/>
      <c r="F193" s="29" t="n"/>
      <c r="G193" s="29" t="n"/>
    </row>
    <row r="194" ht="15.75" customHeight="1">
      <c r="A194" s="29" t="n"/>
      <c r="B194" s="29" t="n"/>
      <c r="C194" s="29" t="n"/>
      <c r="D194" s="29" t="n"/>
      <c r="E194" s="29" t="n"/>
      <c r="F194" s="29" t="n"/>
      <c r="G194" s="29" t="n"/>
    </row>
    <row r="195" ht="15.75" customHeight="1">
      <c r="A195" s="29" t="n"/>
      <c r="B195" s="29" t="n"/>
      <c r="C195" s="29" t="n"/>
      <c r="D195" s="29" t="n"/>
      <c r="E195" s="29" t="n"/>
      <c r="F195" s="29" t="n"/>
      <c r="G195" s="29" t="n"/>
    </row>
    <row r="196" ht="15.75" customHeight="1">
      <c r="A196" s="29" t="n"/>
      <c r="B196" s="29" t="n"/>
      <c r="C196" s="29" t="n"/>
      <c r="D196" s="29" t="n"/>
      <c r="E196" s="29" t="n"/>
      <c r="F196" s="29" t="n"/>
      <c r="G196" s="29" t="n"/>
    </row>
    <row r="197" ht="15.75" customHeight="1">
      <c r="A197" s="29" t="n"/>
      <c r="B197" s="29" t="n"/>
      <c r="C197" s="29" t="n"/>
      <c r="D197" s="29" t="n"/>
      <c r="E197" s="29" t="n"/>
      <c r="F197" s="29" t="n"/>
      <c r="G197" s="29" t="n"/>
    </row>
    <row r="198" ht="15.75" customHeight="1">
      <c r="A198" s="29" t="n"/>
      <c r="B198" s="29" t="n"/>
      <c r="C198" s="29" t="n"/>
      <c r="D198" s="29" t="n"/>
      <c r="E198" s="29" t="n"/>
      <c r="F198" s="29" t="n"/>
      <c r="G198" s="29" t="n"/>
    </row>
    <row r="199" ht="15.75" customHeight="1">
      <c r="A199" s="29" t="n"/>
      <c r="B199" s="29" t="n"/>
      <c r="C199" s="29" t="n"/>
      <c r="D199" s="29" t="n"/>
      <c r="E199" s="29" t="n"/>
      <c r="F199" s="29" t="n"/>
      <c r="G199" s="29" t="n"/>
    </row>
    <row r="200" ht="15.75" customHeight="1">
      <c r="A200" s="29" t="n"/>
      <c r="B200" s="29" t="n"/>
      <c r="C200" s="29" t="n"/>
      <c r="D200" s="29" t="n"/>
      <c r="E200" s="29" t="n"/>
      <c r="F200" s="29" t="n"/>
      <c r="G200" s="29" t="n"/>
    </row>
    <row r="201" ht="15.75" customHeight="1">
      <c r="A201" s="29" t="n"/>
      <c r="B201" s="29" t="n"/>
      <c r="C201" s="29" t="n"/>
      <c r="D201" s="29" t="n"/>
      <c r="E201" s="29" t="n"/>
      <c r="F201" s="29" t="n"/>
      <c r="G201" s="29" t="n"/>
    </row>
    <row r="202" ht="15.75" customHeight="1">
      <c r="A202" s="29" t="n"/>
      <c r="B202" s="29" t="n"/>
      <c r="C202" s="29" t="n"/>
      <c r="D202" s="29" t="n"/>
      <c r="E202" s="29" t="n"/>
      <c r="F202" s="29" t="n"/>
      <c r="G202" s="29" t="n"/>
    </row>
    <row r="203" ht="15.75" customHeight="1">
      <c r="A203" s="29" t="n"/>
      <c r="B203" s="29" t="n"/>
      <c r="C203" s="29" t="n"/>
      <c r="D203" s="29" t="n"/>
      <c r="E203" s="29" t="n"/>
      <c r="F203" s="29" t="n"/>
      <c r="G203" s="29" t="n"/>
    </row>
    <row r="204" ht="15.75" customHeight="1">
      <c r="A204" s="29" t="n"/>
      <c r="B204" s="29" t="n"/>
      <c r="C204" s="29" t="n"/>
      <c r="D204" s="29" t="n"/>
      <c r="E204" s="29" t="n"/>
      <c r="F204" s="29" t="n"/>
      <c r="G204" s="29" t="n"/>
    </row>
    <row r="205" ht="15.75" customHeight="1">
      <c r="A205" s="29" t="n"/>
      <c r="B205" s="29" t="n"/>
      <c r="C205" s="29" t="n"/>
      <c r="D205" s="29" t="n"/>
      <c r="E205" s="29" t="n"/>
      <c r="F205" s="29" t="n"/>
      <c r="G205" s="29" t="n"/>
    </row>
    <row r="206" ht="15.75" customHeight="1">
      <c r="A206" s="29" t="n"/>
      <c r="B206" s="29" t="n"/>
      <c r="C206" s="29" t="n"/>
      <c r="D206" s="29" t="n"/>
      <c r="E206" s="29" t="n"/>
      <c r="F206" s="29" t="n"/>
      <c r="G206" s="29" t="n"/>
    </row>
    <row r="207" ht="15.75" customHeight="1">
      <c r="A207" s="29" t="n"/>
      <c r="B207" s="29" t="n"/>
      <c r="C207" s="29" t="n"/>
      <c r="D207" s="29" t="n"/>
      <c r="E207" s="29" t="n"/>
      <c r="F207" s="29" t="n"/>
      <c r="G207" s="29" t="n"/>
    </row>
    <row r="208" ht="15.75" customHeight="1">
      <c r="A208" s="29" t="n"/>
      <c r="B208" s="29" t="n"/>
      <c r="C208" s="29" t="n"/>
      <c r="D208" s="29" t="n"/>
      <c r="E208" s="29" t="n"/>
      <c r="F208" s="29" t="n"/>
      <c r="G208" s="29" t="n"/>
    </row>
    <row r="209" ht="15.75" customHeight="1">
      <c r="A209" s="29" t="n"/>
      <c r="B209" s="29" t="n"/>
      <c r="C209" s="29" t="n"/>
      <c r="D209" s="29" t="n"/>
      <c r="E209" s="29" t="n"/>
      <c r="F209" s="29" t="n"/>
      <c r="G209" s="29" t="n"/>
    </row>
    <row r="210" ht="15.75" customHeight="1">
      <c r="A210" s="29" t="n"/>
      <c r="B210" s="29" t="n"/>
      <c r="C210" s="29" t="n"/>
      <c r="D210" s="29" t="n"/>
      <c r="E210" s="29" t="n"/>
      <c r="F210" s="29" t="n"/>
      <c r="G210" s="29" t="n"/>
    </row>
    <row r="211" ht="15.75" customHeight="1">
      <c r="A211" s="29" t="n"/>
      <c r="B211" s="29" t="n"/>
      <c r="C211" s="29" t="n"/>
      <c r="D211" s="29" t="n"/>
      <c r="E211" s="29" t="n"/>
      <c r="F211" s="29" t="n"/>
      <c r="G211" s="29" t="n"/>
    </row>
    <row r="212" ht="15.75" customHeight="1">
      <c r="A212" s="29" t="n"/>
      <c r="B212" s="29" t="n"/>
      <c r="C212" s="29" t="n"/>
      <c r="D212" s="29" t="n"/>
      <c r="E212" s="29" t="n"/>
      <c r="F212" s="29" t="n"/>
      <c r="G212" s="29" t="n"/>
    </row>
    <row r="213" ht="15.75" customHeight="1">
      <c r="A213" s="29" t="n"/>
      <c r="B213" s="29" t="n"/>
      <c r="C213" s="29" t="n"/>
      <c r="D213" s="29" t="n"/>
      <c r="E213" s="29" t="n"/>
      <c r="F213" s="29" t="n"/>
      <c r="G213" s="29" t="n"/>
    </row>
    <row r="214" ht="15.75" customHeight="1">
      <c r="A214" s="29" t="n"/>
      <c r="B214" s="29" t="n"/>
      <c r="C214" s="29" t="n"/>
      <c r="D214" s="29" t="n"/>
      <c r="E214" s="29" t="n"/>
      <c r="F214" s="29" t="n"/>
      <c r="G214" s="29" t="n"/>
    </row>
    <row r="215" ht="15.75" customHeight="1">
      <c r="A215" s="29" t="n"/>
      <c r="B215" s="29" t="n"/>
      <c r="C215" s="29" t="n"/>
      <c r="D215" s="29" t="n"/>
      <c r="E215" s="29" t="n"/>
      <c r="F215" s="29" t="n"/>
      <c r="G215" s="29" t="n"/>
    </row>
    <row r="216" ht="15.75" customHeight="1">
      <c r="A216" s="29" t="n"/>
      <c r="B216" s="29" t="n"/>
      <c r="C216" s="29" t="n"/>
      <c r="D216" s="29" t="n"/>
      <c r="E216" s="29" t="n"/>
      <c r="F216" s="29" t="n"/>
      <c r="G216" s="29" t="n"/>
    </row>
    <row r="217" ht="15.75" customHeight="1">
      <c r="A217" s="29" t="n"/>
      <c r="B217" s="29" t="n"/>
      <c r="C217" s="29" t="n"/>
      <c r="D217" s="29" t="n"/>
      <c r="E217" s="29" t="n"/>
      <c r="F217" s="29" t="n"/>
      <c r="G217" s="29" t="n"/>
    </row>
    <row r="218" ht="15.75" customHeight="1">
      <c r="A218" s="29" t="n"/>
      <c r="B218" s="29" t="n"/>
      <c r="C218" s="29" t="n"/>
      <c r="D218" s="29" t="n"/>
      <c r="E218" s="29" t="n"/>
      <c r="F218" s="29" t="n"/>
      <c r="G218" s="29" t="n"/>
    </row>
    <row r="219" ht="15.75" customHeight="1">
      <c r="B219" s="29" t="n"/>
      <c r="C219" s="29" t="n"/>
      <c r="D219" s="29" t="n"/>
      <c r="E219" s="29" t="n"/>
      <c r="F219" s="29" t="n"/>
      <c r="G219" s="29" t="n"/>
    </row>
    <row r="220" ht="15.75" customHeight="1">
      <c r="B220" s="29" t="n"/>
      <c r="C220" s="29" t="n"/>
      <c r="D220" s="29" t="n"/>
      <c r="E220" s="29" t="n"/>
      <c r="F220" s="29" t="n"/>
      <c r="G220" s="29" t="n"/>
    </row>
    <row r="221" ht="15.75" customHeight="1">
      <c r="B221" s="29" t="n"/>
      <c r="C221" s="29" t="n"/>
      <c r="D221" s="29" t="n"/>
      <c r="E221" s="29" t="n"/>
      <c r="F221" s="29" t="n"/>
      <c r="G221" s="29" t="n"/>
    </row>
    <row r="222" ht="15.75" customHeight="1">
      <c r="B222" s="29" t="n"/>
      <c r="C222" s="29" t="n"/>
      <c r="D222" s="29" t="n"/>
      <c r="E222" s="29" t="n"/>
      <c r="F222" s="29" t="n"/>
      <c r="G222" s="29" t="n"/>
    </row>
    <row r="223" ht="15.75" customHeight="1">
      <c r="B223" s="29" t="n"/>
      <c r="C223" s="29" t="n"/>
      <c r="D223" s="29" t="n"/>
      <c r="E223" s="29" t="n"/>
      <c r="F223" s="29" t="n"/>
      <c r="G223" s="29" t="n"/>
    </row>
    <row r="224" ht="15.75" customHeight="1">
      <c r="B224" s="29" t="n"/>
      <c r="C224" s="29" t="n"/>
      <c r="D224" s="29" t="n"/>
      <c r="E224" s="29" t="n"/>
      <c r="F224" s="29" t="n"/>
      <c r="G224" s="29" t="n"/>
    </row>
    <row r="225" ht="15.75" customHeight="1">
      <c r="B225" s="29" t="n"/>
      <c r="C225" s="29" t="n"/>
      <c r="D225" s="29" t="n"/>
      <c r="E225" s="29" t="n"/>
      <c r="F225" s="29" t="n"/>
      <c r="G225" s="29" t="n"/>
    </row>
    <row r="226" ht="15.75" customHeight="1">
      <c r="B226" s="29" t="n"/>
      <c r="C226" s="29" t="n"/>
      <c r="D226" s="29" t="n"/>
      <c r="E226" s="29" t="n"/>
      <c r="F226" s="29" t="n"/>
      <c r="G226" s="29" t="n"/>
    </row>
    <row r="227" ht="15.75" customHeight="1">
      <c r="B227" s="29" t="n"/>
      <c r="C227" s="29" t="n"/>
      <c r="D227" s="29" t="n"/>
      <c r="E227" s="29" t="n"/>
      <c r="F227" s="29" t="n"/>
      <c r="G227" s="29" t="n"/>
    </row>
    <row r="228" ht="15.75" customHeight="1">
      <c r="B228" s="29" t="n"/>
      <c r="C228" s="29" t="n"/>
      <c r="D228" s="29" t="n"/>
      <c r="E228" s="29" t="n"/>
      <c r="F228" s="29" t="n"/>
      <c r="G228" s="29" t="n"/>
    </row>
    <row r="229" ht="15.75" customHeight="1">
      <c r="B229" s="29" t="n"/>
      <c r="C229" s="29" t="n"/>
      <c r="D229" s="29" t="n"/>
      <c r="E229" s="29" t="n"/>
      <c r="F229" s="29" t="n"/>
      <c r="G229" s="29" t="n"/>
    </row>
    <row r="230" ht="15.75" customHeight="1">
      <c r="B230" s="29" t="n"/>
      <c r="C230" s="29" t="n"/>
      <c r="D230" s="29" t="n"/>
      <c r="E230" s="29" t="n"/>
      <c r="F230" s="29" t="n"/>
      <c r="G230" s="29" t="n"/>
    </row>
    <row r="231" ht="15.75" customHeight="1">
      <c r="B231" s="29" t="n"/>
      <c r="C231" s="29" t="n"/>
      <c r="D231" s="29" t="n"/>
      <c r="E231" s="29" t="n"/>
      <c r="F231" s="29" t="n"/>
      <c r="G231" s="29" t="n"/>
    </row>
    <row r="232" ht="15.75" customHeight="1">
      <c r="B232" s="29" t="n"/>
      <c r="C232" s="29" t="n"/>
      <c r="D232" s="29" t="n"/>
      <c r="E232" s="29" t="n"/>
      <c r="F232" s="29" t="n"/>
      <c r="G232" s="29" t="n"/>
    </row>
    <row r="233" ht="15.75" customHeight="1">
      <c r="B233" s="29" t="n"/>
      <c r="C233" s="29" t="n"/>
      <c r="D233" s="29" t="n"/>
      <c r="E233" s="29" t="n"/>
      <c r="F233" s="29" t="n"/>
      <c r="G233" s="29" t="n"/>
    </row>
    <row r="234" ht="15.75" customHeight="1">
      <c r="B234" s="29" t="n"/>
      <c r="C234" s="29" t="n"/>
      <c r="D234" s="29" t="n"/>
      <c r="E234" s="29" t="n"/>
      <c r="F234" s="29" t="n"/>
      <c r="G234" s="29" t="n"/>
    </row>
    <row r="235" ht="15.75" customHeight="1">
      <c r="B235" s="29" t="n"/>
      <c r="C235" s="29" t="n"/>
      <c r="D235" s="29" t="n"/>
      <c r="E235" s="29" t="n"/>
      <c r="F235" s="29" t="n"/>
      <c r="G235" s="29" t="n"/>
    </row>
    <row r="236" ht="15.75" customHeight="1">
      <c r="B236" s="29" t="n"/>
      <c r="C236" s="29" t="n"/>
      <c r="D236" s="29" t="n"/>
      <c r="E236" s="29" t="n"/>
      <c r="F236" s="29" t="n"/>
      <c r="G236" s="29" t="n"/>
    </row>
    <row r="237" ht="15.75" customHeight="1">
      <c r="B237" s="29" t="n"/>
      <c r="C237" s="29" t="n"/>
      <c r="D237" s="29" t="n"/>
      <c r="E237" s="29" t="n"/>
      <c r="F237" s="29" t="n"/>
      <c r="G237" s="29" t="n"/>
    </row>
    <row r="238" ht="15.75" customHeight="1">
      <c r="B238" s="29" t="n"/>
      <c r="C238" s="29" t="n"/>
      <c r="D238" s="29" t="n"/>
      <c r="E238" s="29" t="n"/>
      <c r="F238" s="29" t="n"/>
      <c r="G238" s="29" t="n"/>
    </row>
    <row r="239" ht="15.75" customHeight="1">
      <c r="B239" s="29" t="n"/>
      <c r="C239" s="29" t="n"/>
      <c r="D239" s="29" t="n"/>
      <c r="E239" s="29" t="n"/>
      <c r="F239" s="29" t="n"/>
      <c r="G239" s="29" t="n"/>
    </row>
    <row r="240" ht="15.75" customHeight="1">
      <c r="B240" s="29" t="n"/>
      <c r="C240" s="29" t="n"/>
      <c r="D240" s="29" t="n"/>
      <c r="E240" s="29" t="n"/>
      <c r="F240" s="29" t="n"/>
      <c r="G240" s="29" t="n"/>
    </row>
    <row r="241" ht="15.75" customHeight="1">
      <c r="B241" s="29" t="n"/>
      <c r="C241" s="29" t="n"/>
      <c r="D241" s="29" t="n"/>
      <c r="E241" s="29" t="n"/>
      <c r="F241" s="29" t="n"/>
      <c r="G241" s="29" t="n"/>
    </row>
    <row r="242" ht="15.75" customHeight="1">
      <c r="B242" s="29" t="n"/>
      <c r="C242" s="29" t="n"/>
      <c r="D242" s="29" t="n"/>
      <c r="E242" s="29" t="n"/>
      <c r="F242" s="29" t="n"/>
      <c r="G242" s="29" t="n"/>
    </row>
    <row r="243" ht="15.75" customHeight="1">
      <c r="B243" s="29" t="n"/>
      <c r="C243" s="29" t="n"/>
      <c r="D243" s="29" t="n"/>
      <c r="E243" s="29" t="n"/>
      <c r="F243" s="29" t="n"/>
      <c r="G243" s="29" t="n"/>
    </row>
    <row r="244" ht="15.75" customHeight="1">
      <c r="B244" s="29" t="n"/>
      <c r="C244" s="29" t="n"/>
      <c r="D244" s="29" t="n"/>
      <c r="E244" s="29" t="n"/>
      <c r="F244" s="29" t="n"/>
      <c r="G244" s="29" t="n"/>
    </row>
    <row r="245" ht="15.75" customHeight="1">
      <c r="B245" s="29" t="n"/>
      <c r="C245" s="29" t="n"/>
      <c r="D245" s="29" t="n"/>
      <c r="E245" s="29" t="n"/>
      <c r="F245" s="29" t="n"/>
      <c r="G245" s="29" t="n"/>
    </row>
    <row r="246" ht="15.75" customHeight="1">
      <c r="B246" s="29" t="n"/>
      <c r="C246" s="29" t="n"/>
      <c r="D246" s="29" t="n"/>
      <c r="E246" s="29" t="n"/>
      <c r="F246" s="29" t="n"/>
      <c r="G246" s="29" t="n"/>
    </row>
    <row r="247" ht="15.75" customHeight="1">
      <c r="B247" s="29" t="n"/>
      <c r="C247" s="29" t="n"/>
      <c r="D247" s="29" t="n"/>
      <c r="E247" s="29" t="n"/>
      <c r="F247" s="29" t="n"/>
      <c r="G247" s="29" t="n"/>
    </row>
    <row r="248" ht="15.75" customHeight="1">
      <c r="B248" s="29" t="n"/>
      <c r="C248" s="29" t="n"/>
      <c r="D248" s="29" t="n"/>
      <c r="E248" s="29" t="n"/>
      <c r="F248" s="29" t="n"/>
      <c r="G248" s="29" t="n"/>
    </row>
    <row r="249" ht="15.75" customHeight="1">
      <c r="B249" s="29" t="n"/>
      <c r="C249" s="29" t="n"/>
      <c r="D249" s="29" t="n"/>
      <c r="E249" s="29" t="n"/>
      <c r="F249" s="29" t="n"/>
      <c r="G249" s="29" t="n"/>
    </row>
    <row r="250" ht="15.75" customHeight="1">
      <c r="B250" s="29" t="n"/>
      <c r="C250" s="29" t="n"/>
      <c r="D250" s="29" t="n"/>
      <c r="E250" s="29" t="n"/>
      <c r="F250" s="29" t="n"/>
      <c r="G250" s="29" t="n"/>
    </row>
    <row r="251" ht="15.75" customHeight="1">
      <c r="B251" s="29" t="n"/>
      <c r="C251" s="29" t="n"/>
      <c r="D251" s="29" t="n"/>
      <c r="E251" s="29" t="n"/>
      <c r="F251" s="29" t="n"/>
      <c r="G251" s="29" t="n"/>
    </row>
    <row r="252" ht="15.75" customHeight="1">
      <c r="B252" s="29" t="n"/>
      <c r="C252" s="29" t="n"/>
      <c r="D252" s="29" t="n"/>
      <c r="E252" s="29" t="n"/>
      <c r="F252" s="29" t="n"/>
      <c r="G252" s="29" t="n"/>
    </row>
    <row r="253" ht="15.75" customHeight="1">
      <c r="B253" s="29" t="n"/>
      <c r="C253" s="29" t="n"/>
      <c r="D253" s="29" t="n"/>
      <c r="E253" s="29" t="n"/>
      <c r="F253" s="29" t="n"/>
      <c r="G253" s="29" t="n"/>
    </row>
    <row r="254" ht="15.75" customHeight="1">
      <c r="B254" s="29" t="n"/>
      <c r="C254" s="29" t="n"/>
      <c r="D254" s="29" t="n"/>
      <c r="E254" s="29" t="n"/>
      <c r="F254" s="29" t="n"/>
      <c r="G254" s="29" t="n"/>
    </row>
    <row r="255" ht="15.75" customHeight="1">
      <c r="B255" s="29" t="n"/>
      <c r="C255" s="29" t="n"/>
      <c r="D255" s="29" t="n"/>
      <c r="E255" s="29" t="n"/>
      <c r="F255" s="29" t="n"/>
      <c r="G255" s="29" t="n"/>
    </row>
    <row r="256" ht="15.75" customHeight="1">
      <c r="B256" s="29" t="n"/>
      <c r="C256" s="29" t="n"/>
      <c r="D256" s="29" t="n"/>
      <c r="E256" s="29" t="n"/>
      <c r="F256" s="29" t="n"/>
      <c r="G256" s="29" t="n"/>
    </row>
    <row r="257" ht="15.75" customHeight="1">
      <c r="B257" s="29" t="n"/>
      <c r="C257" s="29" t="n"/>
      <c r="D257" s="29" t="n"/>
      <c r="E257" s="29" t="n"/>
      <c r="F257" s="29" t="n"/>
      <c r="G257" s="29" t="n"/>
    </row>
    <row r="258" ht="15.75" customHeight="1">
      <c r="B258" s="29" t="n"/>
      <c r="C258" s="29" t="n"/>
      <c r="D258" s="29" t="n"/>
      <c r="E258" s="29" t="n"/>
      <c r="F258" s="29" t="n"/>
      <c r="G258" s="29" t="n"/>
    </row>
    <row r="259" ht="15.75" customHeight="1">
      <c r="B259" s="29" t="n"/>
      <c r="C259" s="29" t="n"/>
      <c r="D259" s="29" t="n"/>
      <c r="E259" s="29" t="n"/>
      <c r="F259" s="29" t="n"/>
      <c r="G259" s="29" t="n"/>
    </row>
    <row r="260" ht="15.75" customHeight="1">
      <c r="B260" s="29" t="n"/>
      <c r="C260" s="29" t="n"/>
      <c r="D260" s="29" t="n"/>
      <c r="E260" s="29" t="n"/>
      <c r="F260" s="29" t="n"/>
      <c r="G260" s="29" t="n"/>
    </row>
    <row r="261" ht="15.75" customHeight="1">
      <c r="B261" s="29" t="n"/>
      <c r="C261" s="29" t="n"/>
      <c r="D261" s="29" t="n"/>
      <c r="E261" s="29" t="n"/>
      <c r="F261" s="29" t="n"/>
      <c r="G261" s="29" t="n"/>
    </row>
    <row r="262" ht="15.75" customHeight="1">
      <c r="B262" s="29" t="n"/>
      <c r="C262" s="29" t="n"/>
      <c r="D262" s="29" t="n"/>
      <c r="E262" s="29" t="n"/>
      <c r="F262" s="29" t="n"/>
      <c r="G262" s="29" t="n"/>
    </row>
    <row r="263" ht="15.75" customHeight="1">
      <c r="B263" s="29" t="n"/>
      <c r="C263" s="29" t="n"/>
      <c r="D263" s="29" t="n"/>
      <c r="E263" s="29" t="n"/>
      <c r="F263" s="29" t="n"/>
      <c r="G263" s="29" t="n"/>
    </row>
    <row r="264" ht="15.75" customHeight="1">
      <c r="B264" s="29" t="n"/>
      <c r="C264" s="29" t="n"/>
      <c r="D264" s="29" t="n"/>
      <c r="E264" s="29" t="n"/>
      <c r="F264" s="29" t="n"/>
      <c r="G264" s="29" t="n"/>
    </row>
    <row r="265" ht="15.75" customHeight="1">
      <c r="B265" s="29" t="n"/>
      <c r="C265" s="29" t="n"/>
      <c r="D265" s="29" t="n"/>
      <c r="E265" s="29" t="n"/>
      <c r="F265" s="29" t="n"/>
      <c r="G265" s="29" t="n"/>
    </row>
    <row r="266" ht="15.75" customHeight="1">
      <c r="B266" s="29" t="n"/>
      <c r="C266" s="29" t="n"/>
      <c r="D266" s="29" t="n"/>
      <c r="E266" s="29" t="n"/>
      <c r="F266" s="29" t="n"/>
      <c r="G266" s="29" t="n"/>
    </row>
    <row r="267" ht="15.75" customHeight="1">
      <c r="B267" s="29" t="n"/>
      <c r="C267" s="29" t="n"/>
      <c r="D267" s="29" t="n"/>
      <c r="E267" s="29" t="n"/>
      <c r="F267" s="29" t="n"/>
      <c r="G267" s="29" t="n"/>
    </row>
    <row r="268" ht="15.75" customHeight="1">
      <c r="B268" s="29" t="n"/>
      <c r="C268" s="29" t="n"/>
      <c r="D268" s="29" t="n"/>
      <c r="E268" s="29" t="n"/>
      <c r="F268" s="29" t="n"/>
      <c r="G268" s="29" t="n"/>
    </row>
    <row r="269" ht="15.75" customHeight="1">
      <c r="B269" s="29" t="n"/>
      <c r="C269" s="29" t="n"/>
      <c r="D269" s="29" t="n"/>
      <c r="E269" s="29" t="n"/>
      <c r="F269" s="29" t="n"/>
      <c r="G269" s="29" t="n"/>
    </row>
    <row r="270" ht="15.75" customHeight="1">
      <c r="B270" s="29" t="n"/>
      <c r="C270" s="29" t="n"/>
      <c r="D270" s="29" t="n"/>
      <c r="E270" s="29" t="n"/>
      <c r="F270" s="29" t="n"/>
      <c r="G270" s="29" t="n"/>
    </row>
    <row r="271" ht="15.75" customHeight="1">
      <c r="B271" s="29" t="n"/>
      <c r="C271" s="29" t="n"/>
      <c r="D271" s="29" t="n"/>
      <c r="E271" s="29" t="n"/>
      <c r="F271" s="29" t="n"/>
      <c r="G271" s="29" t="n"/>
    </row>
    <row r="272" ht="15.75" customHeight="1">
      <c r="B272" s="29" t="n"/>
      <c r="C272" s="29" t="n"/>
      <c r="D272" s="29" t="n"/>
      <c r="E272" s="29" t="n"/>
      <c r="F272" s="29" t="n"/>
      <c r="G272" s="29" t="n"/>
    </row>
    <row r="273" ht="15.75" customHeight="1">
      <c r="B273" s="29" t="n"/>
      <c r="C273" s="29" t="n"/>
      <c r="D273" s="29" t="n"/>
      <c r="E273" s="29" t="n"/>
      <c r="F273" s="29" t="n"/>
      <c r="G273" s="29" t="n"/>
    </row>
    <row r="274" ht="15.75" customHeight="1">
      <c r="B274" s="29" t="n"/>
      <c r="C274" s="29" t="n"/>
      <c r="D274" s="29" t="n"/>
      <c r="E274" s="29" t="n"/>
      <c r="F274" s="29" t="n"/>
      <c r="G274" s="29" t="n"/>
    </row>
    <row r="275" ht="15.75" customHeight="1">
      <c r="B275" s="29" t="n"/>
      <c r="C275" s="29" t="n"/>
      <c r="D275" s="29" t="n"/>
      <c r="E275" s="29" t="n"/>
      <c r="F275" s="29" t="n"/>
      <c r="G275" s="29" t="n"/>
    </row>
    <row r="276" ht="15.75" customHeight="1">
      <c r="B276" s="29" t="n"/>
      <c r="C276" s="29" t="n"/>
      <c r="D276" s="29" t="n"/>
      <c r="E276" s="29" t="n"/>
      <c r="F276" s="29" t="n"/>
      <c r="G276" s="29" t="n"/>
    </row>
    <row r="277" ht="15.75" customHeight="1">
      <c r="B277" s="29" t="n"/>
      <c r="C277" s="29" t="n"/>
      <c r="D277" s="29" t="n"/>
      <c r="E277" s="29" t="n"/>
      <c r="F277" s="29" t="n"/>
      <c r="G277" s="29" t="n"/>
    </row>
    <row r="278" ht="15.75" customHeight="1">
      <c r="B278" s="29" t="n"/>
      <c r="C278" s="29" t="n"/>
      <c r="D278" s="29" t="n"/>
      <c r="E278" s="29" t="n"/>
      <c r="F278" s="29" t="n"/>
      <c r="G278" s="29" t="n"/>
    </row>
    <row r="279" ht="15.75" customHeight="1">
      <c r="B279" s="29" t="n"/>
      <c r="C279" s="29" t="n"/>
      <c r="D279" s="29" t="n"/>
      <c r="E279" s="29" t="n"/>
      <c r="F279" s="29" t="n"/>
      <c r="G279" s="29" t="n"/>
    </row>
    <row r="280" ht="15.75" customHeight="1">
      <c r="B280" s="29" t="n"/>
      <c r="C280" s="29" t="n"/>
      <c r="D280" s="29" t="n"/>
      <c r="E280" s="29" t="n"/>
      <c r="F280" s="29" t="n"/>
      <c r="G280" s="29" t="n"/>
    </row>
    <row r="281" ht="15.75" customHeight="1">
      <c r="B281" s="29" t="n"/>
      <c r="C281" s="29" t="n"/>
      <c r="D281" s="29" t="n"/>
      <c r="E281" s="29" t="n"/>
      <c r="F281" s="29" t="n"/>
      <c r="G281" s="29" t="n"/>
    </row>
    <row r="282" ht="15.75" customHeight="1">
      <c r="B282" s="29" t="n"/>
      <c r="C282" s="29" t="n"/>
      <c r="D282" s="29" t="n"/>
      <c r="E282" s="29" t="n"/>
      <c r="F282" s="29" t="n"/>
      <c r="G282" s="29" t="n"/>
    </row>
    <row r="283" ht="15.75" customHeight="1">
      <c r="B283" s="29" t="n"/>
      <c r="C283" s="29" t="n"/>
      <c r="D283" s="29" t="n"/>
      <c r="E283" s="29" t="n"/>
      <c r="F283" s="29" t="n"/>
      <c r="G283" s="29" t="n"/>
    </row>
    <row r="284" ht="15.75" customHeight="1">
      <c r="B284" s="29" t="n"/>
      <c r="C284" s="29" t="n"/>
      <c r="D284" s="29" t="n"/>
      <c r="E284" s="29" t="n"/>
      <c r="F284" s="29" t="n"/>
      <c r="G284" s="29" t="n"/>
    </row>
    <row r="285" ht="15.75" customHeight="1">
      <c r="B285" s="29" t="n"/>
      <c r="C285" s="29" t="n"/>
      <c r="D285" s="29" t="n"/>
      <c r="E285" s="29" t="n"/>
      <c r="F285" s="29" t="n"/>
      <c r="G285" s="29" t="n"/>
    </row>
    <row r="286" ht="15.75" customHeight="1">
      <c r="B286" s="29" t="n"/>
      <c r="C286" s="29" t="n"/>
      <c r="D286" s="29" t="n"/>
      <c r="E286" s="29" t="n"/>
      <c r="F286" s="29" t="n"/>
      <c r="G286" s="29" t="n"/>
    </row>
    <row r="287" ht="15.75" customHeight="1">
      <c r="B287" s="29" t="n"/>
      <c r="C287" s="29" t="n"/>
      <c r="D287" s="29" t="n"/>
      <c r="E287" s="29" t="n"/>
      <c r="F287" s="29" t="n"/>
      <c r="G287" s="29" t="n"/>
    </row>
    <row r="288" ht="15.75" customHeight="1">
      <c r="B288" s="29" t="n"/>
      <c r="C288" s="29" t="n"/>
      <c r="D288" s="29" t="n"/>
      <c r="E288" s="29" t="n"/>
      <c r="F288" s="29" t="n"/>
      <c r="G288" s="29" t="n"/>
    </row>
    <row r="289" ht="15.75" customHeight="1">
      <c r="B289" s="29" t="n"/>
      <c r="C289" s="29" t="n"/>
      <c r="D289" s="29" t="n"/>
      <c r="E289" s="29" t="n"/>
      <c r="F289" s="29" t="n"/>
      <c r="G289" s="29" t="n"/>
    </row>
    <row r="290" ht="15.75" customHeight="1">
      <c r="B290" s="29" t="n"/>
      <c r="C290" s="29" t="n"/>
      <c r="D290" s="29" t="n"/>
      <c r="E290" s="29" t="n"/>
      <c r="F290" s="29" t="n"/>
      <c r="G290" s="29" t="n"/>
    </row>
    <row r="291" ht="15.75" customHeight="1">
      <c r="B291" s="29" t="n"/>
      <c r="C291" s="29" t="n"/>
      <c r="D291" s="29" t="n"/>
      <c r="E291" s="29" t="n"/>
      <c r="F291" s="29" t="n"/>
      <c r="G291" s="29" t="n"/>
    </row>
    <row r="292" ht="15.75" customHeight="1">
      <c r="B292" s="29" t="n"/>
      <c r="C292" s="29" t="n"/>
      <c r="D292" s="29" t="n"/>
      <c r="E292" s="29" t="n"/>
      <c r="F292" s="29" t="n"/>
      <c r="G292" s="29" t="n"/>
    </row>
    <row r="293" ht="15.75" customHeight="1">
      <c r="B293" s="29" t="n"/>
      <c r="C293" s="29" t="n"/>
      <c r="D293" s="29" t="n"/>
      <c r="E293" s="29" t="n"/>
      <c r="F293" s="29" t="n"/>
      <c r="G293" s="29" t="n"/>
    </row>
    <row r="294" ht="15.75" customHeight="1">
      <c r="B294" s="29" t="n"/>
      <c r="C294" s="29" t="n"/>
      <c r="D294" s="29" t="n"/>
      <c r="E294" s="29" t="n"/>
      <c r="F294" s="29" t="n"/>
      <c r="G294" s="29" t="n"/>
    </row>
    <row r="295" ht="15.75" customHeight="1">
      <c r="B295" s="29" t="n"/>
      <c r="C295" s="29" t="n"/>
      <c r="D295" s="29" t="n"/>
      <c r="E295" s="29" t="n"/>
      <c r="F295" s="29" t="n"/>
      <c r="G295" s="29" t="n"/>
    </row>
    <row r="296" ht="15.75" customHeight="1">
      <c r="B296" s="29" t="n"/>
      <c r="C296" s="29" t="n"/>
      <c r="D296" s="29" t="n"/>
      <c r="E296" s="29" t="n"/>
      <c r="F296" s="29" t="n"/>
      <c r="G296" s="29" t="n"/>
    </row>
    <row r="297" ht="15.75" customHeight="1">
      <c r="B297" s="29" t="n"/>
      <c r="C297" s="29" t="n"/>
      <c r="D297" s="29" t="n"/>
      <c r="E297" s="29" t="n"/>
      <c r="F297" s="29" t="n"/>
      <c r="G297" s="29" t="n"/>
    </row>
    <row r="298" ht="15.75" customHeight="1">
      <c r="B298" s="29" t="n"/>
      <c r="C298" s="29" t="n"/>
      <c r="D298" s="29" t="n"/>
      <c r="E298" s="29" t="n"/>
      <c r="F298" s="29" t="n"/>
      <c r="G298" s="29" t="n"/>
    </row>
    <row r="299" ht="15.75" customHeight="1">
      <c r="B299" s="29" t="n"/>
      <c r="C299" s="29" t="n"/>
      <c r="D299" s="29" t="n"/>
      <c r="E299" s="29" t="n"/>
      <c r="F299" s="29" t="n"/>
      <c r="G299" s="29" t="n"/>
    </row>
    <row r="300" ht="15.75" customHeight="1">
      <c r="B300" s="29" t="n"/>
      <c r="C300" s="29" t="n"/>
      <c r="D300" s="29" t="n"/>
      <c r="E300" s="29" t="n"/>
      <c r="F300" s="29" t="n"/>
      <c r="G300" s="29" t="n"/>
    </row>
    <row r="301" ht="15.75" customHeight="1">
      <c r="B301" s="29" t="n"/>
      <c r="C301" s="29" t="n"/>
      <c r="D301" s="29" t="n"/>
      <c r="E301" s="29" t="n"/>
      <c r="F301" s="29" t="n"/>
      <c r="G301" s="29" t="n"/>
    </row>
    <row r="302" ht="15.75" customHeight="1">
      <c r="B302" s="29" t="n"/>
      <c r="C302" s="29" t="n"/>
      <c r="D302" s="29" t="n"/>
      <c r="E302" s="29" t="n"/>
      <c r="F302" s="29" t="n"/>
      <c r="G302" s="29" t="n"/>
    </row>
    <row r="303" ht="15.75" customHeight="1">
      <c r="B303" s="29" t="n"/>
      <c r="C303" s="29" t="n"/>
      <c r="D303" s="29" t="n"/>
      <c r="E303" s="29" t="n"/>
      <c r="F303" s="29" t="n"/>
      <c r="G303" s="29" t="n"/>
    </row>
    <row r="304" ht="15.75" customHeight="1">
      <c r="B304" s="29" t="n"/>
      <c r="C304" s="29" t="n"/>
      <c r="D304" s="29" t="n"/>
      <c r="E304" s="29" t="n"/>
      <c r="F304" s="29" t="n"/>
      <c r="G304" s="29" t="n"/>
    </row>
    <row r="305" ht="15.75" customHeight="1">
      <c r="B305" s="29" t="n"/>
      <c r="C305" s="29" t="n"/>
      <c r="D305" s="29" t="n"/>
      <c r="E305" s="29" t="n"/>
      <c r="F305" s="29" t="n"/>
      <c r="G305" s="29" t="n"/>
    </row>
    <row r="306" ht="15.75" customHeight="1">
      <c r="B306" s="29" t="n"/>
      <c r="C306" s="29" t="n"/>
      <c r="D306" s="29" t="n"/>
      <c r="E306" s="29" t="n"/>
      <c r="F306" s="29" t="n"/>
      <c r="G306" s="29" t="n"/>
    </row>
    <row r="307" ht="15.75" customHeight="1">
      <c r="B307" s="29" t="n"/>
      <c r="C307" s="29" t="n"/>
      <c r="D307" s="29" t="n"/>
      <c r="E307" s="29" t="n"/>
      <c r="F307" s="29" t="n"/>
      <c r="G307" s="29" t="n"/>
    </row>
    <row r="308" ht="15.75" customHeight="1">
      <c r="B308" s="29" t="n"/>
      <c r="C308" s="29" t="n"/>
      <c r="D308" s="29" t="n"/>
      <c r="E308" s="29" t="n"/>
      <c r="F308" s="29" t="n"/>
      <c r="G308" s="29" t="n"/>
    </row>
    <row r="309" ht="15.75" customHeight="1">
      <c r="B309" s="29" t="n"/>
      <c r="C309" s="29" t="n"/>
      <c r="D309" s="29" t="n"/>
      <c r="E309" s="29" t="n"/>
      <c r="F309" s="29" t="n"/>
      <c r="G309" s="29" t="n"/>
    </row>
    <row r="310" ht="15.75" customHeight="1">
      <c r="B310" s="29" t="n"/>
      <c r="C310" s="29" t="n"/>
      <c r="D310" s="29" t="n"/>
      <c r="E310" s="29" t="n"/>
      <c r="F310" s="29" t="n"/>
      <c r="G310" s="29" t="n"/>
    </row>
    <row r="311" ht="15.75" customHeight="1">
      <c r="B311" s="29" t="n"/>
      <c r="C311" s="29" t="n"/>
      <c r="D311" s="29" t="n"/>
      <c r="E311" s="29" t="n"/>
      <c r="F311" s="29" t="n"/>
      <c r="G311" s="29" t="n"/>
    </row>
    <row r="312" ht="15.75" customHeight="1">
      <c r="B312" s="29" t="n"/>
      <c r="C312" s="29" t="n"/>
      <c r="D312" s="29" t="n"/>
      <c r="E312" s="29" t="n"/>
      <c r="F312" s="29" t="n"/>
      <c r="G312" s="29" t="n"/>
    </row>
    <row r="313" ht="15.75" customHeight="1">
      <c r="B313" s="29" t="n"/>
      <c r="C313" s="29" t="n"/>
      <c r="D313" s="29" t="n"/>
      <c r="E313" s="29" t="n"/>
      <c r="F313" s="29" t="n"/>
      <c r="G313" s="29" t="n"/>
    </row>
    <row r="314" ht="15.75" customHeight="1">
      <c r="B314" s="29" t="n"/>
      <c r="C314" s="29" t="n"/>
      <c r="D314" s="29" t="n"/>
      <c r="E314" s="29" t="n"/>
      <c r="F314" s="29" t="n"/>
      <c r="G314" s="29" t="n"/>
    </row>
    <row r="315" ht="15.75" customHeight="1">
      <c r="B315" s="29" t="n"/>
      <c r="C315" s="29" t="n"/>
      <c r="D315" s="29" t="n"/>
      <c r="E315" s="29" t="n"/>
      <c r="F315" s="29" t="n"/>
      <c r="G315" s="29" t="n"/>
    </row>
    <row r="316" ht="15.75" customHeight="1">
      <c r="B316" s="29" t="n"/>
      <c r="C316" s="29" t="n"/>
      <c r="D316" s="29" t="n"/>
      <c r="E316" s="29" t="n"/>
      <c r="F316" s="29" t="n"/>
      <c r="G316" s="29" t="n"/>
    </row>
    <row r="317" ht="15.75" customHeight="1">
      <c r="B317" s="29" t="n"/>
      <c r="C317" s="29" t="n"/>
      <c r="D317" s="29" t="n"/>
      <c r="E317" s="29" t="n"/>
      <c r="F317" s="29" t="n"/>
      <c r="G317" s="29" t="n"/>
    </row>
    <row r="318" ht="15.75" customHeight="1">
      <c r="B318" s="29" t="n"/>
      <c r="C318" s="29" t="n"/>
      <c r="D318" s="29" t="n"/>
      <c r="E318" s="29" t="n"/>
      <c r="F318" s="29" t="n"/>
      <c r="G318" s="29" t="n"/>
    </row>
    <row r="319" ht="15.75" customHeight="1">
      <c r="B319" s="29" t="n"/>
      <c r="C319" s="29" t="n"/>
      <c r="D319" s="29" t="n"/>
      <c r="E319" s="29" t="n"/>
      <c r="F319" s="29" t="n"/>
      <c r="G319" s="29" t="n"/>
    </row>
    <row r="320" ht="15.75" customHeight="1">
      <c r="B320" s="29" t="n"/>
      <c r="C320" s="29" t="n"/>
      <c r="D320" s="29" t="n"/>
      <c r="E320" s="29" t="n"/>
      <c r="F320" s="29" t="n"/>
      <c r="G320" s="29" t="n"/>
    </row>
    <row r="321" ht="15.75" customHeight="1">
      <c r="B321" s="29" t="n"/>
      <c r="C321" s="29" t="n"/>
      <c r="D321" s="29" t="n"/>
      <c r="E321" s="29" t="n"/>
      <c r="F321" s="29" t="n"/>
      <c r="G321" s="29" t="n"/>
    </row>
    <row r="322" ht="15.75" customHeight="1">
      <c r="B322" s="29" t="n"/>
      <c r="C322" s="29" t="n"/>
      <c r="D322" s="29" t="n"/>
      <c r="E322" s="29" t="n"/>
      <c r="F322" s="29" t="n"/>
      <c r="G322" s="29" t="n"/>
    </row>
    <row r="323" ht="15.75" customHeight="1">
      <c r="B323" s="29" t="n"/>
      <c r="C323" s="29" t="n"/>
      <c r="D323" s="29" t="n"/>
      <c r="E323" s="29" t="n"/>
      <c r="F323" s="29" t="n"/>
      <c r="G323" s="29" t="n"/>
    </row>
    <row r="324" ht="15.75" customHeight="1">
      <c r="B324" s="29" t="n"/>
      <c r="C324" s="29" t="n"/>
      <c r="D324" s="29" t="n"/>
      <c r="E324" s="29" t="n"/>
      <c r="F324" s="29" t="n"/>
      <c r="G324" s="29" t="n"/>
    </row>
    <row r="325" ht="15.75" customHeight="1">
      <c r="B325" s="29" t="n"/>
      <c r="C325" s="29" t="n"/>
      <c r="D325" s="29" t="n"/>
      <c r="E325" s="29" t="n"/>
      <c r="F325" s="29" t="n"/>
      <c r="G325" s="29" t="n"/>
    </row>
    <row r="326" ht="15.75" customHeight="1">
      <c r="B326" s="29" t="n"/>
      <c r="C326" s="29" t="n"/>
      <c r="D326" s="29" t="n"/>
      <c r="E326" s="29" t="n"/>
      <c r="F326" s="29" t="n"/>
      <c r="G326" s="29" t="n"/>
    </row>
    <row r="327" ht="15.75" customHeight="1">
      <c r="B327" s="29" t="n"/>
      <c r="C327" s="29" t="n"/>
      <c r="D327" s="29" t="n"/>
      <c r="E327" s="29" t="n"/>
      <c r="F327" s="29" t="n"/>
      <c r="G327" s="29" t="n"/>
    </row>
    <row r="328" ht="15.75" customHeight="1">
      <c r="B328" s="29" t="n"/>
      <c r="C328" s="29" t="n"/>
      <c r="D328" s="29" t="n"/>
      <c r="E328" s="29" t="n"/>
      <c r="F328" s="29" t="n"/>
      <c r="G328" s="29" t="n"/>
    </row>
    <row r="329" ht="15.75" customHeight="1">
      <c r="B329" s="29" t="n"/>
      <c r="C329" s="29" t="n"/>
      <c r="D329" s="29" t="n"/>
      <c r="E329" s="29" t="n"/>
      <c r="F329" s="29" t="n"/>
      <c r="G329" s="29" t="n"/>
    </row>
    <row r="330" ht="15.75" customHeight="1">
      <c r="B330" s="29" t="n"/>
      <c r="C330" s="29" t="n"/>
      <c r="D330" s="29" t="n"/>
      <c r="E330" s="29" t="n"/>
      <c r="F330" s="29" t="n"/>
      <c r="G330" s="29" t="n"/>
    </row>
    <row r="331" ht="15.75" customHeight="1">
      <c r="B331" s="29" t="n"/>
      <c r="C331" s="29" t="n"/>
      <c r="D331" s="29" t="n"/>
      <c r="E331" s="29" t="n"/>
      <c r="F331" s="29" t="n"/>
      <c r="G331" s="29" t="n"/>
    </row>
    <row r="332" ht="15.75" customHeight="1">
      <c r="B332" s="29" t="n"/>
      <c r="C332" s="29" t="n"/>
      <c r="D332" s="29" t="n"/>
      <c r="E332" s="29" t="n"/>
      <c r="F332" s="29" t="n"/>
      <c r="G332" s="29" t="n"/>
    </row>
    <row r="333" ht="15.75" customHeight="1">
      <c r="B333" s="29" t="n"/>
      <c r="C333" s="29" t="n"/>
      <c r="D333" s="29" t="n"/>
      <c r="E333" s="29" t="n"/>
      <c r="F333" s="29" t="n"/>
      <c r="G333" s="29" t="n"/>
    </row>
    <row r="334" ht="15.75" customHeight="1">
      <c r="B334" s="29" t="n"/>
      <c r="C334" s="29" t="n"/>
      <c r="D334" s="29" t="n"/>
      <c r="E334" s="29" t="n"/>
      <c r="F334" s="29" t="n"/>
      <c r="G334" s="29" t="n"/>
    </row>
    <row r="335" ht="15.75" customHeight="1">
      <c r="B335" s="29" t="n"/>
      <c r="C335" s="29" t="n"/>
      <c r="D335" s="29" t="n"/>
      <c r="E335" s="29" t="n"/>
      <c r="F335" s="29" t="n"/>
      <c r="G335" s="29" t="n"/>
    </row>
    <row r="336" ht="15.75" customHeight="1">
      <c r="B336" s="29" t="n"/>
      <c r="C336" s="29" t="n"/>
      <c r="D336" s="29" t="n"/>
      <c r="E336" s="29" t="n"/>
      <c r="F336" s="29" t="n"/>
      <c r="G336" s="29" t="n"/>
    </row>
    <row r="337" ht="15.75" customHeight="1">
      <c r="B337" s="29" t="n"/>
      <c r="C337" s="29" t="n"/>
      <c r="D337" s="29" t="n"/>
      <c r="E337" s="29" t="n"/>
      <c r="F337" s="29" t="n"/>
      <c r="G337" s="29" t="n"/>
    </row>
    <row r="338" ht="15.75" customHeight="1">
      <c r="B338" s="29" t="n"/>
      <c r="C338" s="29" t="n"/>
      <c r="D338" s="29" t="n"/>
      <c r="E338" s="29" t="n"/>
      <c r="F338" s="29" t="n"/>
      <c r="G338" s="29" t="n"/>
    </row>
    <row r="339" ht="15.75" customHeight="1">
      <c r="B339" s="29" t="n"/>
      <c r="C339" s="29" t="n"/>
      <c r="D339" s="29" t="n"/>
      <c r="E339" s="29" t="n"/>
      <c r="F339" s="29" t="n"/>
      <c r="G339" s="29" t="n"/>
    </row>
    <row r="340" ht="15.75" customHeight="1">
      <c r="B340" s="29" t="n"/>
      <c r="C340" s="29" t="n"/>
      <c r="D340" s="29" t="n"/>
      <c r="E340" s="29" t="n"/>
      <c r="F340" s="29" t="n"/>
      <c r="G340" s="29" t="n"/>
    </row>
    <row r="341" ht="15.75" customHeight="1">
      <c r="B341" s="29" t="n"/>
      <c r="C341" s="29" t="n"/>
      <c r="D341" s="29" t="n"/>
      <c r="E341" s="29" t="n"/>
      <c r="F341" s="29" t="n"/>
      <c r="G341" s="29" t="n"/>
    </row>
    <row r="342" ht="15.75" customHeight="1">
      <c r="B342" s="29" t="n"/>
      <c r="C342" s="29" t="n"/>
      <c r="D342" s="29" t="n"/>
      <c r="E342" s="29" t="n"/>
      <c r="F342" s="29" t="n"/>
      <c r="G342" s="29" t="n"/>
    </row>
    <row r="343" ht="15.75" customHeight="1">
      <c r="B343" s="29" t="n"/>
      <c r="C343" s="29" t="n"/>
      <c r="D343" s="29" t="n"/>
      <c r="E343" s="29" t="n"/>
      <c r="F343" s="29" t="n"/>
      <c r="G343" s="29" t="n"/>
    </row>
    <row r="344" ht="15.75" customHeight="1">
      <c r="B344" s="29" t="n"/>
      <c r="C344" s="29" t="n"/>
      <c r="D344" s="29" t="n"/>
      <c r="E344" s="29" t="n"/>
      <c r="F344" s="29" t="n"/>
      <c r="G344" s="29" t="n"/>
    </row>
    <row r="345" ht="15.75" customHeight="1">
      <c r="B345" s="29" t="n"/>
      <c r="C345" s="29" t="n"/>
      <c r="D345" s="29" t="n"/>
      <c r="E345" s="29" t="n"/>
      <c r="F345" s="29" t="n"/>
      <c r="G345" s="29" t="n"/>
    </row>
    <row r="346" ht="15.75" customHeight="1">
      <c r="B346" s="29" t="n"/>
      <c r="C346" s="29" t="n"/>
      <c r="D346" s="29" t="n"/>
      <c r="E346" s="29" t="n"/>
      <c r="F346" s="29" t="n"/>
      <c r="G346" s="29" t="n"/>
    </row>
    <row r="347" ht="15.75" customHeight="1">
      <c r="B347" s="29" t="n"/>
      <c r="C347" s="29" t="n"/>
      <c r="D347" s="29" t="n"/>
      <c r="E347" s="29" t="n"/>
      <c r="F347" s="29" t="n"/>
      <c r="G347" s="29" t="n"/>
    </row>
    <row r="348" ht="15.75" customHeight="1">
      <c r="B348" s="29" t="n"/>
      <c r="C348" s="29" t="n"/>
      <c r="D348" s="29" t="n"/>
      <c r="E348" s="29" t="n"/>
      <c r="F348" s="29" t="n"/>
      <c r="G348" s="29" t="n"/>
    </row>
    <row r="349" ht="15.75" customHeight="1">
      <c r="B349" s="29" t="n"/>
      <c r="C349" s="29" t="n"/>
      <c r="D349" s="29" t="n"/>
      <c r="E349" s="29" t="n"/>
      <c r="F349" s="29" t="n"/>
      <c r="G349" s="29" t="n"/>
    </row>
    <row r="350" ht="15.75" customHeight="1">
      <c r="B350" s="29" t="n"/>
      <c r="C350" s="29" t="n"/>
      <c r="D350" s="29" t="n"/>
      <c r="E350" s="29" t="n"/>
      <c r="F350" s="29" t="n"/>
      <c r="G350" s="29" t="n"/>
    </row>
    <row r="351" ht="15.75" customHeight="1">
      <c r="B351" s="29" t="n"/>
      <c r="C351" s="29" t="n"/>
      <c r="D351" s="29" t="n"/>
      <c r="E351" s="29" t="n"/>
      <c r="F351" s="29" t="n"/>
      <c r="G351" s="29" t="n"/>
    </row>
    <row r="352" ht="15.75" customHeight="1">
      <c r="B352" s="29" t="n"/>
      <c r="C352" s="29" t="n"/>
      <c r="D352" s="29" t="n"/>
      <c r="E352" s="29" t="n"/>
      <c r="F352" s="29" t="n"/>
      <c r="G352" s="29" t="n"/>
    </row>
    <row r="353" ht="15.75" customHeight="1">
      <c r="B353" s="29" t="n"/>
      <c r="C353" s="29" t="n"/>
      <c r="D353" s="29" t="n"/>
      <c r="E353" s="29" t="n"/>
      <c r="F353" s="29" t="n"/>
      <c r="G353" s="29" t="n"/>
    </row>
    <row r="354" ht="15.75" customHeight="1">
      <c r="B354" s="29" t="n"/>
      <c r="C354" s="29" t="n"/>
      <c r="D354" s="29" t="n"/>
      <c r="E354" s="29" t="n"/>
      <c r="F354" s="29" t="n"/>
      <c r="G354" s="29" t="n"/>
    </row>
    <row r="355" ht="15.75" customHeight="1">
      <c r="B355" s="29" t="n"/>
      <c r="C355" s="29" t="n"/>
      <c r="D355" s="29" t="n"/>
      <c r="E355" s="29" t="n"/>
      <c r="F355" s="29" t="n"/>
      <c r="G355" s="29" t="n"/>
    </row>
    <row r="356" ht="15.75" customHeight="1">
      <c r="B356" s="29" t="n"/>
      <c r="C356" s="29" t="n"/>
      <c r="D356" s="29" t="n"/>
      <c r="E356" s="29" t="n"/>
      <c r="F356" s="29" t="n"/>
      <c r="G356" s="29" t="n"/>
    </row>
    <row r="357" ht="15.75" customHeight="1">
      <c r="B357" s="29" t="n"/>
      <c r="C357" s="29" t="n"/>
      <c r="D357" s="29" t="n"/>
      <c r="E357" s="29" t="n"/>
      <c r="F357" s="29" t="n"/>
      <c r="G357" s="29" t="n"/>
    </row>
    <row r="358" ht="15.75" customHeight="1">
      <c r="B358" s="29" t="n"/>
      <c r="C358" s="29" t="n"/>
      <c r="D358" s="29" t="n"/>
      <c r="E358" s="29" t="n"/>
      <c r="F358" s="29" t="n"/>
      <c r="G358" s="29" t="n"/>
    </row>
    <row r="359" ht="15.75" customHeight="1">
      <c r="B359" s="29" t="n"/>
      <c r="C359" s="29" t="n"/>
      <c r="D359" s="29" t="n"/>
      <c r="E359" s="29" t="n"/>
      <c r="F359" s="29" t="n"/>
      <c r="G359" s="29" t="n"/>
    </row>
    <row r="360" ht="15.75" customHeight="1">
      <c r="B360" s="29" t="n"/>
      <c r="C360" s="29" t="n"/>
      <c r="D360" s="29" t="n"/>
      <c r="E360" s="29" t="n"/>
      <c r="F360" s="29" t="n"/>
      <c r="G360" s="29" t="n"/>
    </row>
    <row r="361" ht="15.75" customHeight="1">
      <c r="B361" s="29" t="n"/>
      <c r="C361" s="29" t="n"/>
      <c r="D361" s="29" t="n"/>
      <c r="E361" s="29" t="n"/>
      <c r="F361" s="29" t="n"/>
      <c r="G361" s="29" t="n"/>
    </row>
    <row r="362" ht="15.75" customHeight="1">
      <c r="B362" s="29" t="n"/>
      <c r="C362" s="29" t="n"/>
      <c r="D362" s="29" t="n"/>
      <c r="E362" s="29" t="n"/>
      <c r="F362" s="29" t="n"/>
      <c r="G362" s="29" t="n"/>
    </row>
    <row r="363" ht="15.75" customHeight="1">
      <c r="B363" s="29" t="n"/>
      <c r="C363" s="29" t="n"/>
      <c r="D363" s="29" t="n"/>
      <c r="E363" s="29" t="n"/>
      <c r="F363" s="29" t="n"/>
      <c r="G363" s="29" t="n"/>
    </row>
    <row r="364" ht="15.75" customHeight="1">
      <c r="B364" s="29" t="n"/>
      <c r="C364" s="29" t="n"/>
      <c r="D364" s="29" t="n"/>
      <c r="E364" s="29" t="n"/>
      <c r="F364" s="29" t="n"/>
      <c r="G364" s="29" t="n"/>
    </row>
    <row r="365" ht="15.75" customHeight="1">
      <c r="B365" s="29" t="n"/>
      <c r="C365" s="29" t="n"/>
      <c r="D365" s="29" t="n"/>
      <c r="E365" s="29" t="n"/>
      <c r="F365" s="29" t="n"/>
      <c r="G365" s="29" t="n"/>
    </row>
    <row r="366" ht="15.75" customHeight="1">
      <c r="B366" s="29" t="n"/>
      <c r="C366" s="29" t="n"/>
      <c r="D366" s="29" t="n"/>
      <c r="E366" s="29" t="n"/>
      <c r="F366" s="29" t="n"/>
      <c r="G366" s="29" t="n"/>
    </row>
    <row r="367" ht="15.75" customHeight="1">
      <c r="B367" s="29" t="n"/>
      <c r="C367" s="29" t="n"/>
      <c r="D367" s="29" t="n"/>
      <c r="E367" s="29" t="n"/>
      <c r="F367" s="29" t="n"/>
      <c r="G367" s="29" t="n"/>
    </row>
    <row r="368" ht="15.75" customHeight="1">
      <c r="B368" s="29" t="n"/>
      <c r="C368" s="29" t="n"/>
      <c r="D368" s="29" t="n"/>
      <c r="E368" s="29" t="n"/>
      <c r="F368" s="29" t="n"/>
      <c r="G368" s="29" t="n"/>
    </row>
    <row r="369" ht="15.75" customHeight="1">
      <c r="B369" s="29" t="n"/>
      <c r="C369" s="29" t="n"/>
      <c r="D369" s="29" t="n"/>
      <c r="E369" s="29" t="n"/>
      <c r="F369" s="29" t="n"/>
      <c r="G369" s="29" t="n"/>
    </row>
    <row r="370" ht="15.75" customHeight="1">
      <c r="B370" s="29" t="n"/>
      <c r="C370" s="29" t="n"/>
      <c r="D370" s="29" t="n"/>
      <c r="E370" s="29" t="n"/>
      <c r="F370" s="29" t="n"/>
      <c r="G370" s="29" t="n"/>
    </row>
    <row r="371" ht="15.75" customHeight="1">
      <c r="B371" s="29" t="n"/>
      <c r="C371" s="29" t="n"/>
      <c r="D371" s="29" t="n"/>
      <c r="E371" s="29" t="n"/>
      <c r="F371" s="29" t="n"/>
      <c r="G371" s="29" t="n"/>
    </row>
    <row r="372" ht="15.75" customHeight="1">
      <c r="B372" s="29" t="n"/>
      <c r="C372" s="29" t="n"/>
      <c r="D372" s="29" t="n"/>
      <c r="E372" s="29" t="n"/>
      <c r="F372" s="29" t="n"/>
      <c r="G372" s="29" t="n"/>
    </row>
    <row r="373" ht="15.75" customHeight="1">
      <c r="B373" s="29" t="n"/>
      <c r="C373" s="29" t="n"/>
      <c r="D373" s="29" t="n"/>
      <c r="E373" s="29" t="n"/>
      <c r="F373" s="29" t="n"/>
      <c r="G373" s="29" t="n"/>
    </row>
    <row r="374" ht="15.75" customHeight="1">
      <c r="B374" s="29" t="n"/>
      <c r="C374" s="29" t="n"/>
      <c r="D374" s="29" t="n"/>
      <c r="E374" s="29" t="n"/>
      <c r="F374" s="29" t="n"/>
      <c r="G374" s="29" t="n"/>
    </row>
    <row r="375" ht="15.75" customHeight="1">
      <c r="B375" s="29" t="n"/>
      <c r="C375" s="29" t="n"/>
      <c r="D375" s="29" t="n"/>
      <c r="E375" s="29" t="n"/>
      <c r="F375" s="29" t="n"/>
      <c r="G375" s="29" t="n"/>
    </row>
    <row r="376" ht="15.75" customHeight="1">
      <c r="B376" s="29" t="n"/>
      <c r="C376" s="29" t="n"/>
      <c r="D376" s="29" t="n"/>
      <c r="E376" s="29" t="n"/>
      <c r="F376" s="29" t="n"/>
      <c r="G376" s="29" t="n"/>
    </row>
    <row r="377" ht="15.75" customHeight="1">
      <c r="B377" s="29" t="n"/>
      <c r="C377" s="29" t="n"/>
      <c r="D377" s="29" t="n"/>
      <c r="E377" s="29" t="n"/>
      <c r="F377" s="29" t="n"/>
      <c r="G377" s="29" t="n"/>
    </row>
    <row r="378" ht="15.75" customHeight="1">
      <c r="B378" s="29" t="n"/>
      <c r="C378" s="29" t="n"/>
      <c r="D378" s="29" t="n"/>
      <c r="E378" s="29" t="n"/>
      <c r="F378" s="29" t="n"/>
      <c r="G378" s="29" t="n"/>
    </row>
    <row r="379" ht="15.75" customHeight="1">
      <c r="B379" s="29" t="n"/>
      <c r="C379" s="29" t="n"/>
      <c r="D379" s="29" t="n"/>
      <c r="E379" s="29" t="n"/>
      <c r="F379" s="29" t="n"/>
      <c r="G379" s="29" t="n"/>
    </row>
    <row r="380" ht="15.75" customHeight="1">
      <c r="B380" s="29" t="n"/>
      <c r="C380" s="29" t="n"/>
      <c r="D380" s="29" t="n"/>
      <c r="E380" s="29" t="n"/>
      <c r="F380" s="29" t="n"/>
      <c r="G380" s="29" t="n"/>
    </row>
    <row r="381" ht="15.75" customHeight="1">
      <c r="B381" s="29" t="n"/>
      <c r="C381" s="29" t="n"/>
      <c r="D381" s="29" t="n"/>
      <c r="E381" s="29" t="n"/>
      <c r="F381" s="29" t="n"/>
      <c r="G381" s="29" t="n"/>
    </row>
    <row r="382" ht="15.75" customHeight="1">
      <c r="B382" s="29" t="n"/>
      <c r="C382" s="29" t="n"/>
      <c r="D382" s="29" t="n"/>
      <c r="E382" s="29" t="n"/>
      <c r="F382" s="29" t="n"/>
      <c r="G382" s="29" t="n"/>
    </row>
    <row r="383" ht="15.75" customHeight="1">
      <c r="B383" s="29" t="n"/>
      <c r="C383" s="29" t="n"/>
      <c r="D383" s="29" t="n"/>
      <c r="E383" s="29" t="n"/>
      <c r="F383" s="29" t="n"/>
      <c r="G383" s="29" t="n"/>
    </row>
    <row r="384" ht="15.75" customHeight="1">
      <c r="B384" s="29" t="n"/>
      <c r="C384" s="29" t="n"/>
      <c r="D384" s="29" t="n"/>
      <c r="E384" s="29" t="n"/>
      <c r="F384" s="29" t="n"/>
      <c r="G384" s="29" t="n"/>
    </row>
    <row r="385" ht="15.75" customHeight="1">
      <c r="B385" s="29" t="n"/>
      <c r="C385" s="29" t="n"/>
      <c r="D385" s="29" t="n"/>
      <c r="E385" s="29" t="n"/>
      <c r="F385" s="29" t="n"/>
      <c r="G385" s="29" t="n"/>
    </row>
    <row r="386" ht="15.75" customHeight="1">
      <c r="B386" s="29" t="n"/>
      <c r="C386" s="29" t="n"/>
      <c r="D386" s="29" t="n"/>
      <c r="E386" s="29" t="n"/>
      <c r="F386" s="29" t="n"/>
      <c r="G386" s="29" t="n"/>
    </row>
    <row r="387" ht="15.75" customHeight="1">
      <c r="B387" s="29" t="n"/>
      <c r="C387" s="29" t="n"/>
      <c r="D387" s="29" t="n"/>
      <c r="E387" s="29" t="n"/>
      <c r="F387" s="29" t="n"/>
      <c r="G387" s="29" t="n"/>
    </row>
    <row r="388" ht="15.75" customHeight="1">
      <c r="B388" s="29" t="n"/>
      <c r="C388" s="29" t="n"/>
      <c r="D388" s="29" t="n"/>
      <c r="E388" s="29" t="n"/>
      <c r="F388" s="29" t="n"/>
      <c r="G388" s="29" t="n"/>
    </row>
    <row r="389" ht="15.75" customHeight="1">
      <c r="B389" s="29" t="n"/>
      <c r="C389" s="29" t="n"/>
      <c r="D389" s="29" t="n"/>
      <c r="E389" s="29" t="n"/>
      <c r="F389" s="29" t="n"/>
      <c r="G389" s="29" t="n"/>
    </row>
    <row r="390" ht="15.75" customHeight="1">
      <c r="B390" s="29" t="n"/>
      <c r="C390" s="29" t="n"/>
      <c r="D390" s="29" t="n"/>
      <c r="E390" s="29" t="n"/>
      <c r="F390" s="29" t="n"/>
      <c r="G390" s="29" t="n"/>
    </row>
    <row r="391" ht="15.75" customHeight="1">
      <c r="B391" s="29" t="n"/>
      <c r="C391" s="29" t="n"/>
      <c r="D391" s="29" t="n"/>
      <c r="E391" s="29" t="n"/>
      <c r="F391" s="29" t="n"/>
      <c r="G391" s="29" t="n"/>
    </row>
    <row r="392" ht="15.75" customHeight="1">
      <c r="B392" s="29" t="n"/>
      <c r="C392" s="29" t="n"/>
      <c r="D392" s="29" t="n"/>
      <c r="E392" s="29" t="n"/>
      <c r="F392" s="29" t="n"/>
      <c r="G392" s="29" t="n"/>
    </row>
    <row r="393" ht="15.75" customHeight="1">
      <c r="B393" s="29" t="n"/>
      <c r="C393" s="29" t="n"/>
      <c r="D393" s="29" t="n"/>
      <c r="E393" s="29" t="n"/>
      <c r="F393" s="29" t="n"/>
      <c r="G393" s="29" t="n"/>
    </row>
    <row r="394" ht="15.75" customHeight="1">
      <c r="B394" s="29" t="n"/>
      <c r="C394" s="29" t="n"/>
      <c r="D394" s="29" t="n"/>
      <c r="E394" s="29" t="n"/>
      <c r="F394" s="29" t="n"/>
      <c r="G394" s="29" t="n"/>
    </row>
    <row r="395" ht="15.75" customHeight="1">
      <c r="B395" s="29" t="n"/>
      <c r="C395" s="29" t="n"/>
      <c r="D395" s="29" t="n"/>
      <c r="E395" s="29" t="n"/>
      <c r="F395" s="29" t="n"/>
      <c r="G395" s="29" t="n"/>
    </row>
    <row r="396" ht="15.75" customHeight="1">
      <c r="B396" s="29" t="n"/>
      <c r="C396" s="29" t="n"/>
      <c r="D396" s="29" t="n"/>
      <c r="E396" s="29" t="n"/>
      <c r="F396" s="29" t="n"/>
      <c r="G396" s="29" t="n"/>
    </row>
    <row r="397" ht="15.75" customHeight="1">
      <c r="B397" s="29" t="n"/>
      <c r="C397" s="29" t="n"/>
      <c r="D397" s="29" t="n"/>
      <c r="E397" s="29" t="n"/>
      <c r="F397" s="29" t="n"/>
      <c r="G397" s="29" t="n"/>
    </row>
    <row r="398" ht="15.75" customHeight="1">
      <c r="B398" s="29" t="n"/>
      <c r="C398" s="29" t="n"/>
      <c r="D398" s="29" t="n"/>
      <c r="E398" s="29" t="n"/>
      <c r="F398" s="29" t="n"/>
      <c r="G398" s="29" t="n"/>
    </row>
    <row r="399" ht="15.75" customHeight="1">
      <c r="B399" s="29" t="n"/>
      <c r="C399" s="29" t="n"/>
      <c r="D399" s="29" t="n"/>
      <c r="E399" s="29" t="n"/>
      <c r="F399" s="29" t="n"/>
      <c r="G399" s="29" t="n"/>
    </row>
    <row r="400" ht="15.75" customHeight="1">
      <c r="B400" s="29" t="n"/>
      <c r="C400" s="29" t="n"/>
      <c r="D400" s="29" t="n"/>
      <c r="E400" s="29" t="n"/>
      <c r="F400" s="29" t="n"/>
      <c r="G400" s="29" t="n"/>
    </row>
    <row r="401" ht="15.75" customHeight="1">
      <c r="B401" s="29" t="n"/>
      <c r="C401" s="29" t="n"/>
      <c r="D401" s="29" t="n"/>
      <c r="E401" s="29" t="n"/>
      <c r="F401" s="29" t="n"/>
      <c r="G401" s="29" t="n"/>
    </row>
    <row r="402" ht="15.75" customHeight="1">
      <c r="B402" s="29" t="n"/>
      <c r="C402" s="29" t="n"/>
      <c r="D402" s="29" t="n"/>
      <c r="E402" s="29" t="n"/>
      <c r="F402" s="29" t="n"/>
      <c r="G402" s="29" t="n"/>
    </row>
    <row r="403" ht="15.75" customHeight="1">
      <c r="B403" s="29" t="n"/>
      <c r="C403" s="29" t="n"/>
      <c r="D403" s="29" t="n"/>
      <c r="E403" s="29" t="n"/>
      <c r="F403" s="29" t="n"/>
      <c r="G403" s="29" t="n"/>
    </row>
    <row r="404" ht="15.75" customHeight="1">
      <c r="B404" s="29" t="n"/>
      <c r="C404" s="29" t="n"/>
      <c r="D404" s="29" t="n"/>
      <c r="E404" s="29" t="n"/>
      <c r="F404" s="29" t="n"/>
      <c r="G404" s="29" t="n"/>
    </row>
    <row r="405" ht="15.75" customHeight="1">
      <c r="B405" s="29" t="n"/>
      <c r="C405" s="29" t="n"/>
      <c r="D405" s="29" t="n"/>
      <c r="E405" s="29" t="n"/>
      <c r="F405" s="29" t="n"/>
      <c r="G405" s="29" t="n"/>
    </row>
    <row r="406" ht="15.75" customHeight="1">
      <c r="B406" s="29" t="n"/>
      <c r="C406" s="29" t="n"/>
      <c r="D406" s="29" t="n"/>
      <c r="E406" s="29" t="n"/>
      <c r="F406" s="29" t="n"/>
      <c r="G406" s="29" t="n"/>
    </row>
    <row r="407" ht="15.75" customHeight="1">
      <c r="B407" s="29" t="n"/>
      <c r="C407" s="29" t="n"/>
      <c r="D407" s="29" t="n"/>
      <c r="E407" s="29" t="n"/>
      <c r="F407" s="29" t="n"/>
      <c r="G407" s="29" t="n"/>
    </row>
    <row r="408" ht="15.75" customHeight="1">
      <c r="B408" s="29" t="n"/>
      <c r="C408" s="29" t="n"/>
      <c r="D408" s="29" t="n"/>
      <c r="E408" s="29" t="n"/>
      <c r="F408" s="29" t="n"/>
      <c r="G408" s="29" t="n"/>
    </row>
    <row r="409" ht="15.75" customHeight="1">
      <c r="B409" s="29" t="n"/>
      <c r="C409" s="29" t="n"/>
      <c r="D409" s="29" t="n"/>
      <c r="E409" s="29" t="n"/>
      <c r="F409" s="29" t="n"/>
      <c r="G409" s="29" t="n"/>
    </row>
    <row r="410" ht="15.75" customHeight="1">
      <c r="B410" s="29" t="n"/>
      <c r="C410" s="29" t="n"/>
      <c r="D410" s="29" t="n"/>
      <c r="E410" s="29" t="n"/>
      <c r="F410" s="29" t="n"/>
      <c r="G410" s="29" t="n"/>
    </row>
    <row r="411" ht="15.75" customHeight="1">
      <c r="B411" s="29" t="n"/>
      <c r="C411" s="29" t="n"/>
      <c r="D411" s="29" t="n"/>
      <c r="E411" s="29" t="n"/>
      <c r="F411" s="29" t="n"/>
      <c r="G411" s="29" t="n"/>
    </row>
    <row r="412" ht="15.75" customHeight="1">
      <c r="B412" s="29" t="n"/>
      <c r="C412" s="29" t="n"/>
      <c r="D412" s="29" t="n"/>
      <c r="E412" s="29" t="n"/>
      <c r="F412" s="29" t="n"/>
      <c r="G412" s="29" t="n"/>
    </row>
    <row r="413" ht="15.75" customHeight="1">
      <c r="B413" s="29" t="n"/>
      <c r="C413" s="29" t="n"/>
      <c r="D413" s="29" t="n"/>
      <c r="E413" s="29" t="n"/>
      <c r="F413" s="29" t="n"/>
      <c r="G413" s="29" t="n"/>
    </row>
    <row r="414" ht="15.75" customHeight="1">
      <c r="B414" s="29" t="n"/>
      <c r="C414" s="29" t="n"/>
      <c r="D414" s="29" t="n"/>
      <c r="E414" s="29" t="n"/>
      <c r="F414" s="29" t="n"/>
      <c r="G414" s="29" t="n"/>
    </row>
    <row r="415" ht="15.75" customHeight="1">
      <c r="B415" s="29" t="n"/>
      <c r="C415" s="29" t="n"/>
      <c r="D415" s="29" t="n"/>
      <c r="E415" s="29" t="n"/>
      <c r="F415" s="29" t="n"/>
      <c r="G415" s="29" t="n"/>
    </row>
    <row r="416" ht="15.75" customHeight="1">
      <c r="B416" s="29" t="n"/>
      <c r="C416" s="29" t="n"/>
      <c r="D416" s="29" t="n"/>
      <c r="E416" s="29" t="n"/>
      <c r="F416" s="29" t="n"/>
      <c r="G416" s="29" t="n"/>
    </row>
    <row r="417" ht="15.75" customHeight="1">
      <c r="B417" s="29" t="n"/>
      <c r="C417" s="29" t="n"/>
      <c r="D417" s="29" t="n"/>
      <c r="E417" s="29" t="n"/>
      <c r="F417" s="29" t="n"/>
      <c r="G417" s="29" t="n"/>
    </row>
    <row r="418" ht="15.75" customHeight="1">
      <c r="B418" s="29" t="n"/>
      <c r="C418" s="29" t="n"/>
      <c r="D418" s="29" t="n"/>
      <c r="E418" s="29" t="n"/>
      <c r="F418" s="29" t="n"/>
      <c r="G418" s="29" t="n"/>
    </row>
    <row r="419" ht="15.75" customHeight="1">
      <c r="B419" s="29" t="n"/>
      <c r="C419" s="29" t="n"/>
      <c r="D419" s="29" t="n"/>
      <c r="E419" s="29" t="n"/>
      <c r="F419" s="29" t="n"/>
      <c r="G419" s="29" t="n"/>
    </row>
    <row r="420" ht="15.75" customHeight="1">
      <c r="B420" s="29" t="n"/>
      <c r="C420" s="29" t="n"/>
      <c r="D420" s="29" t="n"/>
      <c r="E420" s="29" t="n"/>
      <c r="F420" s="29" t="n"/>
      <c r="G420" s="29" t="n"/>
    </row>
    <row r="421" ht="15.75" customHeight="1">
      <c r="B421" s="29" t="n"/>
      <c r="C421" s="29" t="n"/>
      <c r="D421" s="29" t="n"/>
      <c r="E421" s="29" t="n"/>
      <c r="F421" s="29" t="n"/>
      <c r="G421" s="29" t="n"/>
    </row>
    <row r="422" ht="15.75" customHeight="1">
      <c r="B422" s="29" t="n"/>
      <c r="C422" s="29" t="n"/>
      <c r="D422" s="29" t="n"/>
      <c r="E422" s="29" t="n"/>
      <c r="F422" s="29" t="n"/>
      <c r="G422" s="29" t="n"/>
    </row>
    <row r="423" ht="15.75" customHeight="1">
      <c r="B423" s="29" t="n"/>
      <c r="C423" s="29" t="n"/>
      <c r="D423" s="29" t="n"/>
      <c r="E423" s="29" t="n"/>
      <c r="F423" s="29" t="n"/>
      <c r="G423" s="29" t="n"/>
    </row>
    <row r="424" ht="15.75" customHeight="1">
      <c r="B424" s="29" t="n"/>
      <c r="C424" s="29" t="n"/>
      <c r="D424" s="29" t="n"/>
      <c r="E424" s="29" t="n"/>
      <c r="F424" s="29" t="n"/>
      <c r="G424" s="29" t="n"/>
    </row>
    <row r="425" ht="15.75" customHeight="1">
      <c r="B425" s="29" t="n"/>
      <c r="C425" s="29" t="n"/>
      <c r="D425" s="29" t="n"/>
      <c r="E425" s="29" t="n"/>
      <c r="F425" s="29" t="n"/>
      <c r="G425" s="29" t="n"/>
    </row>
    <row r="426" ht="15.75" customHeight="1">
      <c r="B426" s="29" t="n"/>
      <c r="C426" s="29" t="n"/>
      <c r="D426" s="29" t="n"/>
      <c r="E426" s="29" t="n"/>
      <c r="F426" s="29" t="n"/>
      <c r="G426" s="29" t="n"/>
    </row>
    <row r="427" ht="15.75" customHeight="1">
      <c r="B427" s="29" t="n"/>
      <c r="C427" s="29" t="n"/>
      <c r="D427" s="29" t="n"/>
      <c r="E427" s="29" t="n"/>
      <c r="F427" s="29" t="n"/>
      <c r="G427" s="29" t="n"/>
    </row>
    <row r="428" ht="15.75" customHeight="1">
      <c r="B428" s="29" t="n"/>
      <c r="C428" s="29" t="n"/>
      <c r="D428" s="29" t="n"/>
      <c r="E428" s="29" t="n"/>
      <c r="F428" s="29" t="n"/>
      <c r="G428" s="29" t="n"/>
    </row>
    <row r="429" ht="15.75" customHeight="1">
      <c r="B429" s="29" t="n"/>
      <c r="C429" s="29" t="n"/>
      <c r="D429" s="29" t="n"/>
      <c r="E429" s="29" t="n"/>
      <c r="F429" s="29" t="n"/>
      <c r="G429" s="29" t="n"/>
    </row>
    <row r="430" ht="15.75" customHeight="1">
      <c r="B430" s="29" t="n"/>
      <c r="C430" s="29" t="n"/>
      <c r="D430" s="29" t="n"/>
      <c r="E430" s="29" t="n"/>
      <c r="F430" s="29" t="n"/>
      <c r="G430" s="29" t="n"/>
    </row>
    <row r="431" ht="15.75" customHeight="1">
      <c r="B431" s="29" t="n"/>
      <c r="C431" s="29" t="n"/>
      <c r="D431" s="29" t="n"/>
      <c r="E431" s="29" t="n"/>
      <c r="F431" s="29" t="n"/>
      <c r="G431" s="29" t="n"/>
    </row>
    <row r="432" ht="15.75" customHeight="1">
      <c r="B432" s="29" t="n"/>
      <c r="C432" s="29" t="n"/>
      <c r="D432" s="29" t="n"/>
      <c r="E432" s="29" t="n"/>
      <c r="F432" s="29" t="n"/>
      <c r="G432" s="29" t="n"/>
    </row>
    <row r="433" ht="15.75" customHeight="1">
      <c r="B433" s="29" t="n"/>
      <c r="C433" s="29" t="n"/>
      <c r="D433" s="29" t="n"/>
      <c r="E433" s="29" t="n"/>
      <c r="F433" s="29" t="n"/>
      <c r="G433" s="29" t="n"/>
    </row>
    <row r="434" ht="15.75" customHeight="1">
      <c r="B434" s="29" t="n"/>
      <c r="C434" s="29" t="n"/>
      <c r="D434" s="29" t="n"/>
      <c r="E434" s="29" t="n"/>
      <c r="F434" s="29" t="n"/>
      <c r="G434" s="29" t="n"/>
    </row>
    <row r="435" ht="15.75" customHeight="1">
      <c r="B435" s="29" t="n"/>
      <c r="C435" s="29" t="n"/>
      <c r="D435" s="29" t="n"/>
      <c r="E435" s="29" t="n"/>
      <c r="F435" s="29" t="n"/>
      <c r="G435" s="29" t="n"/>
    </row>
    <row r="436" ht="15.75" customHeight="1">
      <c r="B436" s="29" t="n"/>
      <c r="C436" s="29" t="n"/>
      <c r="D436" s="29" t="n"/>
      <c r="E436" s="29" t="n"/>
      <c r="F436" s="29" t="n"/>
      <c r="G436" s="29" t="n"/>
    </row>
    <row r="437" ht="15.75" customHeight="1">
      <c r="B437" s="29" t="n"/>
      <c r="C437" s="29" t="n"/>
      <c r="D437" s="29" t="n"/>
      <c r="E437" s="29" t="n"/>
      <c r="F437" s="29" t="n"/>
      <c r="G437" s="29" t="n"/>
    </row>
    <row r="438" ht="15.75" customHeight="1">
      <c r="B438" s="29" t="n"/>
      <c r="C438" s="29" t="n"/>
      <c r="D438" s="29" t="n"/>
      <c r="E438" s="29" t="n"/>
      <c r="F438" s="29" t="n"/>
      <c r="G438" s="29" t="n"/>
    </row>
    <row r="439" ht="15.75" customHeight="1">
      <c r="B439" s="29" t="n"/>
      <c r="C439" s="29" t="n"/>
      <c r="D439" s="29" t="n"/>
      <c r="E439" s="29" t="n"/>
      <c r="F439" s="29" t="n"/>
      <c r="G439" s="29" t="n"/>
    </row>
    <row r="440" ht="15.75" customHeight="1">
      <c r="B440" s="29" t="n"/>
      <c r="C440" s="29" t="n"/>
      <c r="D440" s="29" t="n"/>
      <c r="E440" s="29" t="n"/>
      <c r="F440" s="29" t="n"/>
      <c r="G440" s="29" t="n"/>
    </row>
    <row r="441" ht="15.75" customHeight="1">
      <c r="B441" s="29" t="n"/>
      <c r="C441" s="29" t="n"/>
      <c r="D441" s="29" t="n"/>
      <c r="E441" s="29" t="n"/>
      <c r="F441" s="29" t="n"/>
      <c r="G441" s="29" t="n"/>
    </row>
    <row r="442" ht="15.75" customHeight="1">
      <c r="B442" s="29" t="n"/>
      <c r="C442" s="29" t="n"/>
      <c r="D442" s="29" t="n"/>
      <c r="E442" s="29" t="n"/>
      <c r="F442" s="29" t="n"/>
      <c r="G442" s="29" t="n"/>
    </row>
    <row r="443" ht="15.75" customHeight="1">
      <c r="B443" s="29" t="n"/>
      <c r="C443" s="29" t="n"/>
      <c r="D443" s="29" t="n"/>
      <c r="E443" s="29" t="n"/>
      <c r="F443" s="29" t="n"/>
      <c r="G443" s="29" t="n"/>
    </row>
    <row r="444" ht="15.75" customHeight="1">
      <c r="B444" s="29" t="n"/>
      <c r="C444" s="29" t="n"/>
      <c r="D444" s="29" t="n"/>
      <c r="E444" s="29" t="n"/>
      <c r="F444" s="29" t="n"/>
      <c r="G444" s="29" t="n"/>
    </row>
    <row r="445" ht="15.75" customHeight="1">
      <c r="B445" s="29" t="n"/>
      <c r="C445" s="29" t="n"/>
      <c r="D445" s="29" t="n"/>
      <c r="E445" s="29" t="n"/>
      <c r="F445" s="29" t="n"/>
      <c r="G445" s="29" t="n"/>
    </row>
    <row r="446" ht="15.75" customHeight="1">
      <c r="B446" s="29" t="n"/>
      <c r="C446" s="29" t="n"/>
      <c r="D446" s="29" t="n"/>
      <c r="E446" s="29" t="n"/>
      <c r="F446" s="29" t="n"/>
      <c r="G446" s="29" t="n"/>
    </row>
    <row r="447" ht="15.75" customHeight="1">
      <c r="B447" s="29" t="n"/>
      <c r="C447" s="29" t="n"/>
      <c r="D447" s="29" t="n"/>
      <c r="E447" s="29" t="n"/>
      <c r="F447" s="29" t="n"/>
      <c r="G447" s="29" t="n"/>
    </row>
    <row r="448" ht="15.75" customHeight="1">
      <c r="B448" s="29" t="n"/>
      <c r="C448" s="29" t="n"/>
      <c r="D448" s="29" t="n"/>
      <c r="E448" s="29" t="n"/>
      <c r="F448" s="29" t="n"/>
      <c r="G448" s="29" t="n"/>
    </row>
    <row r="449" ht="15.75" customHeight="1">
      <c r="B449" s="29" t="n"/>
      <c r="C449" s="29" t="n"/>
      <c r="D449" s="29" t="n"/>
      <c r="E449" s="29" t="n"/>
      <c r="F449" s="29" t="n"/>
      <c r="G449" s="29" t="n"/>
    </row>
    <row r="450" ht="15.75" customHeight="1">
      <c r="B450" s="29" t="n"/>
      <c r="C450" s="29" t="n"/>
      <c r="D450" s="29" t="n"/>
      <c r="E450" s="29" t="n"/>
      <c r="F450" s="29" t="n"/>
      <c r="G450" s="29" t="n"/>
    </row>
    <row r="451" ht="15.75" customHeight="1">
      <c r="B451" s="29" t="n"/>
      <c r="C451" s="29" t="n"/>
      <c r="D451" s="29" t="n"/>
      <c r="E451" s="29" t="n"/>
      <c r="F451" s="29" t="n"/>
      <c r="G451" s="29" t="n"/>
    </row>
    <row r="452" ht="15.75" customHeight="1">
      <c r="B452" s="29" t="n"/>
      <c r="C452" s="29" t="n"/>
      <c r="D452" s="29" t="n"/>
      <c r="E452" s="29" t="n"/>
      <c r="F452" s="29" t="n"/>
      <c r="G452" s="29" t="n"/>
    </row>
    <row r="453" ht="15.75" customHeight="1">
      <c r="B453" s="29" t="n"/>
      <c r="C453" s="29" t="n"/>
      <c r="D453" s="29" t="n"/>
      <c r="E453" s="29" t="n"/>
      <c r="F453" s="29" t="n"/>
      <c r="G453" s="29" t="n"/>
    </row>
    <row r="454" ht="15.75" customHeight="1">
      <c r="B454" s="29" t="n"/>
      <c r="C454" s="29" t="n"/>
      <c r="D454" s="29" t="n"/>
      <c r="E454" s="29" t="n"/>
      <c r="F454" s="29" t="n"/>
      <c r="G454" s="29" t="n"/>
    </row>
    <row r="455" ht="15.75" customHeight="1">
      <c r="B455" s="29" t="n"/>
      <c r="C455" s="29" t="n"/>
      <c r="D455" s="29" t="n"/>
      <c r="E455" s="29" t="n"/>
      <c r="F455" s="29" t="n"/>
      <c r="G455" s="29" t="n"/>
    </row>
    <row r="456" ht="15.75" customHeight="1">
      <c r="B456" s="29" t="n"/>
      <c r="C456" s="29" t="n"/>
      <c r="D456" s="29" t="n"/>
      <c r="E456" s="29" t="n"/>
      <c r="F456" s="29" t="n"/>
      <c r="G456" s="29" t="n"/>
    </row>
    <row r="457" ht="15.75" customHeight="1">
      <c r="B457" s="29" t="n"/>
      <c r="C457" s="29" t="n"/>
      <c r="D457" s="29" t="n"/>
      <c r="E457" s="29" t="n"/>
      <c r="F457" s="29" t="n"/>
      <c r="G457" s="29" t="n"/>
    </row>
    <row r="458" ht="15.75" customHeight="1">
      <c r="B458" s="29" t="n"/>
      <c r="C458" s="29" t="n"/>
      <c r="D458" s="29" t="n"/>
      <c r="E458" s="29" t="n"/>
      <c r="F458" s="29" t="n"/>
      <c r="G458" s="29" t="n"/>
    </row>
    <row r="459" ht="15.75" customHeight="1">
      <c r="B459" s="29" t="n"/>
      <c r="C459" s="29" t="n"/>
      <c r="D459" s="29" t="n"/>
      <c r="E459" s="29" t="n"/>
      <c r="F459" s="29" t="n"/>
      <c r="G459" s="29" t="n"/>
    </row>
    <row r="460" ht="15.75" customHeight="1">
      <c r="B460" s="29" t="n"/>
      <c r="C460" s="29" t="n"/>
      <c r="D460" s="29" t="n"/>
      <c r="E460" s="29" t="n"/>
      <c r="F460" s="29" t="n"/>
      <c r="G460" s="29" t="n"/>
    </row>
    <row r="461" ht="15.75" customHeight="1">
      <c r="B461" s="29" t="n"/>
      <c r="C461" s="29" t="n"/>
      <c r="D461" s="29" t="n"/>
      <c r="E461" s="29" t="n"/>
      <c r="F461" s="29" t="n"/>
      <c r="G461" s="29" t="n"/>
    </row>
    <row r="462" ht="15.75" customHeight="1">
      <c r="B462" s="29" t="n"/>
      <c r="C462" s="29" t="n"/>
      <c r="D462" s="29" t="n"/>
      <c r="E462" s="29" t="n"/>
      <c r="F462" s="29" t="n"/>
      <c r="G462" s="29" t="n"/>
    </row>
    <row r="463" ht="15.75" customHeight="1">
      <c r="B463" s="29" t="n"/>
      <c r="C463" s="29" t="n"/>
      <c r="D463" s="29" t="n"/>
      <c r="E463" s="29" t="n"/>
      <c r="F463" s="29" t="n"/>
      <c r="G463" s="29" t="n"/>
    </row>
    <row r="464" ht="15.75" customHeight="1">
      <c r="B464" s="29" t="n"/>
      <c r="C464" s="29" t="n"/>
      <c r="D464" s="29" t="n"/>
      <c r="E464" s="29" t="n"/>
      <c r="F464" s="29" t="n"/>
      <c r="G464" s="29" t="n"/>
    </row>
    <row r="465" ht="15.75" customHeight="1">
      <c r="B465" s="29" t="n"/>
      <c r="C465" s="29" t="n"/>
      <c r="D465" s="29" t="n"/>
      <c r="E465" s="29" t="n"/>
      <c r="F465" s="29" t="n"/>
      <c r="G465" s="29" t="n"/>
    </row>
    <row r="466" ht="15.75" customHeight="1">
      <c r="B466" s="29" t="n"/>
      <c r="C466" s="29" t="n"/>
      <c r="D466" s="29" t="n"/>
      <c r="E466" s="29" t="n"/>
      <c r="F466" s="29" t="n"/>
      <c r="G466" s="29" t="n"/>
    </row>
    <row r="467" ht="15.75" customHeight="1">
      <c r="B467" s="29" t="n"/>
      <c r="C467" s="29" t="n"/>
      <c r="D467" s="29" t="n"/>
      <c r="E467" s="29" t="n"/>
      <c r="F467" s="29" t="n"/>
      <c r="G467" s="29" t="n"/>
    </row>
    <row r="468" ht="15.75" customHeight="1">
      <c r="B468" s="29" t="n"/>
      <c r="C468" s="29" t="n"/>
      <c r="D468" s="29" t="n"/>
      <c r="E468" s="29" t="n"/>
      <c r="F468" s="29" t="n"/>
      <c r="G468" s="29" t="n"/>
    </row>
    <row r="469" ht="15.75" customHeight="1">
      <c r="B469" s="29" t="n"/>
      <c r="C469" s="29" t="n"/>
      <c r="D469" s="29" t="n"/>
      <c r="E469" s="29" t="n"/>
      <c r="F469" s="29" t="n"/>
      <c r="G469" s="29" t="n"/>
    </row>
    <row r="470" ht="15.75" customHeight="1">
      <c r="B470" s="29" t="n"/>
      <c r="C470" s="29" t="n"/>
      <c r="D470" s="29" t="n"/>
      <c r="E470" s="29" t="n"/>
      <c r="F470" s="29" t="n"/>
      <c r="G470" s="29" t="n"/>
    </row>
    <row r="471" ht="15.75" customHeight="1">
      <c r="B471" s="29" t="n"/>
      <c r="C471" s="29" t="n"/>
      <c r="D471" s="29" t="n"/>
      <c r="E471" s="29" t="n"/>
      <c r="F471" s="29" t="n"/>
      <c r="G471" s="29" t="n"/>
    </row>
    <row r="472" ht="15.75" customHeight="1">
      <c r="B472" s="29" t="n"/>
      <c r="C472" s="29" t="n"/>
      <c r="D472" s="29" t="n"/>
      <c r="E472" s="29" t="n"/>
      <c r="F472" s="29" t="n"/>
      <c r="G472" s="29" t="n"/>
    </row>
    <row r="473" ht="15.75" customHeight="1">
      <c r="B473" s="29" t="n"/>
      <c r="C473" s="29" t="n"/>
      <c r="D473" s="29" t="n"/>
      <c r="E473" s="29" t="n"/>
      <c r="F473" s="29" t="n"/>
      <c r="G473" s="29" t="n"/>
    </row>
    <row r="474" ht="15.75" customHeight="1">
      <c r="B474" s="29" t="n"/>
      <c r="C474" s="29" t="n"/>
      <c r="D474" s="29" t="n"/>
      <c r="E474" s="29" t="n"/>
      <c r="F474" s="29" t="n"/>
      <c r="G474" s="29" t="n"/>
    </row>
    <row r="475" ht="15.75" customHeight="1">
      <c r="B475" s="29" t="n"/>
      <c r="C475" s="29" t="n"/>
      <c r="D475" s="29" t="n"/>
      <c r="E475" s="29" t="n"/>
      <c r="F475" s="29" t="n"/>
      <c r="G475" s="29" t="n"/>
    </row>
    <row r="476" ht="15.75" customHeight="1">
      <c r="B476" s="29" t="n"/>
      <c r="C476" s="29" t="n"/>
      <c r="D476" s="29" t="n"/>
      <c r="E476" s="29" t="n"/>
      <c r="F476" s="29" t="n"/>
      <c r="G476" s="29" t="n"/>
    </row>
    <row r="477" ht="15.75" customHeight="1">
      <c r="B477" s="29" t="n"/>
      <c r="C477" s="29" t="n"/>
      <c r="D477" s="29" t="n"/>
      <c r="E477" s="29" t="n"/>
      <c r="F477" s="29" t="n"/>
      <c r="G477" s="29" t="n"/>
    </row>
    <row r="478" ht="15.75" customHeight="1">
      <c r="B478" s="29" t="n"/>
      <c r="C478" s="29" t="n"/>
      <c r="D478" s="29" t="n"/>
      <c r="E478" s="29" t="n"/>
      <c r="F478" s="29" t="n"/>
      <c r="G478" s="29" t="n"/>
    </row>
    <row r="479" ht="15.75" customHeight="1">
      <c r="B479" s="29" t="n"/>
      <c r="C479" s="29" t="n"/>
      <c r="D479" s="29" t="n"/>
      <c r="E479" s="29" t="n"/>
      <c r="F479" s="29" t="n"/>
      <c r="G479" s="29" t="n"/>
    </row>
    <row r="480" ht="15.75" customHeight="1">
      <c r="B480" s="29" t="n"/>
      <c r="C480" s="29" t="n"/>
      <c r="D480" s="29" t="n"/>
      <c r="E480" s="29" t="n"/>
      <c r="F480" s="29" t="n"/>
      <c r="G480" s="29" t="n"/>
    </row>
    <row r="481" ht="15.75" customHeight="1">
      <c r="B481" s="29" t="n"/>
      <c r="C481" s="29" t="n"/>
      <c r="D481" s="29" t="n"/>
      <c r="E481" s="29" t="n"/>
      <c r="F481" s="29" t="n"/>
      <c r="G481" s="29" t="n"/>
    </row>
    <row r="482" ht="15.75" customHeight="1">
      <c r="B482" s="29" t="n"/>
      <c r="C482" s="29" t="n"/>
      <c r="D482" s="29" t="n"/>
      <c r="E482" s="29" t="n"/>
      <c r="F482" s="29" t="n"/>
      <c r="G482" s="29" t="n"/>
    </row>
    <row r="483" ht="15.75" customHeight="1">
      <c r="B483" s="29" t="n"/>
      <c r="C483" s="29" t="n"/>
      <c r="D483" s="29" t="n"/>
      <c r="E483" s="29" t="n"/>
      <c r="F483" s="29" t="n"/>
      <c r="G483" s="29" t="n"/>
    </row>
    <row r="484" ht="15.75" customHeight="1">
      <c r="B484" s="29" t="n"/>
      <c r="C484" s="29" t="n"/>
      <c r="D484" s="29" t="n"/>
      <c r="E484" s="29" t="n"/>
      <c r="F484" s="29" t="n"/>
      <c r="G484" s="29" t="n"/>
    </row>
    <row r="485" ht="15.75" customHeight="1">
      <c r="B485" s="29" t="n"/>
      <c r="C485" s="29" t="n"/>
      <c r="D485" s="29" t="n"/>
      <c r="E485" s="29" t="n"/>
      <c r="F485" s="29" t="n"/>
      <c r="G485" s="29" t="n"/>
    </row>
    <row r="486" ht="15.75" customHeight="1">
      <c r="B486" s="29" t="n"/>
      <c r="C486" s="29" t="n"/>
      <c r="D486" s="29" t="n"/>
      <c r="E486" s="29" t="n"/>
      <c r="F486" s="29" t="n"/>
      <c r="G486" s="29" t="n"/>
    </row>
    <row r="487" ht="15.75" customHeight="1">
      <c r="B487" s="29" t="n"/>
      <c r="C487" s="29" t="n"/>
      <c r="D487" s="29" t="n"/>
      <c r="E487" s="29" t="n"/>
      <c r="F487" s="29" t="n"/>
      <c r="G487" s="29" t="n"/>
    </row>
    <row r="488" ht="15.75" customHeight="1">
      <c r="B488" s="29" t="n"/>
      <c r="C488" s="29" t="n"/>
      <c r="D488" s="29" t="n"/>
      <c r="E488" s="29" t="n"/>
      <c r="F488" s="29" t="n"/>
      <c r="G488" s="29" t="n"/>
    </row>
    <row r="489" ht="15.75" customHeight="1">
      <c r="B489" s="29" t="n"/>
      <c r="C489" s="29" t="n"/>
      <c r="D489" s="29" t="n"/>
      <c r="E489" s="29" t="n"/>
      <c r="F489" s="29" t="n"/>
      <c r="G489" s="29" t="n"/>
    </row>
    <row r="490" ht="15.75" customHeight="1">
      <c r="B490" s="29" t="n"/>
      <c r="C490" s="29" t="n"/>
      <c r="D490" s="29" t="n"/>
      <c r="E490" s="29" t="n"/>
      <c r="F490" s="29" t="n"/>
      <c r="G490" s="29" t="n"/>
    </row>
    <row r="491" ht="15.75" customHeight="1">
      <c r="B491" s="29" t="n"/>
      <c r="C491" s="29" t="n"/>
      <c r="D491" s="29" t="n"/>
      <c r="E491" s="29" t="n"/>
      <c r="F491" s="29" t="n"/>
      <c r="G491" s="29" t="n"/>
    </row>
    <row r="492" ht="15.75" customHeight="1">
      <c r="B492" s="29" t="n"/>
      <c r="C492" s="29" t="n"/>
      <c r="D492" s="29" t="n"/>
      <c r="E492" s="29" t="n"/>
      <c r="F492" s="29" t="n"/>
      <c r="G492" s="29" t="n"/>
    </row>
    <row r="493" ht="15.75" customHeight="1">
      <c r="B493" s="29" t="n"/>
      <c r="C493" s="29" t="n"/>
      <c r="D493" s="29" t="n"/>
      <c r="E493" s="29" t="n"/>
      <c r="F493" s="29" t="n"/>
      <c r="G493" s="29" t="n"/>
    </row>
    <row r="494" ht="15.75" customHeight="1">
      <c r="B494" s="29" t="n"/>
      <c r="C494" s="29" t="n"/>
      <c r="D494" s="29" t="n"/>
      <c r="E494" s="29" t="n"/>
      <c r="F494" s="29" t="n"/>
      <c r="G494" s="29" t="n"/>
    </row>
    <row r="495" ht="15.75" customHeight="1">
      <c r="B495" s="29" t="n"/>
      <c r="C495" s="29" t="n"/>
      <c r="D495" s="29" t="n"/>
      <c r="E495" s="29" t="n"/>
      <c r="F495" s="29" t="n"/>
      <c r="G495" s="29" t="n"/>
    </row>
    <row r="496" ht="15.75" customHeight="1">
      <c r="B496" s="29" t="n"/>
      <c r="C496" s="29" t="n"/>
      <c r="D496" s="29" t="n"/>
      <c r="E496" s="29" t="n"/>
      <c r="F496" s="29" t="n"/>
      <c r="G496" s="29" t="n"/>
    </row>
    <row r="497" ht="15.75" customHeight="1">
      <c r="B497" s="29" t="n"/>
      <c r="C497" s="29" t="n"/>
      <c r="D497" s="29" t="n"/>
      <c r="E497" s="29" t="n"/>
      <c r="F497" s="29" t="n"/>
      <c r="G497" s="29" t="n"/>
    </row>
    <row r="498" ht="15.75" customHeight="1">
      <c r="B498" s="29" t="n"/>
      <c r="C498" s="29" t="n"/>
      <c r="D498" s="29" t="n"/>
      <c r="E498" s="29" t="n"/>
      <c r="F498" s="29" t="n"/>
      <c r="G498" s="29" t="n"/>
    </row>
    <row r="499" ht="15.75" customHeight="1">
      <c r="B499" s="29" t="n"/>
      <c r="C499" s="29" t="n"/>
      <c r="D499" s="29" t="n"/>
      <c r="E499" s="29" t="n"/>
      <c r="F499" s="29" t="n"/>
      <c r="G499" s="29" t="n"/>
    </row>
    <row r="500" ht="15.75" customHeight="1">
      <c r="B500" s="29" t="n"/>
      <c r="C500" s="29" t="n"/>
      <c r="D500" s="29" t="n"/>
      <c r="E500" s="29" t="n"/>
      <c r="F500" s="29" t="n"/>
      <c r="G500" s="29" t="n"/>
    </row>
    <row r="501" ht="15.75" customHeight="1">
      <c r="B501" s="29" t="n"/>
      <c r="C501" s="29" t="n"/>
      <c r="D501" s="29" t="n"/>
      <c r="E501" s="29" t="n"/>
      <c r="F501" s="29" t="n"/>
      <c r="G501" s="29" t="n"/>
    </row>
    <row r="502" ht="15.75" customHeight="1">
      <c r="B502" s="29" t="n"/>
      <c r="C502" s="29" t="n"/>
      <c r="D502" s="29" t="n"/>
      <c r="E502" s="29" t="n"/>
      <c r="F502" s="29" t="n"/>
      <c r="G502" s="29" t="n"/>
    </row>
    <row r="503" ht="15.75" customHeight="1">
      <c r="B503" s="29" t="n"/>
      <c r="C503" s="29" t="n"/>
      <c r="D503" s="29" t="n"/>
      <c r="E503" s="29" t="n"/>
      <c r="F503" s="29" t="n"/>
      <c r="G503" s="29" t="n"/>
    </row>
    <row r="504" ht="15.75" customHeight="1">
      <c r="B504" s="29" t="n"/>
      <c r="C504" s="29" t="n"/>
      <c r="D504" s="29" t="n"/>
      <c r="E504" s="29" t="n"/>
      <c r="F504" s="29" t="n"/>
      <c r="G504" s="29" t="n"/>
    </row>
    <row r="505" ht="15.75" customHeight="1">
      <c r="B505" s="29" t="n"/>
      <c r="C505" s="29" t="n"/>
      <c r="D505" s="29" t="n"/>
      <c r="E505" s="29" t="n"/>
      <c r="F505" s="29" t="n"/>
      <c r="G505" s="29" t="n"/>
    </row>
    <row r="506" ht="15.75" customHeight="1">
      <c r="B506" s="29" t="n"/>
      <c r="C506" s="29" t="n"/>
      <c r="D506" s="29" t="n"/>
      <c r="E506" s="29" t="n"/>
      <c r="F506" s="29" t="n"/>
      <c r="G506" s="29" t="n"/>
    </row>
    <row r="507" ht="15.75" customHeight="1">
      <c r="B507" s="29" t="n"/>
      <c r="C507" s="29" t="n"/>
      <c r="D507" s="29" t="n"/>
      <c r="E507" s="29" t="n"/>
      <c r="F507" s="29" t="n"/>
      <c r="G507" s="29" t="n"/>
    </row>
    <row r="508" ht="15.75" customHeight="1">
      <c r="B508" s="29" t="n"/>
      <c r="C508" s="29" t="n"/>
      <c r="D508" s="29" t="n"/>
      <c r="E508" s="29" t="n"/>
      <c r="F508" s="29" t="n"/>
      <c r="G508" s="29" t="n"/>
    </row>
    <row r="509" ht="15.75" customHeight="1">
      <c r="B509" s="29" t="n"/>
      <c r="C509" s="29" t="n"/>
      <c r="D509" s="29" t="n"/>
      <c r="E509" s="29" t="n"/>
      <c r="F509" s="29" t="n"/>
      <c r="G509" s="29" t="n"/>
    </row>
    <row r="510" ht="15.75" customHeight="1">
      <c r="B510" s="29" t="n"/>
      <c r="C510" s="29" t="n"/>
      <c r="D510" s="29" t="n"/>
      <c r="E510" s="29" t="n"/>
      <c r="F510" s="29" t="n"/>
      <c r="G510" s="29" t="n"/>
    </row>
    <row r="511" ht="15.75" customHeight="1">
      <c r="B511" s="29" t="n"/>
      <c r="C511" s="29" t="n"/>
      <c r="D511" s="29" t="n"/>
      <c r="E511" s="29" t="n"/>
      <c r="F511" s="29" t="n"/>
      <c r="G511" s="29" t="n"/>
    </row>
    <row r="512" ht="15.75" customHeight="1">
      <c r="B512" s="29" t="n"/>
      <c r="C512" s="29" t="n"/>
      <c r="D512" s="29" t="n"/>
      <c r="E512" s="29" t="n"/>
      <c r="F512" s="29" t="n"/>
      <c r="G512" s="29" t="n"/>
    </row>
    <row r="513" ht="15.75" customHeight="1">
      <c r="B513" s="29" t="n"/>
      <c r="C513" s="29" t="n"/>
      <c r="D513" s="29" t="n"/>
      <c r="E513" s="29" t="n"/>
      <c r="F513" s="29" t="n"/>
      <c r="G513" s="29" t="n"/>
    </row>
    <row r="514" ht="15.75" customHeight="1">
      <c r="B514" s="29" t="n"/>
      <c r="C514" s="29" t="n"/>
      <c r="D514" s="29" t="n"/>
      <c r="E514" s="29" t="n"/>
      <c r="F514" s="29" t="n"/>
      <c r="G514" s="29" t="n"/>
    </row>
    <row r="515" ht="15.75" customHeight="1">
      <c r="B515" s="29" t="n"/>
      <c r="C515" s="29" t="n"/>
      <c r="D515" s="29" t="n"/>
      <c r="E515" s="29" t="n"/>
      <c r="F515" s="29" t="n"/>
      <c r="G515" s="29" t="n"/>
    </row>
    <row r="516" ht="15.75" customHeight="1">
      <c r="B516" s="29" t="n"/>
      <c r="C516" s="29" t="n"/>
      <c r="D516" s="29" t="n"/>
      <c r="E516" s="29" t="n"/>
      <c r="F516" s="29" t="n"/>
      <c r="G516" s="29" t="n"/>
    </row>
    <row r="517" ht="15.75" customHeight="1">
      <c r="B517" s="29" t="n"/>
      <c r="C517" s="29" t="n"/>
      <c r="D517" s="29" t="n"/>
      <c r="E517" s="29" t="n"/>
      <c r="F517" s="29" t="n"/>
      <c r="G517" s="29" t="n"/>
    </row>
    <row r="518" ht="15.75" customHeight="1">
      <c r="B518" s="29" t="n"/>
      <c r="C518" s="29" t="n"/>
      <c r="D518" s="29" t="n"/>
      <c r="E518" s="29" t="n"/>
      <c r="F518" s="29" t="n"/>
      <c r="G518" s="29" t="n"/>
    </row>
    <row r="519" ht="15.75" customHeight="1">
      <c r="B519" s="29" t="n"/>
      <c r="C519" s="29" t="n"/>
      <c r="D519" s="29" t="n"/>
      <c r="E519" s="29" t="n"/>
      <c r="F519" s="29" t="n"/>
      <c r="G519" s="29" t="n"/>
    </row>
    <row r="520" ht="15.75" customHeight="1">
      <c r="B520" s="29" t="n"/>
      <c r="C520" s="29" t="n"/>
      <c r="D520" s="29" t="n"/>
      <c r="E520" s="29" t="n"/>
      <c r="F520" s="29" t="n"/>
      <c r="G520" s="29" t="n"/>
    </row>
    <row r="521" ht="15.75" customHeight="1">
      <c r="B521" s="29" t="n"/>
      <c r="C521" s="29" t="n"/>
      <c r="D521" s="29" t="n"/>
      <c r="E521" s="29" t="n"/>
      <c r="F521" s="29" t="n"/>
      <c r="G521" s="29" t="n"/>
    </row>
    <row r="522" ht="15.75" customHeight="1">
      <c r="B522" s="29" t="n"/>
      <c r="C522" s="29" t="n"/>
      <c r="D522" s="29" t="n"/>
      <c r="E522" s="29" t="n"/>
      <c r="F522" s="29" t="n"/>
      <c r="G522" s="29" t="n"/>
    </row>
    <row r="523" ht="15.75" customHeight="1">
      <c r="B523" s="29" t="n"/>
      <c r="C523" s="29" t="n"/>
      <c r="D523" s="29" t="n"/>
      <c r="E523" s="29" t="n"/>
      <c r="F523" s="29" t="n"/>
      <c r="G523" s="29" t="n"/>
    </row>
    <row r="524" ht="15.75" customHeight="1">
      <c r="B524" s="29" t="n"/>
      <c r="C524" s="29" t="n"/>
      <c r="D524" s="29" t="n"/>
      <c r="E524" s="29" t="n"/>
      <c r="F524" s="29" t="n"/>
      <c r="G524" s="29" t="n"/>
    </row>
    <row r="525" ht="15.75" customHeight="1">
      <c r="B525" s="29" t="n"/>
      <c r="C525" s="29" t="n"/>
      <c r="D525" s="29" t="n"/>
      <c r="E525" s="29" t="n"/>
      <c r="F525" s="29" t="n"/>
      <c r="G525" s="29" t="n"/>
    </row>
    <row r="526" ht="15.75" customHeight="1">
      <c r="B526" s="29" t="n"/>
      <c r="C526" s="29" t="n"/>
      <c r="D526" s="29" t="n"/>
      <c r="E526" s="29" t="n"/>
      <c r="F526" s="29" t="n"/>
      <c r="G526" s="29" t="n"/>
    </row>
    <row r="527" ht="15.75" customHeight="1">
      <c r="B527" s="29" t="n"/>
      <c r="C527" s="29" t="n"/>
      <c r="D527" s="29" t="n"/>
      <c r="E527" s="29" t="n"/>
      <c r="F527" s="29" t="n"/>
      <c r="G527" s="29" t="n"/>
    </row>
    <row r="528" ht="15.75" customHeight="1">
      <c r="B528" s="29" t="n"/>
      <c r="C528" s="29" t="n"/>
      <c r="D528" s="29" t="n"/>
      <c r="E528" s="29" t="n"/>
      <c r="F528" s="29" t="n"/>
      <c r="G528" s="29" t="n"/>
    </row>
    <row r="529" ht="15.75" customHeight="1">
      <c r="B529" s="29" t="n"/>
      <c r="C529" s="29" t="n"/>
      <c r="D529" s="29" t="n"/>
      <c r="E529" s="29" t="n"/>
      <c r="F529" s="29" t="n"/>
      <c r="G529" s="29" t="n"/>
    </row>
    <row r="530" ht="15.75" customHeight="1">
      <c r="B530" s="29" t="n"/>
      <c r="C530" s="29" t="n"/>
      <c r="D530" s="29" t="n"/>
      <c r="E530" s="29" t="n"/>
      <c r="F530" s="29" t="n"/>
      <c r="G530" s="29" t="n"/>
    </row>
    <row r="531" ht="15.75" customHeight="1">
      <c r="B531" s="29" t="n"/>
      <c r="C531" s="29" t="n"/>
      <c r="D531" s="29" t="n"/>
      <c r="E531" s="29" t="n"/>
      <c r="F531" s="29" t="n"/>
      <c r="G531" s="29" t="n"/>
    </row>
    <row r="532" ht="15.75" customHeight="1">
      <c r="B532" s="29" t="n"/>
      <c r="C532" s="29" t="n"/>
      <c r="D532" s="29" t="n"/>
      <c r="E532" s="29" t="n"/>
      <c r="F532" s="29" t="n"/>
      <c r="G532" s="29" t="n"/>
    </row>
    <row r="533" ht="15.75" customHeight="1">
      <c r="B533" s="29" t="n"/>
      <c r="C533" s="29" t="n"/>
      <c r="D533" s="29" t="n"/>
      <c r="E533" s="29" t="n"/>
      <c r="F533" s="29" t="n"/>
      <c r="G533" s="29" t="n"/>
    </row>
    <row r="534" ht="15.75" customHeight="1">
      <c r="B534" s="29" t="n"/>
      <c r="C534" s="29" t="n"/>
      <c r="D534" s="29" t="n"/>
      <c r="E534" s="29" t="n"/>
      <c r="F534" s="29" t="n"/>
      <c r="G534" s="29" t="n"/>
    </row>
    <row r="535" ht="15.75" customHeight="1">
      <c r="B535" s="29" t="n"/>
      <c r="C535" s="29" t="n"/>
      <c r="D535" s="29" t="n"/>
      <c r="E535" s="29" t="n"/>
      <c r="F535" s="29" t="n"/>
      <c r="G535" s="29" t="n"/>
    </row>
    <row r="536" ht="15.75" customHeight="1">
      <c r="B536" s="29" t="n"/>
      <c r="C536" s="29" t="n"/>
      <c r="D536" s="29" t="n"/>
      <c r="E536" s="29" t="n"/>
      <c r="F536" s="29" t="n"/>
      <c r="G536" s="29" t="n"/>
    </row>
    <row r="537" ht="15.75" customHeight="1">
      <c r="B537" s="29" t="n"/>
      <c r="C537" s="29" t="n"/>
      <c r="D537" s="29" t="n"/>
      <c r="E537" s="29" t="n"/>
      <c r="F537" s="29" t="n"/>
      <c r="G537" s="29" t="n"/>
    </row>
    <row r="538" ht="15.75" customHeight="1">
      <c r="B538" s="29" t="n"/>
      <c r="C538" s="29" t="n"/>
      <c r="D538" s="29" t="n"/>
      <c r="E538" s="29" t="n"/>
      <c r="F538" s="29" t="n"/>
      <c r="G538" s="29" t="n"/>
    </row>
    <row r="539" ht="15.75" customHeight="1">
      <c r="B539" s="29" t="n"/>
      <c r="C539" s="29" t="n"/>
      <c r="D539" s="29" t="n"/>
      <c r="E539" s="29" t="n"/>
      <c r="F539" s="29" t="n"/>
      <c r="G539" s="29" t="n"/>
    </row>
    <row r="540" ht="15.75" customHeight="1">
      <c r="B540" s="29" t="n"/>
      <c r="C540" s="29" t="n"/>
      <c r="D540" s="29" t="n"/>
      <c r="E540" s="29" t="n"/>
      <c r="F540" s="29" t="n"/>
      <c r="G540" s="29" t="n"/>
    </row>
    <row r="541" ht="15.75" customHeight="1">
      <c r="B541" s="29" t="n"/>
      <c r="C541" s="29" t="n"/>
      <c r="D541" s="29" t="n"/>
      <c r="E541" s="29" t="n"/>
      <c r="F541" s="29" t="n"/>
      <c r="G541" s="29" t="n"/>
    </row>
    <row r="542" ht="15.75" customHeight="1">
      <c r="B542" s="29" t="n"/>
      <c r="C542" s="29" t="n"/>
      <c r="D542" s="29" t="n"/>
      <c r="E542" s="29" t="n"/>
      <c r="F542" s="29" t="n"/>
      <c r="G542" s="29" t="n"/>
    </row>
    <row r="543" ht="15.75" customHeight="1">
      <c r="B543" s="29" t="n"/>
      <c r="C543" s="29" t="n"/>
      <c r="D543" s="29" t="n"/>
      <c r="E543" s="29" t="n"/>
      <c r="F543" s="29" t="n"/>
      <c r="G543" s="29" t="n"/>
    </row>
    <row r="544" ht="15.75" customHeight="1">
      <c r="B544" s="29" t="n"/>
      <c r="C544" s="29" t="n"/>
      <c r="D544" s="29" t="n"/>
      <c r="E544" s="29" t="n"/>
      <c r="F544" s="29" t="n"/>
      <c r="G544" s="29" t="n"/>
    </row>
    <row r="545" ht="15.75" customHeight="1">
      <c r="B545" s="29" t="n"/>
      <c r="C545" s="29" t="n"/>
      <c r="D545" s="29" t="n"/>
      <c r="E545" s="29" t="n"/>
      <c r="F545" s="29" t="n"/>
      <c r="G545" s="29" t="n"/>
    </row>
    <row r="546" ht="15.75" customHeight="1">
      <c r="B546" s="29" t="n"/>
      <c r="C546" s="29" t="n"/>
      <c r="D546" s="29" t="n"/>
      <c r="E546" s="29" t="n"/>
      <c r="F546" s="29" t="n"/>
      <c r="G546" s="29" t="n"/>
    </row>
    <row r="547" ht="15.75" customHeight="1">
      <c r="B547" s="29" t="n"/>
      <c r="C547" s="29" t="n"/>
      <c r="D547" s="29" t="n"/>
      <c r="E547" s="29" t="n"/>
      <c r="F547" s="29" t="n"/>
      <c r="G547" s="29" t="n"/>
    </row>
    <row r="548" ht="15.75" customHeight="1">
      <c r="B548" s="29" t="n"/>
      <c r="C548" s="29" t="n"/>
      <c r="D548" s="29" t="n"/>
      <c r="E548" s="29" t="n"/>
      <c r="F548" s="29" t="n"/>
      <c r="G548" s="29" t="n"/>
    </row>
    <row r="549" ht="15.75" customHeight="1">
      <c r="B549" s="29" t="n"/>
      <c r="C549" s="29" t="n"/>
      <c r="D549" s="29" t="n"/>
      <c r="E549" s="29" t="n"/>
      <c r="F549" s="29" t="n"/>
      <c r="G549" s="29" t="n"/>
    </row>
    <row r="550" ht="15.75" customHeight="1">
      <c r="B550" s="29" t="n"/>
      <c r="C550" s="29" t="n"/>
      <c r="D550" s="29" t="n"/>
      <c r="E550" s="29" t="n"/>
      <c r="F550" s="29" t="n"/>
      <c r="G550" s="29" t="n"/>
    </row>
    <row r="551" ht="15.75" customHeight="1">
      <c r="B551" s="29" t="n"/>
      <c r="C551" s="29" t="n"/>
      <c r="D551" s="29" t="n"/>
      <c r="E551" s="29" t="n"/>
      <c r="F551" s="29" t="n"/>
      <c r="G551" s="29" t="n"/>
    </row>
    <row r="552" ht="15.75" customHeight="1">
      <c r="B552" s="29" t="n"/>
      <c r="C552" s="29" t="n"/>
      <c r="D552" s="29" t="n"/>
      <c r="E552" s="29" t="n"/>
      <c r="F552" s="29" t="n"/>
      <c r="G552" s="29" t="n"/>
    </row>
    <row r="553" ht="15.75" customHeight="1">
      <c r="B553" s="29" t="n"/>
      <c r="C553" s="29" t="n"/>
      <c r="D553" s="29" t="n"/>
      <c r="E553" s="29" t="n"/>
      <c r="F553" s="29" t="n"/>
      <c r="G553" s="29" t="n"/>
    </row>
    <row r="554" ht="15.75" customHeight="1">
      <c r="B554" s="29" t="n"/>
      <c r="C554" s="29" t="n"/>
      <c r="D554" s="29" t="n"/>
      <c r="E554" s="29" t="n"/>
      <c r="F554" s="29" t="n"/>
      <c r="G554" s="29" t="n"/>
    </row>
    <row r="555" ht="15.75" customHeight="1">
      <c r="B555" s="29" t="n"/>
      <c r="C555" s="29" t="n"/>
      <c r="D555" s="29" t="n"/>
      <c r="E555" s="29" t="n"/>
      <c r="F555" s="29" t="n"/>
      <c r="G555" s="29" t="n"/>
    </row>
    <row r="556" ht="15.75" customHeight="1">
      <c r="B556" s="29" t="n"/>
      <c r="C556" s="29" t="n"/>
      <c r="D556" s="29" t="n"/>
      <c r="E556" s="29" t="n"/>
      <c r="F556" s="29" t="n"/>
      <c r="G556" s="29" t="n"/>
    </row>
    <row r="557" ht="15.75" customHeight="1">
      <c r="B557" s="29" t="n"/>
      <c r="C557" s="29" t="n"/>
      <c r="D557" s="29" t="n"/>
      <c r="E557" s="29" t="n"/>
      <c r="F557" s="29" t="n"/>
      <c r="G557" s="29" t="n"/>
    </row>
    <row r="558" ht="15.75" customHeight="1">
      <c r="B558" s="29" t="n"/>
      <c r="C558" s="29" t="n"/>
      <c r="D558" s="29" t="n"/>
      <c r="E558" s="29" t="n"/>
      <c r="F558" s="29" t="n"/>
      <c r="G558" s="29" t="n"/>
    </row>
    <row r="559" ht="15.75" customHeight="1">
      <c r="B559" s="29" t="n"/>
      <c r="C559" s="29" t="n"/>
      <c r="D559" s="29" t="n"/>
      <c r="E559" s="29" t="n"/>
      <c r="F559" s="29" t="n"/>
      <c r="G559" s="29" t="n"/>
    </row>
    <row r="560" ht="15.75" customHeight="1">
      <c r="B560" s="29" t="n"/>
      <c r="C560" s="29" t="n"/>
      <c r="D560" s="29" t="n"/>
      <c r="E560" s="29" t="n"/>
      <c r="F560" s="29" t="n"/>
      <c r="G560" s="29" t="n"/>
    </row>
    <row r="561" ht="15.75" customHeight="1">
      <c r="B561" s="29" t="n"/>
      <c r="C561" s="29" t="n"/>
      <c r="D561" s="29" t="n"/>
      <c r="E561" s="29" t="n"/>
      <c r="F561" s="29" t="n"/>
      <c r="G561" s="29" t="n"/>
    </row>
    <row r="562" ht="15.75" customHeight="1">
      <c r="B562" s="29" t="n"/>
      <c r="C562" s="29" t="n"/>
      <c r="D562" s="29" t="n"/>
      <c r="E562" s="29" t="n"/>
      <c r="F562" s="29" t="n"/>
      <c r="G562" s="29" t="n"/>
    </row>
    <row r="563" ht="15.75" customHeight="1">
      <c r="B563" s="29" t="n"/>
      <c r="C563" s="29" t="n"/>
      <c r="D563" s="29" t="n"/>
      <c r="E563" s="29" t="n"/>
      <c r="F563" s="29" t="n"/>
      <c r="G563" s="29" t="n"/>
    </row>
    <row r="564" ht="15.75" customHeight="1">
      <c r="B564" s="29" t="n"/>
      <c r="C564" s="29" t="n"/>
      <c r="D564" s="29" t="n"/>
      <c r="E564" s="29" t="n"/>
      <c r="F564" s="29" t="n"/>
      <c r="G564" s="29" t="n"/>
    </row>
    <row r="565" ht="15.75" customHeight="1">
      <c r="B565" s="29" t="n"/>
      <c r="C565" s="29" t="n"/>
      <c r="D565" s="29" t="n"/>
      <c r="E565" s="29" t="n"/>
      <c r="F565" s="29" t="n"/>
      <c r="G565" s="29" t="n"/>
    </row>
    <row r="566" ht="15.75" customHeight="1">
      <c r="B566" s="29" t="n"/>
      <c r="C566" s="29" t="n"/>
      <c r="D566" s="29" t="n"/>
      <c r="E566" s="29" t="n"/>
      <c r="F566" s="29" t="n"/>
      <c r="G566" s="29" t="n"/>
    </row>
    <row r="567" ht="15.75" customHeight="1">
      <c r="B567" s="29" t="n"/>
      <c r="C567" s="29" t="n"/>
      <c r="D567" s="29" t="n"/>
      <c r="E567" s="29" t="n"/>
      <c r="F567" s="29" t="n"/>
      <c r="G567" s="29" t="n"/>
    </row>
    <row r="568" ht="15.75" customHeight="1">
      <c r="B568" s="29" t="n"/>
      <c r="C568" s="29" t="n"/>
      <c r="D568" s="29" t="n"/>
      <c r="E568" s="29" t="n"/>
      <c r="F568" s="29" t="n"/>
      <c r="G568" s="29" t="n"/>
    </row>
    <row r="569" ht="15.75" customHeight="1">
      <c r="B569" s="29" t="n"/>
      <c r="C569" s="29" t="n"/>
      <c r="D569" s="29" t="n"/>
      <c r="E569" s="29" t="n"/>
      <c r="F569" s="29" t="n"/>
      <c r="G569" s="29" t="n"/>
    </row>
    <row r="570" ht="15.75" customHeight="1">
      <c r="B570" s="29" t="n"/>
      <c r="C570" s="29" t="n"/>
      <c r="D570" s="29" t="n"/>
      <c r="E570" s="29" t="n"/>
      <c r="F570" s="29" t="n"/>
      <c r="G570" s="29" t="n"/>
    </row>
    <row r="571" ht="15.75" customHeight="1">
      <c r="B571" s="29" t="n"/>
      <c r="C571" s="29" t="n"/>
      <c r="D571" s="29" t="n"/>
      <c r="E571" s="29" t="n"/>
      <c r="F571" s="29" t="n"/>
      <c r="G571" s="29" t="n"/>
    </row>
    <row r="572" ht="15.75" customHeight="1">
      <c r="B572" s="29" t="n"/>
      <c r="C572" s="29" t="n"/>
      <c r="D572" s="29" t="n"/>
      <c r="E572" s="29" t="n"/>
      <c r="F572" s="29" t="n"/>
      <c r="G572" s="29" t="n"/>
    </row>
    <row r="573" ht="15.75" customHeight="1">
      <c r="B573" s="29" t="n"/>
      <c r="C573" s="29" t="n"/>
      <c r="D573" s="29" t="n"/>
      <c r="E573" s="29" t="n"/>
      <c r="F573" s="29" t="n"/>
      <c r="G573" s="29" t="n"/>
    </row>
    <row r="574" ht="15.75" customHeight="1">
      <c r="B574" s="29" t="n"/>
      <c r="C574" s="29" t="n"/>
      <c r="D574" s="29" t="n"/>
      <c r="E574" s="29" t="n"/>
      <c r="F574" s="29" t="n"/>
      <c r="G574" s="29" t="n"/>
    </row>
    <row r="575" ht="15.75" customHeight="1">
      <c r="B575" s="29" t="n"/>
      <c r="C575" s="29" t="n"/>
      <c r="D575" s="29" t="n"/>
      <c r="E575" s="29" t="n"/>
      <c r="F575" s="29" t="n"/>
      <c r="G575" s="29" t="n"/>
    </row>
    <row r="576" ht="15.75" customHeight="1">
      <c r="B576" s="29" t="n"/>
      <c r="C576" s="29" t="n"/>
      <c r="D576" s="29" t="n"/>
      <c r="E576" s="29" t="n"/>
      <c r="F576" s="29" t="n"/>
      <c r="G576" s="29" t="n"/>
    </row>
    <row r="577" ht="15.75" customHeight="1">
      <c r="B577" s="29" t="n"/>
      <c r="C577" s="29" t="n"/>
      <c r="D577" s="29" t="n"/>
      <c r="E577" s="29" t="n"/>
      <c r="F577" s="29" t="n"/>
      <c r="G577" s="29" t="n"/>
    </row>
    <row r="578" ht="15.75" customHeight="1">
      <c r="B578" s="29" t="n"/>
      <c r="C578" s="29" t="n"/>
      <c r="D578" s="29" t="n"/>
      <c r="E578" s="29" t="n"/>
      <c r="F578" s="29" t="n"/>
      <c r="G578" s="29" t="n"/>
    </row>
    <row r="579" ht="15.75" customHeight="1">
      <c r="B579" s="29" t="n"/>
      <c r="C579" s="29" t="n"/>
      <c r="D579" s="29" t="n"/>
      <c r="E579" s="29" t="n"/>
      <c r="F579" s="29" t="n"/>
      <c r="G579" s="29" t="n"/>
    </row>
    <row r="580" ht="15.75" customHeight="1">
      <c r="B580" s="29" t="n"/>
      <c r="C580" s="29" t="n"/>
      <c r="D580" s="29" t="n"/>
      <c r="E580" s="29" t="n"/>
      <c r="F580" s="29" t="n"/>
      <c r="G580" s="29" t="n"/>
    </row>
    <row r="581" ht="15.75" customHeight="1">
      <c r="B581" s="29" t="n"/>
      <c r="C581" s="29" t="n"/>
      <c r="D581" s="29" t="n"/>
      <c r="E581" s="29" t="n"/>
      <c r="F581" s="29" t="n"/>
      <c r="G581" s="29" t="n"/>
    </row>
    <row r="582" ht="15.75" customHeight="1">
      <c r="B582" s="29" t="n"/>
      <c r="C582" s="29" t="n"/>
      <c r="D582" s="29" t="n"/>
      <c r="E582" s="29" t="n"/>
      <c r="F582" s="29" t="n"/>
      <c r="G582" s="29" t="n"/>
    </row>
    <row r="583" ht="15.75" customHeight="1">
      <c r="B583" s="29" t="n"/>
      <c r="C583" s="29" t="n"/>
      <c r="D583" s="29" t="n"/>
      <c r="E583" s="29" t="n"/>
      <c r="F583" s="29" t="n"/>
      <c r="G583" s="29" t="n"/>
    </row>
    <row r="584" ht="15.75" customHeight="1">
      <c r="B584" s="29" t="n"/>
      <c r="C584" s="29" t="n"/>
      <c r="D584" s="29" t="n"/>
      <c r="E584" s="29" t="n"/>
      <c r="F584" s="29" t="n"/>
      <c r="G584" s="29" t="n"/>
    </row>
    <row r="585" ht="15.75" customHeight="1">
      <c r="B585" s="29" t="n"/>
      <c r="C585" s="29" t="n"/>
      <c r="D585" s="29" t="n"/>
      <c r="E585" s="29" t="n"/>
      <c r="F585" s="29" t="n"/>
      <c r="G585" s="29" t="n"/>
    </row>
    <row r="586" ht="15.75" customHeight="1">
      <c r="B586" s="29" t="n"/>
      <c r="C586" s="29" t="n"/>
      <c r="D586" s="29" t="n"/>
      <c r="E586" s="29" t="n"/>
      <c r="F586" s="29" t="n"/>
      <c r="G586" s="29" t="n"/>
    </row>
    <row r="587" ht="15.75" customHeight="1">
      <c r="B587" s="29" t="n"/>
      <c r="C587" s="29" t="n"/>
      <c r="D587" s="29" t="n"/>
      <c r="E587" s="29" t="n"/>
      <c r="F587" s="29" t="n"/>
      <c r="G587" s="29" t="n"/>
    </row>
    <row r="588" ht="15.75" customHeight="1">
      <c r="B588" s="29" t="n"/>
      <c r="C588" s="29" t="n"/>
      <c r="D588" s="29" t="n"/>
      <c r="E588" s="29" t="n"/>
      <c r="F588" s="29" t="n"/>
      <c r="G588" s="29" t="n"/>
    </row>
    <row r="589" ht="15.75" customHeight="1">
      <c r="B589" s="29" t="n"/>
      <c r="C589" s="29" t="n"/>
      <c r="D589" s="29" t="n"/>
      <c r="E589" s="29" t="n"/>
      <c r="F589" s="29" t="n"/>
      <c r="G589" s="29" t="n"/>
    </row>
    <row r="590" ht="15.75" customHeight="1">
      <c r="B590" s="29" t="n"/>
      <c r="C590" s="29" t="n"/>
      <c r="D590" s="29" t="n"/>
      <c r="E590" s="29" t="n"/>
      <c r="F590" s="29" t="n"/>
      <c r="G590" s="29" t="n"/>
    </row>
    <row r="591" ht="15.75" customHeight="1">
      <c r="B591" s="29" t="n"/>
      <c r="C591" s="29" t="n"/>
      <c r="D591" s="29" t="n"/>
      <c r="E591" s="29" t="n"/>
      <c r="F591" s="29" t="n"/>
      <c r="G591" s="29" t="n"/>
    </row>
    <row r="592" ht="15.75" customHeight="1">
      <c r="B592" s="29" t="n"/>
      <c r="C592" s="29" t="n"/>
      <c r="D592" s="29" t="n"/>
      <c r="E592" s="29" t="n"/>
      <c r="F592" s="29" t="n"/>
      <c r="G592" s="29" t="n"/>
    </row>
    <row r="593" ht="15.75" customHeight="1">
      <c r="B593" s="29" t="n"/>
      <c r="C593" s="29" t="n"/>
      <c r="D593" s="29" t="n"/>
      <c r="E593" s="29" t="n"/>
      <c r="F593" s="29" t="n"/>
      <c r="G593" s="29" t="n"/>
    </row>
    <row r="594" ht="15.75" customHeight="1">
      <c r="B594" s="29" t="n"/>
      <c r="C594" s="29" t="n"/>
      <c r="D594" s="29" t="n"/>
      <c r="E594" s="29" t="n"/>
      <c r="F594" s="29" t="n"/>
      <c r="G594" s="29" t="n"/>
    </row>
    <row r="595" ht="15.75" customHeight="1">
      <c r="B595" s="29" t="n"/>
      <c r="C595" s="29" t="n"/>
      <c r="D595" s="29" t="n"/>
      <c r="E595" s="29" t="n"/>
      <c r="F595" s="29" t="n"/>
      <c r="G595" s="29" t="n"/>
    </row>
    <row r="596" ht="15.75" customHeight="1">
      <c r="B596" s="29" t="n"/>
      <c r="C596" s="29" t="n"/>
      <c r="D596" s="29" t="n"/>
      <c r="E596" s="29" t="n"/>
      <c r="F596" s="29" t="n"/>
      <c r="G596" s="29" t="n"/>
    </row>
    <row r="597" ht="15.75" customHeight="1">
      <c r="B597" s="29" t="n"/>
      <c r="C597" s="29" t="n"/>
      <c r="D597" s="29" t="n"/>
      <c r="E597" s="29" t="n"/>
      <c r="F597" s="29" t="n"/>
      <c r="G597" s="29" t="n"/>
    </row>
    <row r="598" ht="15.75" customHeight="1">
      <c r="B598" s="29" t="n"/>
      <c r="C598" s="29" t="n"/>
      <c r="D598" s="29" t="n"/>
      <c r="E598" s="29" t="n"/>
      <c r="F598" s="29" t="n"/>
      <c r="G598" s="29" t="n"/>
    </row>
    <row r="599" ht="15.75" customHeight="1">
      <c r="B599" s="29" t="n"/>
      <c r="C599" s="29" t="n"/>
      <c r="D599" s="29" t="n"/>
      <c r="E599" s="29" t="n"/>
      <c r="F599" s="29" t="n"/>
      <c r="G599" s="29" t="n"/>
    </row>
    <row r="600" ht="15.75" customHeight="1">
      <c r="B600" s="29" t="n"/>
      <c r="C600" s="29" t="n"/>
      <c r="D600" s="29" t="n"/>
      <c r="E600" s="29" t="n"/>
      <c r="F600" s="29" t="n"/>
      <c r="G600" s="29" t="n"/>
    </row>
    <row r="601" ht="15.75" customHeight="1">
      <c r="B601" s="29" t="n"/>
      <c r="C601" s="29" t="n"/>
      <c r="D601" s="29" t="n"/>
      <c r="E601" s="29" t="n"/>
      <c r="F601" s="29" t="n"/>
      <c r="G601" s="29" t="n"/>
    </row>
    <row r="602" ht="15.75" customHeight="1">
      <c r="B602" s="29" t="n"/>
      <c r="C602" s="29" t="n"/>
      <c r="D602" s="29" t="n"/>
      <c r="E602" s="29" t="n"/>
      <c r="F602" s="29" t="n"/>
      <c r="G602" s="29" t="n"/>
    </row>
    <row r="603" ht="15.75" customHeight="1">
      <c r="B603" s="29" t="n"/>
      <c r="C603" s="29" t="n"/>
      <c r="D603" s="29" t="n"/>
      <c r="E603" s="29" t="n"/>
      <c r="F603" s="29" t="n"/>
      <c r="G603" s="29" t="n"/>
    </row>
    <row r="604" ht="15.75" customHeight="1">
      <c r="B604" s="29" t="n"/>
      <c r="C604" s="29" t="n"/>
      <c r="D604" s="29" t="n"/>
      <c r="E604" s="29" t="n"/>
      <c r="F604" s="29" t="n"/>
      <c r="G604" s="29" t="n"/>
    </row>
    <row r="605" ht="15.75" customHeight="1">
      <c r="B605" s="29" t="n"/>
      <c r="C605" s="29" t="n"/>
      <c r="D605" s="29" t="n"/>
      <c r="E605" s="29" t="n"/>
      <c r="F605" s="29" t="n"/>
      <c r="G605" s="29" t="n"/>
    </row>
    <row r="606" ht="15.75" customHeight="1">
      <c r="B606" s="29" t="n"/>
      <c r="C606" s="29" t="n"/>
      <c r="D606" s="29" t="n"/>
      <c r="E606" s="29" t="n"/>
      <c r="F606" s="29" t="n"/>
      <c r="G606" s="29" t="n"/>
    </row>
    <row r="607" ht="15.75" customHeight="1">
      <c r="B607" s="29" t="n"/>
      <c r="C607" s="29" t="n"/>
      <c r="D607" s="29" t="n"/>
      <c r="E607" s="29" t="n"/>
      <c r="F607" s="29" t="n"/>
      <c r="G607" s="29" t="n"/>
    </row>
    <row r="608" ht="15.75" customHeight="1">
      <c r="B608" s="29" t="n"/>
      <c r="C608" s="29" t="n"/>
      <c r="D608" s="29" t="n"/>
      <c r="E608" s="29" t="n"/>
      <c r="F608" s="29" t="n"/>
      <c r="G608" s="29" t="n"/>
    </row>
    <row r="609" ht="15.75" customHeight="1">
      <c r="B609" s="29" t="n"/>
      <c r="C609" s="29" t="n"/>
      <c r="D609" s="29" t="n"/>
      <c r="E609" s="29" t="n"/>
      <c r="F609" s="29" t="n"/>
      <c r="G609" s="29" t="n"/>
    </row>
    <row r="610" ht="15.75" customHeight="1">
      <c r="B610" s="29" t="n"/>
      <c r="C610" s="29" t="n"/>
      <c r="D610" s="29" t="n"/>
      <c r="E610" s="29" t="n"/>
      <c r="F610" s="29" t="n"/>
      <c r="G610" s="29" t="n"/>
    </row>
    <row r="611" ht="15.75" customHeight="1">
      <c r="B611" s="29" t="n"/>
      <c r="C611" s="29" t="n"/>
      <c r="D611" s="29" t="n"/>
      <c r="E611" s="29" t="n"/>
      <c r="F611" s="29" t="n"/>
      <c r="G611" s="29" t="n"/>
    </row>
    <row r="612" ht="15.75" customHeight="1">
      <c r="B612" s="29" t="n"/>
      <c r="C612" s="29" t="n"/>
      <c r="D612" s="29" t="n"/>
      <c r="E612" s="29" t="n"/>
      <c r="F612" s="29" t="n"/>
      <c r="G612" s="29" t="n"/>
    </row>
    <row r="613" ht="15.75" customHeight="1">
      <c r="B613" s="29" t="n"/>
      <c r="C613" s="29" t="n"/>
      <c r="D613" s="29" t="n"/>
      <c r="E613" s="29" t="n"/>
      <c r="F613" s="29" t="n"/>
      <c r="G613" s="29" t="n"/>
    </row>
    <row r="614" ht="15.75" customHeight="1">
      <c r="B614" s="29" t="n"/>
      <c r="C614" s="29" t="n"/>
      <c r="D614" s="29" t="n"/>
      <c r="E614" s="29" t="n"/>
      <c r="F614" s="29" t="n"/>
      <c r="G614" s="29" t="n"/>
    </row>
    <row r="615" ht="15.75" customHeight="1">
      <c r="B615" s="29" t="n"/>
      <c r="C615" s="29" t="n"/>
      <c r="D615" s="29" t="n"/>
      <c r="E615" s="29" t="n"/>
      <c r="F615" s="29" t="n"/>
      <c r="G615" s="29" t="n"/>
    </row>
    <row r="616" ht="15.75" customHeight="1">
      <c r="B616" s="29" t="n"/>
      <c r="C616" s="29" t="n"/>
      <c r="D616" s="29" t="n"/>
      <c r="E616" s="29" t="n"/>
      <c r="F616" s="29" t="n"/>
      <c r="G616" s="29" t="n"/>
    </row>
    <row r="617" ht="15.75" customHeight="1">
      <c r="B617" s="29" t="n"/>
      <c r="C617" s="29" t="n"/>
      <c r="D617" s="29" t="n"/>
      <c r="E617" s="29" t="n"/>
      <c r="F617" s="29" t="n"/>
      <c r="G617" s="29" t="n"/>
    </row>
    <row r="618" ht="15.75" customHeight="1">
      <c r="B618" s="29" t="n"/>
      <c r="C618" s="29" t="n"/>
      <c r="D618" s="29" t="n"/>
      <c r="E618" s="29" t="n"/>
      <c r="F618" s="29" t="n"/>
      <c r="G618" s="29" t="n"/>
    </row>
    <row r="619" ht="15.75" customHeight="1">
      <c r="B619" s="29" t="n"/>
      <c r="C619" s="29" t="n"/>
      <c r="D619" s="29" t="n"/>
      <c r="E619" s="29" t="n"/>
      <c r="F619" s="29" t="n"/>
      <c r="G619" s="29" t="n"/>
    </row>
    <row r="620" ht="15.75" customHeight="1">
      <c r="B620" s="29" t="n"/>
      <c r="C620" s="29" t="n"/>
      <c r="D620" s="29" t="n"/>
      <c r="E620" s="29" t="n"/>
      <c r="F620" s="29" t="n"/>
      <c r="G620" s="29" t="n"/>
    </row>
    <row r="621" ht="15.75" customHeight="1">
      <c r="B621" s="29" t="n"/>
      <c r="C621" s="29" t="n"/>
      <c r="D621" s="29" t="n"/>
      <c r="E621" s="29" t="n"/>
      <c r="F621" s="29" t="n"/>
      <c r="G621" s="29" t="n"/>
    </row>
    <row r="622" ht="15.75" customHeight="1">
      <c r="B622" s="29" t="n"/>
      <c r="C622" s="29" t="n"/>
      <c r="D622" s="29" t="n"/>
      <c r="E622" s="29" t="n"/>
      <c r="F622" s="29" t="n"/>
      <c r="G622" s="29" t="n"/>
    </row>
    <row r="623" ht="15.75" customHeight="1">
      <c r="B623" s="29" t="n"/>
      <c r="C623" s="29" t="n"/>
      <c r="D623" s="29" t="n"/>
      <c r="E623" s="29" t="n"/>
      <c r="F623" s="29" t="n"/>
      <c r="G623" s="29" t="n"/>
    </row>
    <row r="624" ht="15.75" customHeight="1">
      <c r="B624" s="29" t="n"/>
      <c r="C624" s="29" t="n"/>
      <c r="D624" s="29" t="n"/>
      <c r="E624" s="29" t="n"/>
      <c r="F624" s="29" t="n"/>
      <c r="G624" s="29" t="n"/>
    </row>
    <row r="625" ht="15.75" customHeight="1">
      <c r="B625" s="29" t="n"/>
      <c r="C625" s="29" t="n"/>
      <c r="D625" s="29" t="n"/>
      <c r="E625" s="29" t="n"/>
      <c r="F625" s="29" t="n"/>
      <c r="G625" s="29" t="n"/>
    </row>
    <row r="626" ht="15.75" customHeight="1">
      <c r="B626" s="29" t="n"/>
      <c r="C626" s="29" t="n"/>
      <c r="D626" s="29" t="n"/>
      <c r="E626" s="29" t="n"/>
      <c r="F626" s="29" t="n"/>
      <c r="G626" s="29" t="n"/>
    </row>
    <row r="627" ht="15.75" customHeight="1">
      <c r="B627" s="29" t="n"/>
      <c r="C627" s="29" t="n"/>
      <c r="D627" s="29" t="n"/>
      <c r="E627" s="29" t="n"/>
      <c r="F627" s="29" t="n"/>
      <c r="G627" s="29" t="n"/>
    </row>
    <row r="628" ht="15.75" customHeight="1">
      <c r="B628" s="29" t="n"/>
      <c r="C628" s="29" t="n"/>
      <c r="D628" s="29" t="n"/>
      <c r="E628" s="29" t="n"/>
      <c r="F628" s="29" t="n"/>
      <c r="G628" s="29" t="n"/>
    </row>
    <row r="629" ht="15.75" customHeight="1">
      <c r="B629" s="29" t="n"/>
      <c r="C629" s="29" t="n"/>
      <c r="D629" s="29" t="n"/>
      <c r="E629" s="29" t="n"/>
      <c r="F629" s="29" t="n"/>
      <c r="G629" s="29" t="n"/>
    </row>
    <row r="630" ht="15.75" customHeight="1">
      <c r="B630" s="29" t="n"/>
      <c r="C630" s="29" t="n"/>
      <c r="D630" s="29" t="n"/>
      <c r="E630" s="29" t="n"/>
      <c r="F630" s="29" t="n"/>
      <c r="G630" s="29" t="n"/>
    </row>
    <row r="631" ht="15.75" customHeight="1">
      <c r="B631" s="29" t="n"/>
      <c r="C631" s="29" t="n"/>
      <c r="D631" s="29" t="n"/>
      <c r="E631" s="29" t="n"/>
      <c r="F631" s="29" t="n"/>
      <c r="G631" s="29" t="n"/>
    </row>
    <row r="632" ht="15.75" customHeight="1">
      <c r="B632" s="29" t="n"/>
      <c r="C632" s="29" t="n"/>
      <c r="D632" s="29" t="n"/>
      <c r="E632" s="29" t="n"/>
      <c r="F632" s="29" t="n"/>
      <c r="G632" s="29" t="n"/>
    </row>
    <row r="633" ht="15.75" customHeight="1">
      <c r="B633" s="29" t="n"/>
      <c r="C633" s="29" t="n"/>
      <c r="D633" s="29" t="n"/>
      <c r="E633" s="29" t="n"/>
      <c r="F633" s="29" t="n"/>
      <c r="G633" s="29" t="n"/>
    </row>
    <row r="634" ht="15.75" customHeight="1">
      <c r="B634" s="29" t="n"/>
      <c r="C634" s="29" t="n"/>
      <c r="D634" s="29" t="n"/>
      <c r="E634" s="29" t="n"/>
      <c r="F634" s="29" t="n"/>
      <c r="G634" s="29" t="n"/>
    </row>
    <row r="635" ht="15.75" customHeight="1">
      <c r="B635" s="29" t="n"/>
      <c r="C635" s="29" t="n"/>
      <c r="D635" s="29" t="n"/>
      <c r="E635" s="29" t="n"/>
      <c r="F635" s="29" t="n"/>
      <c r="G635" s="29" t="n"/>
    </row>
    <row r="636" ht="15.75" customHeight="1">
      <c r="B636" s="29" t="n"/>
      <c r="C636" s="29" t="n"/>
      <c r="D636" s="29" t="n"/>
      <c r="E636" s="29" t="n"/>
      <c r="F636" s="29" t="n"/>
      <c r="G636" s="29" t="n"/>
    </row>
    <row r="637" ht="15.75" customHeight="1">
      <c r="B637" s="29" t="n"/>
      <c r="C637" s="29" t="n"/>
      <c r="D637" s="29" t="n"/>
      <c r="E637" s="29" t="n"/>
      <c r="F637" s="29" t="n"/>
      <c r="G637" s="29" t="n"/>
    </row>
    <row r="638" ht="15.75" customHeight="1">
      <c r="B638" s="29" t="n"/>
      <c r="C638" s="29" t="n"/>
      <c r="D638" s="29" t="n"/>
      <c r="E638" s="29" t="n"/>
      <c r="F638" s="29" t="n"/>
      <c r="G638" s="29" t="n"/>
    </row>
    <row r="639" ht="15.75" customHeight="1">
      <c r="B639" s="29" t="n"/>
      <c r="C639" s="29" t="n"/>
      <c r="D639" s="29" t="n"/>
      <c r="E639" s="29" t="n"/>
      <c r="F639" s="29" t="n"/>
      <c r="G639" s="29" t="n"/>
    </row>
    <row r="640" ht="15.75" customHeight="1">
      <c r="B640" s="29" t="n"/>
      <c r="C640" s="29" t="n"/>
      <c r="D640" s="29" t="n"/>
      <c r="E640" s="29" t="n"/>
      <c r="F640" s="29" t="n"/>
      <c r="G640" s="29" t="n"/>
    </row>
    <row r="641" ht="15.75" customHeight="1">
      <c r="B641" s="29" t="n"/>
      <c r="C641" s="29" t="n"/>
      <c r="D641" s="29" t="n"/>
      <c r="E641" s="29" t="n"/>
      <c r="F641" s="29" t="n"/>
      <c r="G641" s="29" t="n"/>
    </row>
    <row r="642" ht="15.75" customHeight="1">
      <c r="B642" s="29" t="n"/>
      <c r="C642" s="29" t="n"/>
      <c r="D642" s="29" t="n"/>
      <c r="E642" s="29" t="n"/>
      <c r="F642" s="29" t="n"/>
      <c r="G642" s="29" t="n"/>
    </row>
    <row r="643" ht="15.75" customHeight="1">
      <c r="B643" s="29" t="n"/>
      <c r="C643" s="29" t="n"/>
      <c r="D643" s="29" t="n"/>
      <c r="E643" s="29" t="n"/>
      <c r="F643" s="29" t="n"/>
      <c r="G643" s="29" t="n"/>
    </row>
    <row r="644" ht="15.75" customHeight="1">
      <c r="B644" s="29" t="n"/>
      <c r="C644" s="29" t="n"/>
      <c r="D644" s="29" t="n"/>
      <c r="E644" s="29" t="n"/>
      <c r="F644" s="29" t="n"/>
      <c r="G644" s="29" t="n"/>
    </row>
    <row r="645" ht="15.75" customHeight="1">
      <c r="B645" s="29" t="n"/>
      <c r="C645" s="29" t="n"/>
      <c r="D645" s="29" t="n"/>
      <c r="E645" s="29" t="n"/>
      <c r="F645" s="29" t="n"/>
      <c r="G645" s="29" t="n"/>
    </row>
    <row r="646" ht="15.75" customHeight="1">
      <c r="B646" s="29" t="n"/>
      <c r="C646" s="29" t="n"/>
      <c r="D646" s="29" t="n"/>
      <c r="E646" s="29" t="n"/>
      <c r="F646" s="29" t="n"/>
      <c r="G646" s="29" t="n"/>
    </row>
    <row r="647" ht="15.75" customHeight="1">
      <c r="B647" s="29" t="n"/>
      <c r="C647" s="29" t="n"/>
      <c r="D647" s="29" t="n"/>
      <c r="E647" s="29" t="n"/>
      <c r="F647" s="29" t="n"/>
      <c r="G647" s="29" t="n"/>
    </row>
    <row r="648" ht="15.75" customHeight="1">
      <c r="B648" s="29" t="n"/>
      <c r="C648" s="29" t="n"/>
      <c r="D648" s="29" t="n"/>
      <c r="E648" s="29" t="n"/>
      <c r="F648" s="29" t="n"/>
      <c r="G648" s="29" t="n"/>
    </row>
    <row r="649" ht="15.75" customHeight="1">
      <c r="B649" s="29" t="n"/>
      <c r="C649" s="29" t="n"/>
      <c r="D649" s="29" t="n"/>
      <c r="E649" s="29" t="n"/>
      <c r="F649" s="29" t="n"/>
      <c r="G649" s="29" t="n"/>
    </row>
    <row r="650" ht="15.75" customHeight="1">
      <c r="B650" s="29" t="n"/>
      <c r="C650" s="29" t="n"/>
      <c r="D650" s="29" t="n"/>
      <c r="E650" s="29" t="n"/>
      <c r="F650" s="29" t="n"/>
      <c r="G650" s="29" t="n"/>
    </row>
    <row r="651" ht="15.75" customHeight="1">
      <c r="B651" s="29" t="n"/>
      <c r="C651" s="29" t="n"/>
      <c r="D651" s="29" t="n"/>
      <c r="E651" s="29" t="n"/>
      <c r="F651" s="29" t="n"/>
      <c r="G651" s="29" t="n"/>
    </row>
    <row r="652" ht="15.75" customHeight="1">
      <c r="B652" s="29" t="n"/>
      <c r="C652" s="29" t="n"/>
      <c r="D652" s="29" t="n"/>
      <c r="E652" s="29" t="n"/>
      <c r="F652" s="29" t="n"/>
      <c r="G652" s="29" t="n"/>
    </row>
    <row r="653" ht="15.75" customHeight="1">
      <c r="B653" s="29" t="n"/>
      <c r="C653" s="29" t="n"/>
      <c r="D653" s="29" t="n"/>
      <c r="E653" s="29" t="n"/>
      <c r="F653" s="29" t="n"/>
      <c r="G653" s="29" t="n"/>
    </row>
    <row r="654" ht="15.75" customHeight="1">
      <c r="B654" s="29" t="n"/>
      <c r="C654" s="29" t="n"/>
      <c r="D654" s="29" t="n"/>
      <c r="E654" s="29" t="n"/>
      <c r="F654" s="29" t="n"/>
      <c r="G654" s="29" t="n"/>
    </row>
    <row r="655" ht="15.75" customHeight="1">
      <c r="B655" s="29" t="n"/>
      <c r="C655" s="29" t="n"/>
      <c r="D655" s="29" t="n"/>
      <c r="E655" s="29" t="n"/>
      <c r="F655" s="29" t="n"/>
      <c r="G655" s="29" t="n"/>
    </row>
    <row r="656" ht="15.75" customHeight="1">
      <c r="B656" s="29" t="n"/>
      <c r="C656" s="29" t="n"/>
      <c r="D656" s="29" t="n"/>
      <c r="E656" s="29" t="n"/>
      <c r="F656" s="29" t="n"/>
      <c r="G656" s="29" t="n"/>
    </row>
    <row r="657" ht="15.75" customHeight="1">
      <c r="B657" s="29" t="n"/>
      <c r="C657" s="29" t="n"/>
      <c r="D657" s="29" t="n"/>
      <c r="E657" s="29" t="n"/>
      <c r="F657" s="29" t="n"/>
      <c r="G657" s="29" t="n"/>
    </row>
    <row r="658" ht="15.75" customHeight="1">
      <c r="B658" s="29" t="n"/>
      <c r="C658" s="29" t="n"/>
      <c r="D658" s="29" t="n"/>
      <c r="E658" s="29" t="n"/>
      <c r="F658" s="29" t="n"/>
      <c r="G658" s="29" t="n"/>
    </row>
    <row r="659" ht="15.75" customHeight="1">
      <c r="B659" s="29" t="n"/>
      <c r="C659" s="29" t="n"/>
      <c r="D659" s="29" t="n"/>
      <c r="E659" s="29" t="n"/>
      <c r="F659" s="29" t="n"/>
      <c r="G659" s="29" t="n"/>
    </row>
    <row r="660" ht="15.75" customHeight="1">
      <c r="B660" s="29" t="n"/>
      <c r="C660" s="29" t="n"/>
      <c r="D660" s="29" t="n"/>
      <c r="E660" s="29" t="n"/>
      <c r="F660" s="29" t="n"/>
      <c r="G660" s="29" t="n"/>
    </row>
    <row r="661" ht="15.75" customHeight="1">
      <c r="B661" s="29" t="n"/>
      <c r="C661" s="29" t="n"/>
      <c r="D661" s="29" t="n"/>
      <c r="E661" s="29" t="n"/>
      <c r="F661" s="29" t="n"/>
      <c r="G661" s="29" t="n"/>
    </row>
    <row r="662" ht="15.75" customHeight="1">
      <c r="B662" s="29" t="n"/>
      <c r="C662" s="29" t="n"/>
      <c r="D662" s="29" t="n"/>
      <c r="E662" s="29" t="n"/>
      <c r="F662" s="29" t="n"/>
      <c r="G662" s="29" t="n"/>
    </row>
    <row r="663" ht="15.75" customHeight="1">
      <c r="B663" s="29" t="n"/>
      <c r="C663" s="29" t="n"/>
      <c r="D663" s="29" t="n"/>
      <c r="E663" s="29" t="n"/>
      <c r="F663" s="29" t="n"/>
      <c r="G663" s="29" t="n"/>
    </row>
    <row r="664" ht="15.75" customHeight="1">
      <c r="B664" s="29" t="n"/>
      <c r="C664" s="29" t="n"/>
      <c r="D664" s="29" t="n"/>
      <c r="E664" s="29" t="n"/>
      <c r="F664" s="29" t="n"/>
      <c r="G664" s="29" t="n"/>
    </row>
    <row r="665" ht="15.75" customHeight="1">
      <c r="B665" s="29" t="n"/>
      <c r="C665" s="29" t="n"/>
      <c r="D665" s="29" t="n"/>
      <c r="E665" s="29" t="n"/>
      <c r="F665" s="29" t="n"/>
      <c r="G665" s="29" t="n"/>
    </row>
    <row r="666" ht="15.75" customHeight="1">
      <c r="B666" s="29" t="n"/>
      <c r="C666" s="29" t="n"/>
      <c r="D666" s="29" t="n"/>
      <c r="E666" s="29" t="n"/>
      <c r="F666" s="29" t="n"/>
      <c r="G666" s="29" t="n"/>
    </row>
    <row r="667" ht="15.75" customHeight="1">
      <c r="B667" s="29" t="n"/>
      <c r="C667" s="29" t="n"/>
      <c r="D667" s="29" t="n"/>
      <c r="E667" s="29" t="n"/>
      <c r="F667" s="29" t="n"/>
      <c r="G667" s="29" t="n"/>
    </row>
    <row r="668" ht="15.75" customHeight="1">
      <c r="B668" s="29" t="n"/>
      <c r="C668" s="29" t="n"/>
      <c r="D668" s="29" t="n"/>
      <c r="E668" s="29" t="n"/>
      <c r="F668" s="29" t="n"/>
      <c r="G668" s="29" t="n"/>
    </row>
    <row r="669" ht="15.75" customHeight="1">
      <c r="B669" s="29" t="n"/>
      <c r="C669" s="29" t="n"/>
      <c r="D669" s="29" t="n"/>
      <c r="E669" s="29" t="n"/>
      <c r="F669" s="29" t="n"/>
      <c r="G669" s="29" t="n"/>
    </row>
    <row r="670" ht="15.75" customHeight="1">
      <c r="B670" s="29" t="n"/>
      <c r="C670" s="29" t="n"/>
      <c r="D670" s="29" t="n"/>
      <c r="E670" s="29" t="n"/>
      <c r="F670" s="29" t="n"/>
      <c r="G670" s="29" t="n"/>
    </row>
    <row r="671" ht="15.75" customHeight="1">
      <c r="B671" s="29" t="n"/>
      <c r="C671" s="29" t="n"/>
      <c r="D671" s="29" t="n"/>
      <c r="E671" s="29" t="n"/>
      <c r="F671" s="29" t="n"/>
      <c r="G671" s="29" t="n"/>
    </row>
    <row r="672" ht="15.75" customHeight="1">
      <c r="B672" s="29" t="n"/>
      <c r="C672" s="29" t="n"/>
      <c r="D672" s="29" t="n"/>
      <c r="E672" s="29" t="n"/>
      <c r="F672" s="29" t="n"/>
      <c r="G672" s="29" t="n"/>
    </row>
    <row r="673" ht="15.75" customHeight="1">
      <c r="B673" s="29" t="n"/>
      <c r="C673" s="29" t="n"/>
      <c r="D673" s="29" t="n"/>
      <c r="E673" s="29" t="n"/>
      <c r="F673" s="29" t="n"/>
      <c r="G673" s="29" t="n"/>
    </row>
    <row r="674" ht="15.75" customHeight="1">
      <c r="B674" s="29" t="n"/>
      <c r="C674" s="29" t="n"/>
      <c r="D674" s="29" t="n"/>
      <c r="E674" s="29" t="n"/>
      <c r="F674" s="29" t="n"/>
      <c r="G674" s="29" t="n"/>
    </row>
    <row r="675" ht="15.75" customHeight="1">
      <c r="B675" s="29" t="n"/>
      <c r="C675" s="29" t="n"/>
      <c r="D675" s="29" t="n"/>
      <c r="E675" s="29" t="n"/>
      <c r="F675" s="29" t="n"/>
      <c r="G675" s="29" t="n"/>
    </row>
    <row r="676" ht="15.75" customHeight="1">
      <c r="B676" s="29" t="n"/>
      <c r="C676" s="29" t="n"/>
      <c r="D676" s="29" t="n"/>
      <c r="E676" s="29" t="n"/>
      <c r="F676" s="29" t="n"/>
      <c r="G676" s="29" t="n"/>
    </row>
    <row r="677" ht="15.75" customHeight="1">
      <c r="B677" s="29" t="n"/>
      <c r="C677" s="29" t="n"/>
      <c r="D677" s="29" t="n"/>
      <c r="E677" s="29" t="n"/>
      <c r="F677" s="29" t="n"/>
      <c r="G677" s="29" t="n"/>
    </row>
    <row r="678" ht="15.75" customHeight="1">
      <c r="B678" s="29" t="n"/>
      <c r="C678" s="29" t="n"/>
      <c r="D678" s="29" t="n"/>
      <c r="E678" s="29" t="n"/>
      <c r="F678" s="29" t="n"/>
      <c r="G678" s="29" t="n"/>
    </row>
    <row r="1048575" ht="15.75" customHeight="1">
      <c r="F1048575" s="29" t="n"/>
    </row>
  </sheetData>
  <conditionalFormatting sqref="H3:H199">
    <cfRule type="cellIs" priority="1" operator="equal" dxfId="5" stopIfTrue="1">
      <formula>1</formula>
    </cfRule>
    <cfRule type="cellIs" priority="2" operator="greaterThan" dxfId="1" stopIfTrue="1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A149"/>
  <sheetViews>
    <sheetView zoomScale="88" zoomScaleNormal="117" workbookViewId="0">
      <selection activeCell="A28" sqref="A28"/>
    </sheetView>
  </sheetViews>
  <sheetFormatPr baseColWidth="10" defaultColWidth="11" defaultRowHeight="16"/>
  <cols>
    <col width="39.1640625" customWidth="1" min="1" max="1"/>
    <col width="27" bestFit="1" customWidth="1" min="2" max="2"/>
    <col width="19.1640625" customWidth="1" min="3" max="3"/>
    <col width="52.33203125" bestFit="1" customWidth="1" min="4" max="4"/>
    <col width="57" bestFit="1" customWidth="1" min="5" max="5"/>
    <col width="50.33203125" bestFit="1" customWidth="1" min="6" max="6"/>
    <col width="55" bestFit="1" customWidth="1" min="7" max="7"/>
    <col width="42" customWidth="1" min="8" max="8"/>
    <col width="39.5" bestFit="1" customWidth="1" min="9" max="10"/>
    <col width="34.1640625" bestFit="1" customWidth="1" min="11" max="12"/>
  </cols>
  <sheetData>
    <row r="1">
      <c r="A1" s="145" t="inlineStr">
        <is>
          <t>Element Code</t>
        </is>
      </c>
      <c r="B1" s="145" t="inlineStr">
        <is>
          <t>Element type</t>
        </is>
      </c>
      <c r="C1" s="145" t="inlineStr">
        <is>
          <t>Archetype</t>
        </is>
      </c>
      <c r="D1" s="145" t="inlineStr">
        <is>
          <t>Components</t>
        </is>
      </c>
      <c r="E1" s="150" t="n"/>
      <c r="F1" s="150" t="n"/>
      <c r="G1" s="150" t="n"/>
      <c r="H1" s="150" t="n"/>
      <c r="I1" s="150" t="n"/>
      <c r="J1" s="150" t="n"/>
      <c r="K1" s="150" t="n"/>
      <c r="L1" s="151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I1" s="29" t="n"/>
      <c r="AJ1" s="29" t="n"/>
      <c r="AK1" s="29" t="n"/>
      <c r="AL1" s="29" t="n"/>
      <c r="AM1" s="29" t="n"/>
      <c r="AN1" s="29" t="n"/>
      <c r="AO1" s="29" t="n"/>
      <c r="AP1" s="29" t="n"/>
      <c r="AQ1" s="29" t="n"/>
      <c r="AR1" s="29" t="n"/>
      <c r="AS1" s="29" t="n"/>
      <c r="AT1" s="29" t="n"/>
      <c r="AU1" s="29" t="n"/>
      <c r="AV1" s="29" t="n"/>
      <c r="AW1" s="29" t="n"/>
      <c r="AX1" s="29" t="n"/>
      <c r="AY1" s="29" t="n"/>
      <c r="AZ1" s="29" t="n"/>
      <c r="BA1" s="29" t="n"/>
    </row>
    <row r="2" ht="51" customHeight="1">
      <c r="A2" s="48" t="inlineStr">
        <is>
          <t>A code for the element used as reference for the element in the Building sheet</t>
        </is>
      </c>
      <c r="B2" s="48" t="inlineStr">
        <is>
          <t>A finite list of elements to choose from to create a full building defenition</t>
        </is>
      </c>
      <c r="C2" s="40" t="inlineStr">
        <is>
          <t>Code for archetype inhertied from BUD_MI</t>
        </is>
      </c>
      <c r="D2" s="152" t="inlineStr">
        <is>
          <t>The components used in each element</t>
        </is>
      </c>
      <c r="E2" s="150" t="n"/>
      <c r="F2" s="150" t="n"/>
      <c r="G2" s="150" t="n"/>
      <c r="H2" s="150" t="n"/>
      <c r="I2" s="150" t="n"/>
      <c r="J2" s="150" t="n"/>
      <c r="K2" s="150" t="n"/>
      <c r="L2" s="151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  <c r="AH2" s="29" t="n"/>
      <c r="AI2" s="29" t="n"/>
      <c r="AJ2" s="29" t="n"/>
      <c r="AK2" s="29" t="n"/>
      <c r="AL2" s="29" t="n"/>
      <c r="AM2" s="29" t="n"/>
      <c r="AN2" s="29" t="n"/>
      <c r="AO2" s="29" t="n"/>
      <c r="AP2" s="29" t="n"/>
      <c r="AQ2" s="29" t="n"/>
      <c r="AR2" s="29" t="n"/>
      <c r="AS2" s="29" t="n"/>
      <c r="AT2" s="29" t="n"/>
      <c r="AU2" s="29" t="n"/>
      <c r="AV2" s="29" t="n"/>
      <c r="AW2" s="29" t="n"/>
      <c r="AX2" s="29" t="n"/>
      <c r="AY2" s="29" t="n"/>
      <c r="AZ2" s="29" t="n"/>
      <c r="BA2" s="29" t="n"/>
    </row>
    <row r="3">
      <c r="A3" s="74">
        <f>C3&amp;"_"&amp;B3</f>
        <v/>
      </c>
      <c r="B3" s="75" t="inlineStr">
        <is>
          <t>ROOF</t>
        </is>
      </c>
      <c r="C3" s="75" t="inlineStr">
        <is>
          <t>CMF_1950</t>
        </is>
      </c>
      <c r="D3" s="74">
        <f t="array" ref="D3:G3">IFERROR(TRANSPOSE(_xlfn._xlws.FILTER(Components!$A$3:$A$302,(Components!$C$3:$C$302=B3)*(Components!$F$3:$F$302=C3))),"No matches found")</f>
        <v/>
      </c>
      <c r="E3" s="74" t="inlineStr">
        <is>
          <t>CMF_1950_ROOF_SKIN</t>
        </is>
      </c>
      <c r="F3" s="74" t="inlineStr">
        <is>
          <t>CMF_1950_ROOF_STRUCTURE</t>
        </is>
      </c>
      <c r="G3" s="74" t="inlineStr">
        <is>
          <t>CMF_1950_ROOF_STRUCTURE</t>
        </is>
      </c>
      <c r="H3" s="74" t="n"/>
      <c r="I3" s="74" t="n"/>
      <c r="J3" s="74" t="n"/>
      <c r="K3" s="74" t="n"/>
      <c r="L3" s="74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</row>
    <row r="4">
      <c r="A4" s="74">
        <f>C4&amp;"_"&amp;B4</f>
        <v/>
      </c>
      <c r="B4" s="75" t="inlineStr">
        <is>
          <t>TOP_FLOOR</t>
        </is>
      </c>
      <c r="C4" s="75" t="inlineStr">
        <is>
          <t>CMF_1950</t>
        </is>
      </c>
      <c r="D4" s="74">
        <f t="array" ref="D4:F4">IFERROR(TRANSPOSE(_xlfn._xlws.FILTER(Components!$A$3:$A$302,(Components!$C$3:$C$302=B4)*(Components!$F$3:$F$302=C4))),"No matches found")</f>
        <v/>
      </c>
      <c r="E4" s="74" t="inlineStr">
        <is>
          <t>CMF_1950_TOP_FLOOR_SPACE</t>
        </is>
      </c>
      <c r="F4" s="74" t="inlineStr">
        <is>
          <t>CMF_1950_TOP_FLOOR_STRUCTURE</t>
        </is>
      </c>
      <c r="G4" s="74" t="n"/>
      <c r="H4" s="74" t="n"/>
      <c r="I4" s="74" t="n"/>
      <c r="J4" s="74" t="n"/>
      <c r="K4" s="74" t="n"/>
      <c r="L4" s="74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</row>
    <row r="5">
      <c r="A5" s="74">
        <f>C5&amp;"_"&amp;B5</f>
        <v/>
      </c>
      <c r="B5" s="75" t="inlineStr">
        <is>
          <t>INTERMEDIATE_FLOOR</t>
        </is>
      </c>
      <c r="C5" s="75" t="inlineStr">
        <is>
          <t>CMF_1950</t>
        </is>
      </c>
      <c r="D5" s="74">
        <f t="array" ref="D5:H5">IFERROR(TRANSPOSE(_xlfn._xlws.FILTER(Components!$A$3:$A$302,(Components!$C$3:$C$302=B5)*(Components!$F$3:$F$302=C5))),"No matches found")</f>
        <v/>
      </c>
      <c r="E5" s="74" t="inlineStr">
        <is>
          <t>CMF_1950_INTERMEDIATE_FLOOR_SPACE</t>
        </is>
      </c>
      <c r="F5" s="74" t="inlineStr">
        <is>
          <t>CMF_1950_INTERMEDIATE_FLOOR_SPACE</t>
        </is>
      </c>
      <c r="G5" s="74" t="inlineStr">
        <is>
          <t>CMF_1950_INTERMEDIATE_FLOOR_STRUCTURE</t>
        </is>
      </c>
      <c r="H5" s="74" t="inlineStr">
        <is>
          <t>CMF_1950_INTERMEDIATE_FLOOR_SPACE</t>
        </is>
      </c>
      <c r="I5" s="74" t="n"/>
      <c r="J5" s="74" t="n"/>
      <c r="K5" s="74" t="n"/>
      <c r="L5" s="74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</row>
    <row r="6">
      <c r="A6" s="74">
        <f>C6&amp;"_"&amp;B6</f>
        <v/>
      </c>
      <c r="B6" s="75" t="inlineStr">
        <is>
          <t>GROUND_FLOOR</t>
        </is>
      </c>
      <c r="C6" s="75" t="inlineStr">
        <is>
          <t>CMF_1950</t>
        </is>
      </c>
      <c r="D6" s="74">
        <f t="array" ref="D6:H6">IFERROR(TRANSPOSE(_xlfn._xlws.FILTER(Components!$A$3:$A$302,(Components!$C$3:$C$302=B6)*(Components!$F$3:$F$302=C6))),"No matches found")</f>
        <v/>
      </c>
      <c r="E6" s="74" t="inlineStr">
        <is>
          <t>CMF_1950_GROUND_FLOOR_SPACE</t>
        </is>
      </c>
      <c r="F6" s="74" t="inlineStr">
        <is>
          <t>CMF_1950_GROUND_FLOOR_STRUCTURE</t>
        </is>
      </c>
      <c r="G6" s="74" t="inlineStr">
        <is>
          <t>CMF_1950_GROUND_FLOOR_STRUCTURE</t>
        </is>
      </c>
      <c r="H6" s="74" t="inlineStr">
        <is>
          <t>CMF_1950_GROUND_FLOOR_STRUCTURE</t>
        </is>
      </c>
      <c r="I6" s="74" t="n"/>
      <c r="J6" s="74" t="n"/>
      <c r="K6" s="74" t="n"/>
      <c r="L6" s="74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</row>
    <row r="7">
      <c r="A7" s="74">
        <f>C7&amp;"_"&amp;B7</f>
        <v/>
      </c>
      <c r="B7" s="75" t="inlineStr">
        <is>
          <t>BASEMENT_FLOOR</t>
        </is>
      </c>
      <c r="C7" s="75" t="inlineStr">
        <is>
          <t>CMF_1950</t>
        </is>
      </c>
      <c r="D7" s="74">
        <f t="array" ref="D7">IFERROR(TRANSPOSE(_xlfn._xlws.FILTER(Components!$A$3:$A$302,(Components!$C$3:$C$302=B7)*(Components!$F$3:$F$302=C7))),"No matches found")</f>
        <v/>
      </c>
      <c r="E7" s="74" t="n"/>
      <c r="F7" s="74" t="n"/>
      <c r="G7" s="74" t="n"/>
      <c r="H7" s="74" t="n"/>
      <c r="I7" s="74" t="n"/>
      <c r="J7" s="74" t="n"/>
      <c r="K7" s="74" t="n"/>
      <c r="L7" s="74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</row>
    <row r="8">
      <c r="A8" s="74">
        <f>C8&amp;"_"&amp;B8</f>
        <v/>
      </c>
      <c r="B8" s="75" t="inlineStr">
        <is>
          <t>EXT_WALL_LOW</t>
        </is>
      </c>
      <c r="C8" s="75" t="inlineStr">
        <is>
          <t>CMF_1950</t>
        </is>
      </c>
      <c r="D8" s="74">
        <f t="array" ref="D8:H8">IFERROR(TRANSPOSE(_xlfn._xlws.FILTER(Components!$A$3:$A$302,(Components!$C$3:$C$302=B8)*(Components!$F$3:$F$302=C8))),"No matches found")</f>
        <v/>
      </c>
      <c r="E8" s="74" t="inlineStr">
        <is>
          <t>CMF_1950_EXT_WALL_LOW_STRUCTURE</t>
        </is>
      </c>
      <c r="F8" s="74" t="inlineStr">
        <is>
          <t>CMF_1950_EXT_WALL_LOW_STRUCTURE</t>
        </is>
      </c>
      <c r="G8" s="74" t="inlineStr">
        <is>
          <t>CMF_1950_EXT_WALL_LOW_STRUCTURE</t>
        </is>
      </c>
      <c r="H8" s="74" t="inlineStr">
        <is>
          <t>CMF_1950_EXT_WALL_LOW_SPACE</t>
        </is>
      </c>
      <c r="I8" s="74" t="n"/>
      <c r="J8" s="74" t="n"/>
      <c r="K8" s="74" t="n"/>
      <c r="L8" s="74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</row>
    <row r="9">
      <c r="A9" s="74">
        <f>C9&amp;"_"&amp;B9</f>
        <v/>
      </c>
      <c r="B9" s="75" t="inlineStr">
        <is>
          <t>EXT_WALL_MEDIUM</t>
        </is>
      </c>
      <c r="C9" s="75" t="inlineStr">
        <is>
          <t>CMF_1950</t>
        </is>
      </c>
      <c r="D9" s="74">
        <f t="array" ref="D9:F9">IFERROR(TRANSPOSE(_xlfn._xlws.FILTER(Components!$A$3:$A$302,(Components!$C$3:$C$302=B9)*(Components!$F$3:$F$302=C9))),"No matches found")</f>
        <v/>
      </c>
      <c r="E9" s="74" t="inlineStr">
        <is>
          <t>CMF_1950_EXT_WALL_MEDIUM_STRUCTURE</t>
        </is>
      </c>
      <c r="F9" s="74" t="inlineStr">
        <is>
          <t>CMF_1950_EXT_WALL_MEDIUM_SPACE</t>
        </is>
      </c>
      <c r="G9" s="74" t="n"/>
      <c r="H9" s="74" t="n"/>
      <c r="I9" s="74" t="n"/>
      <c r="J9" s="74" t="n"/>
      <c r="K9" s="74" t="n"/>
      <c r="L9" s="74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</row>
    <row r="10">
      <c r="A10" s="74">
        <f>C10&amp;"_"&amp;B10</f>
        <v/>
      </c>
      <c r="B10" s="75" t="inlineStr">
        <is>
          <t>EXT_WALL_HIGH</t>
        </is>
      </c>
      <c r="C10" s="75" t="inlineStr">
        <is>
          <t>CMF_1950</t>
        </is>
      </c>
      <c r="D10" s="74">
        <f t="array" ref="D10:E10">IFERROR(TRANSPOSE(_xlfn._xlws.FILTER(Components!$A$3:$A$302,(Components!$C$3:$C$302=B10)*(Components!$F$3:$F$302=C10))),"No matches found")</f>
        <v/>
      </c>
      <c r="E10" s="74" t="inlineStr">
        <is>
          <t>CMF_1950_EXT_WALL_HIGH_STRUCTURE</t>
        </is>
      </c>
      <c r="F10" s="74" t="n"/>
      <c r="G10" s="74" t="n"/>
      <c r="H10" s="74" t="n"/>
      <c r="I10" s="74" t="n"/>
      <c r="J10" s="74" t="n"/>
      <c r="K10" s="74" t="n"/>
      <c r="L10" s="74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</row>
    <row r="11">
      <c r="A11" s="74">
        <f>C11&amp;"_"&amp;B11</f>
        <v/>
      </c>
      <c r="B11" s="75" t="inlineStr">
        <is>
          <t>BASEMENT_WALL</t>
        </is>
      </c>
      <c r="C11" s="75" t="inlineStr">
        <is>
          <t>CMF_1950</t>
        </is>
      </c>
      <c r="D11" s="74">
        <f t="array" ref="D11:F11">IFERROR(TRANSPOSE(_xlfn._xlws.FILTER(Components!$A$3:$A$302,(Components!$C$3:$C$302=B11)*(Components!$F$3:$F$302=C11))),"No matches found")</f>
        <v/>
      </c>
      <c r="E11" s="74" t="inlineStr">
        <is>
          <t>CMF_1950_BASEMENT_WALL_STRUCTURE</t>
        </is>
      </c>
      <c r="F11" s="74" t="inlineStr">
        <is>
          <t>CMF_1950_BASEMENT_WALL_STRUCTURE</t>
        </is>
      </c>
      <c r="G11" s="74" t="n"/>
      <c r="H11" s="74" t="n"/>
      <c r="I11" s="74" t="n"/>
      <c r="J11" s="74" t="n"/>
      <c r="K11" s="74" t="n"/>
      <c r="L11" s="74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</row>
    <row r="12">
      <c r="A12" s="74">
        <f>C12&amp;"_"&amp;B12</f>
        <v/>
      </c>
      <c r="B12" s="75" t="inlineStr">
        <is>
          <t>INT_WALL_LOADBEARING</t>
        </is>
      </c>
      <c r="C12" s="75" t="inlineStr">
        <is>
          <t>CMF_1950</t>
        </is>
      </c>
      <c r="D12" s="74">
        <f t="array" ref="D12">IFERROR(TRANSPOSE(_xlfn._xlws.FILTER(Components!$A$3:$A$302,(Components!$C$3:$C$302=B12)*(Components!$F$3:$F$302=C12))),"No matches found")</f>
        <v/>
      </c>
      <c r="E12" s="74" t="n"/>
      <c r="F12" s="74" t="n"/>
      <c r="G12" s="74" t="n"/>
      <c r="H12" s="74" t="n"/>
      <c r="I12" s="74" t="n"/>
      <c r="J12" s="74" t="n"/>
      <c r="K12" s="74" t="n"/>
      <c r="L12" s="74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</row>
    <row r="13">
      <c r="A13" s="74">
        <f>C13&amp;"_"&amp;B13</f>
        <v/>
      </c>
      <c r="B13" s="75" t="inlineStr">
        <is>
          <t>INT_WALL_NONLOADBEARING</t>
        </is>
      </c>
      <c r="C13" s="75" t="inlineStr">
        <is>
          <t>CMF_1950</t>
        </is>
      </c>
      <c r="D13" s="74">
        <f t="array" ref="D13:G13">IFERROR(TRANSPOSE(_xlfn._xlws.FILTER(Components!$A$3:$A$302,(Components!$C$3:$C$302=B13)*(Components!$F$3:$F$302=C13))),"No matches found")</f>
        <v/>
      </c>
      <c r="E13" s="74" t="inlineStr">
        <is>
          <t>CMF_1950_INT_WALL_NONLOADBEARING_STRUCTURE</t>
        </is>
      </c>
      <c r="F13" s="74" t="inlineStr">
        <is>
          <t>CMF_1950_INT_WALL_NONLOADBEARING_SPACE</t>
        </is>
      </c>
      <c r="G13" s="74" t="inlineStr">
        <is>
          <t>CMF_1950_INT_WALL_NONLOADBEARING_STRUCTURE</t>
        </is>
      </c>
      <c r="H13" s="74" t="n"/>
      <c r="I13" s="74" t="n"/>
      <c r="J13" s="74" t="n"/>
      <c r="K13" s="74" t="n"/>
      <c r="L13" s="74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</row>
    <row r="14">
      <c r="A14" s="74">
        <f>C14&amp;"_"&amp;B14</f>
        <v/>
      </c>
      <c r="B14" s="75" t="inlineStr">
        <is>
          <t>EXT_WALL</t>
        </is>
      </c>
      <c r="C14" s="75" t="inlineStr">
        <is>
          <t>CMF_1950</t>
        </is>
      </c>
      <c r="D14" s="74">
        <f t="array" ref="D14">IFERROR(TRANSPOSE(_xlfn._xlws.FILTER(Components!$A$3:$A$302,(Components!$C$3:$C$302=B14)*(Components!$F$3:$F$302=C14))),"No matches found")</f>
        <v/>
      </c>
      <c r="E14" s="74" t="n"/>
      <c r="F14" s="74" t="n"/>
      <c r="G14" s="74" t="n"/>
      <c r="H14" s="74" t="n"/>
      <c r="I14" s="74" t="n"/>
      <c r="J14" s="74" t="n"/>
      <c r="K14" s="74" t="n"/>
      <c r="L14" s="74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</row>
    <row r="15">
      <c r="A15" s="74">
        <f>C15&amp;"_"&amp;B15</f>
        <v/>
      </c>
      <c r="B15" s="75" t="inlineStr">
        <is>
          <t>ROOF</t>
        </is>
      </c>
      <c r="C15" s="75" t="inlineStr">
        <is>
          <t>CMF_1940_1</t>
        </is>
      </c>
      <c r="D15" s="74">
        <f t="array" ref="D15:G15">IFERROR(TRANSPOSE(_xlfn._xlws.FILTER(Components!$A$3:$A$302,(Components!$C$3:$C$302=B15)*(Components!$F$3:$F$302=C15))),"No matches found")</f>
        <v/>
      </c>
      <c r="E15" s="74" t="inlineStr">
        <is>
          <t>CMF_1940_1_ROOF_SKIN</t>
        </is>
      </c>
      <c r="F15" s="74" t="inlineStr">
        <is>
          <t>CMF_1940_1_ROOF_SKIN</t>
        </is>
      </c>
      <c r="G15" s="74" t="inlineStr">
        <is>
          <t>CMF_1940_1_ROOF_SKIN</t>
        </is>
      </c>
      <c r="H15" s="74" t="n"/>
      <c r="I15" s="74" t="n"/>
      <c r="J15" s="74" t="n"/>
      <c r="K15" s="74" t="n"/>
      <c r="L15" s="74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</row>
    <row r="16">
      <c r="A16" s="74">
        <f>C16&amp;"_"&amp;B16</f>
        <v/>
      </c>
      <c r="B16" s="75" t="inlineStr">
        <is>
          <t>TOP_FLOOR</t>
        </is>
      </c>
      <c r="C16" s="75" t="inlineStr">
        <is>
          <t>CMF_1940_1</t>
        </is>
      </c>
      <c r="D16" s="74">
        <f t="array" ref="D16:G16">IFERROR(TRANSPOSE(_xlfn._xlws.FILTER(Components!$A$3:$A$302,(Components!$C$3:$C$302=B16)*(Components!$F$3:$F$302=C16))),"No matches found")</f>
        <v/>
      </c>
      <c r="E16" s="74" t="inlineStr">
        <is>
          <t>CMF_1940_1_TOP_FLOOR_SPACE</t>
        </is>
      </c>
      <c r="F16" s="74" t="inlineStr">
        <is>
          <t>CMF_1940_1_TOP_FLOOR_SPACE</t>
        </is>
      </c>
      <c r="G16" s="74" t="inlineStr">
        <is>
          <t>CMF_1940_1_TOP_FLOOR_STRUCTURE</t>
        </is>
      </c>
      <c r="H16" s="74" t="n"/>
      <c r="I16" s="74" t="n"/>
      <c r="J16" s="74" t="n"/>
      <c r="K16" s="74" t="n"/>
      <c r="L16" s="74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</row>
    <row r="17">
      <c r="A17" s="74">
        <f>C17&amp;"_"&amp;B17</f>
        <v/>
      </c>
      <c r="B17" s="75" t="inlineStr">
        <is>
          <t>INTERMEDIATE_FLOOR</t>
        </is>
      </c>
      <c r="C17" s="75" t="inlineStr">
        <is>
          <t>CMF_1940_1</t>
        </is>
      </c>
      <c r="D17" s="74">
        <f t="array" ref="D17:J17">IFERROR(TRANSPOSE(_xlfn._xlws.FILTER(Components!$A$3:$A$302,(Components!$C$3:$C$302=B17)*(Components!$F$3:$F$302=C17))),"No matches found")</f>
        <v/>
      </c>
      <c r="E17" s="74" t="inlineStr">
        <is>
          <t>CMF_1940_1_INTERMEDIATE_FLOOR_SPACE</t>
        </is>
      </c>
      <c r="F17" s="74" t="inlineStr">
        <is>
          <t>CMF_1940_1_INTERMEDIATE_FLOOR_SPACE</t>
        </is>
      </c>
      <c r="G17" s="74" t="inlineStr">
        <is>
          <t>CMF_1940_1_INTERMEDIATE_FLOOR_STRUCTURE</t>
        </is>
      </c>
      <c r="H17" s="74" t="inlineStr">
        <is>
          <t>CMF_1940_1_INTERMEDIATE_FLOOR_SPACE</t>
        </is>
      </c>
      <c r="I17" s="74" t="inlineStr">
        <is>
          <t>CMF_1940_1_INTERMEDIATE_FLOOR_SPACE</t>
        </is>
      </c>
      <c r="J17" s="74" t="inlineStr">
        <is>
          <t>CMF_1940_1_INTERMEDIATE_FLOOR_SPACE</t>
        </is>
      </c>
      <c r="K17" s="74" t="n"/>
      <c r="L17" s="74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</row>
    <row r="18">
      <c r="A18" s="74">
        <f>C18&amp;"_"&amp;B18</f>
        <v/>
      </c>
      <c r="B18" s="75" t="inlineStr">
        <is>
          <t>GROUND_FLOOR</t>
        </is>
      </c>
      <c r="C18" s="75" t="inlineStr">
        <is>
          <t>CMF_1940_1</t>
        </is>
      </c>
      <c r="D18" s="74">
        <f t="array" ref="D18:G18">IFERROR(TRANSPOSE(_xlfn._xlws.FILTER(Components!$A$3:$A$302,(Components!$C$3:$C$302=B18)*(Components!$F$3:$F$302=C18))),"No matches found")</f>
        <v/>
      </c>
      <c r="E18" s="74" t="inlineStr">
        <is>
          <t>CMF_1940_1_GROUND_FLOOR_SPACE</t>
        </is>
      </c>
      <c r="F18" s="74" t="inlineStr">
        <is>
          <t>CMF_1940_1_GROUND_FLOOR_SPACE</t>
        </is>
      </c>
      <c r="G18" s="74" t="inlineStr">
        <is>
          <t>CMF_1940_1_GROUND_FLOOR_SPACE</t>
        </is>
      </c>
      <c r="H18" s="74" t="n"/>
      <c r="I18" s="74" t="n"/>
      <c r="J18" s="74" t="n"/>
      <c r="K18" s="74" t="n"/>
      <c r="L18" s="74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</row>
    <row r="19">
      <c r="A19" s="74">
        <f>C19&amp;"_"&amp;B19</f>
        <v/>
      </c>
      <c r="B19" s="75" t="inlineStr">
        <is>
          <t>BASEMENT_FLOOR</t>
        </is>
      </c>
      <c r="C19" s="75" t="inlineStr">
        <is>
          <t>CMF_1940_1</t>
        </is>
      </c>
      <c r="D19" s="74">
        <f t="array" ref="D19">IFERROR(TRANSPOSE(_xlfn._xlws.FILTER(Components!$A$3:$A$302,(Components!$C$3:$C$302=B19)*(Components!$F$3:$F$302=C19))),"No matches found")</f>
        <v/>
      </c>
      <c r="E19" s="74" t="n"/>
      <c r="F19" s="74" t="n"/>
      <c r="G19" s="74" t="n"/>
      <c r="H19" s="74" t="n"/>
      <c r="I19" s="74" t="n"/>
      <c r="J19" s="74" t="n"/>
      <c r="K19" s="74" t="n"/>
      <c r="L19" s="74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</row>
    <row r="20">
      <c r="A20" s="74">
        <f>C20&amp;"_"&amp;B20</f>
        <v/>
      </c>
      <c r="B20" s="75" t="inlineStr">
        <is>
          <t>EXT_WALL_LOW</t>
        </is>
      </c>
      <c r="C20" s="75" t="inlineStr">
        <is>
          <t>CMF_1940_1</t>
        </is>
      </c>
      <c r="D20" s="74">
        <f t="array" ref="D20">IFERROR(TRANSPOSE(_xlfn._xlws.FILTER(Components!$A$3:$A$302,(Components!$C$3:$C$302=B20)*(Components!$F$3:$F$302=C20))),"No matches found")</f>
        <v/>
      </c>
      <c r="E20" s="74" t="n"/>
      <c r="F20" s="74" t="n"/>
      <c r="G20" s="74" t="n"/>
      <c r="H20" s="74" t="n"/>
      <c r="I20" s="74" t="n"/>
      <c r="J20" s="74" t="n"/>
      <c r="K20" s="74" t="n"/>
      <c r="L20" s="74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</row>
    <row r="21">
      <c r="A21" s="74">
        <f>C21&amp;"_"&amp;B21</f>
        <v/>
      </c>
      <c r="B21" s="75" t="inlineStr">
        <is>
          <t>EXT_WALL_MEDIUM</t>
        </is>
      </c>
      <c r="C21" s="75" t="inlineStr">
        <is>
          <t>CMF_1940_1</t>
        </is>
      </c>
      <c r="D21" s="74">
        <f t="array" ref="D21">IFERROR(TRANSPOSE(_xlfn._xlws.FILTER(Components!$A$3:$A$302,(Components!$C$3:$C$302=B21)*(Components!$F$3:$F$302=C21))),"No matches found")</f>
        <v/>
      </c>
      <c r="E21" s="74" t="n"/>
      <c r="F21" s="74" t="n"/>
      <c r="G21" s="74" t="n"/>
      <c r="H21" s="74" t="n"/>
      <c r="I21" s="74" t="n"/>
      <c r="J21" s="74" t="n"/>
      <c r="K21" s="74" t="n"/>
      <c r="L21" s="74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</row>
    <row r="22">
      <c r="A22" s="74">
        <f>C22&amp;"_"&amp;B22</f>
        <v/>
      </c>
      <c r="B22" s="75" t="inlineStr">
        <is>
          <t>EXT_WALL_HIGH</t>
        </is>
      </c>
      <c r="C22" s="75" t="inlineStr">
        <is>
          <t>CMF_1940_1</t>
        </is>
      </c>
      <c r="D22" s="74">
        <f t="array" ref="D22">IFERROR(TRANSPOSE(_xlfn._xlws.FILTER(Components!$A$3:$A$302,(Components!$C$3:$C$302=B22)*(Components!$F$3:$F$302=C22))),"No matches found")</f>
        <v/>
      </c>
      <c r="E22" s="74" t="n"/>
      <c r="F22" s="74" t="n"/>
      <c r="G22" s="74" t="n"/>
      <c r="H22" s="74" t="n"/>
      <c r="I22" s="74" t="n"/>
      <c r="J22" s="74" t="n"/>
      <c r="K22" s="74" t="n"/>
      <c r="L22" s="74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</row>
    <row r="23">
      <c r="A23" s="74">
        <f>C23&amp;"_"&amp;B23</f>
        <v/>
      </c>
      <c r="B23" s="75" t="inlineStr">
        <is>
          <t>BASEMENT_WALL</t>
        </is>
      </c>
      <c r="C23" s="75" t="inlineStr">
        <is>
          <t>CMF_1940_1</t>
        </is>
      </c>
      <c r="D23" s="74">
        <f t="array" ref="D23:F23">IFERROR(TRANSPOSE(_xlfn._xlws.FILTER(Components!$A$3:$A$302,(Components!$C$3:$C$302=B23)*(Components!$F$3:$F$302=C23))),"No matches found")</f>
        <v/>
      </c>
      <c r="E23" s="74" t="inlineStr">
        <is>
          <t>CMF_1940_1_BASEMENT_WALL_STRUCTURE</t>
        </is>
      </c>
      <c r="F23" s="74" t="inlineStr">
        <is>
          <t>CMF_1940_1_BASEMENT_WALL_SPACE</t>
        </is>
      </c>
      <c r="G23" s="74" t="n"/>
      <c r="H23" s="74" t="n"/>
      <c r="I23" s="74" t="n"/>
      <c r="J23" s="74" t="n"/>
      <c r="K23" s="74" t="n"/>
      <c r="L23" s="74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</row>
    <row r="24">
      <c r="A24" s="74">
        <f>C24&amp;"_"&amp;B24</f>
        <v/>
      </c>
      <c r="B24" s="75" t="inlineStr">
        <is>
          <t>INT_WALL_LOADBEARING</t>
        </is>
      </c>
      <c r="C24" s="75" t="inlineStr">
        <is>
          <t>CMF_1940_1</t>
        </is>
      </c>
      <c r="D24" s="74">
        <f t="array" ref="D24:E24">IFERROR(TRANSPOSE(_xlfn._xlws.FILTER(Components!$A$3:$A$302,(Components!$C$3:$C$302=B24)*(Components!$F$3:$F$302=C24))),"No matches found")</f>
        <v/>
      </c>
      <c r="E24" s="74" t="inlineStr">
        <is>
          <t>CMF_1940_1_INT_WALL_LOADBEARING_STRUCTURE</t>
        </is>
      </c>
      <c r="F24" s="74" t="n"/>
      <c r="G24" s="74" t="n"/>
      <c r="H24" s="74" t="n"/>
      <c r="I24" s="74" t="n"/>
      <c r="J24" s="74" t="n"/>
      <c r="K24" s="74" t="n"/>
      <c r="L24" s="74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</row>
    <row r="25">
      <c r="A25" s="74">
        <f>C25&amp;"_"&amp;B25</f>
        <v/>
      </c>
      <c r="B25" s="75" t="inlineStr">
        <is>
          <t>INT_WALL_NONLOADBEARING</t>
        </is>
      </c>
      <c r="C25" s="75" t="inlineStr">
        <is>
          <t>CMF_1940_1</t>
        </is>
      </c>
      <c r="D25" s="74">
        <f t="array" ref="D25:E25">IFERROR(TRANSPOSE(_xlfn._xlws.FILTER(Components!$A$3:$A$302,(Components!$C$3:$C$302=B25)*(Components!$F$3:$F$302=C25))),"No matches found")</f>
        <v/>
      </c>
      <c r="E25" s="74" t="inlineStr">
        <is>
          <t>CMF_1940_1_INT_WALL_NONLOADBEARING_SPACE</t>
        </is>
      </c>
      <c r="F25" s="74" t="n"/>
      <c r="G25" s="74" t="n"/>
      <c r="H25" s="74" t="n"/>
      <c r="I25" s="74" t="n"/>
      <c r="J25" s="74" t="n"/>
      <c r="K25" s="74" t="n"/>
      <c r="L25" s="74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</row>
    <row r="26">
      <c r="A26" s="74">
        <f>C26&amp;"_"&amp;B26</f>
        <v/>
      </c>
      <c r="B26" s="75" t="inlineStr">
        <is>
          <t>EXT_WALL</t>
        </is>
      </c>
      <c r="C26" s="75" t="inlineStr">
        <is>
          <t>CMF_1940_1</t>
        </is>
      </c>
      <c r="D26" s="74">
        <f t="array" ref="D26:F26">IFERROR(TRANSPOSE(_xlfn._xlws.FILTER(Components!$A$3:$A$302,(Components!$C$3:$C$302=B26)*(Components!$F$3:$F$302=C26))),"No matches found")</f>
        <v/>
      </c>
      <c r="E26" s="74" t="inlineStr">
        <is>
          <t>CMF_1940_1_EXT_WALL_STRUCTURE</t>
        </is>
      </c>
      <c r="F26" s="74" t="inlineStr">
        <is>
          <t>CMF_1940_1_EXT_WALL_SPACE</t>
        </is>
      </c>
      <c r="G26" s="74" t="n"/>
      <c r="H26" s="74" t="n"/>
      <c r="I26" s="74" t="n"/>
      <c r="J26" s="74" t="n"/>
      <c r="K26" s="74" t="n"/>
      <c r="L26" s="74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</row>
    <row r="27">
      <c r="A27" s="74">
        <f>C27&amp;"_"&amp;B27</f>
        <v/>
      </c>
      <c r="B27" s="75" t="inlineStr">
        <is>
          <t>ROOF</t>
        </is>
      </c>
      <c r="C27" s="75" t="inlineStr">
        <is>
          <t>CMF_1960_1</t>
        </is>
      </c>
      <c r="D27" s="74">
        <f t="array" ref="D27:H27">IFERROR(TRANSPOSE(_xlfn._xlws.FILTER(Components!$A$3:$A$302,(Components!$C$3:$C$302=B27)*(Components!$F$3:$F$302=C27))),"No matches found")</f>
        <v/>
      </c>
      <c r="E27" s="74" t="inlineStr">
        <is>
          <t>CMF_1960_1_ROOF_SKIN</t>
        </is>
      </c>
      <c r="F27" s="74" t="inlineStr">
        <is>
          <t>CMF_1960_1_ROOF_SKIN</t>
        </is>
      </c>
      <c r="G27" s="74" t="inlineStr">
        <is>
          <t>CMF_1960_1_ROOF_SKIN</t>
        </is>
      </c>
      <c r="H27" s="74" t="inlineStr">
        <is>
          <t>CMF_1960_1_ROOF_SKIN</t>
        </is>
      </c>
      <c r="I27" s="74" t="n"/>
      <c r="J27" s="74" t="n"/>
      <c r="K27" s="74" t="n"/>
      <c r="L27" s="74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</row>
    <row r="28">
      <c r="A28" s="74">
        <f>C28&amp;"_"&amp;B28</f>
        <v/>
      </c>
      <c r="B28" s="75" t="inlineStr">
        <is>
          <t>TOP_FLOOR</t>
        </is>
      </c>
      <c r="C28" s="75" t="inlineStr">
        <is>
          <t>CMF_1960_1</t>
        </is>
      </c>
      <c r="D28" s="74">
        <f t="array" ref="D28:G28">IFERROR(TRANSPOSE(_xlfn._xlws.FILTER(Components!$A$3:$A$302,(Components!$C$3:$C$302=B28)*(Components!$F$3:$F$302=C28))),"No matches found")</f>
        <v/>
      </c>
      <c r="E28" s="74" t="inlineStr">
        <is>
          <t>CMF_1960_1_TOP_FLOOR_SPACE</t>
        </is>
      </c>
      <c r="F28" s="74" t="inlineStr">
        <is>
          <t>CMF_1960_1_TOP_FLOOR_SPACE</t>
        </is>
      </c>
      <c r="G28" s="74" t="inlineStr">
        <is>
          <t>CMF_1960_1_TOP_FLOOR_STRUCTURE</t>
        </is>
      </c>
      <c r="H28" s="74" t="n"/>
      <c r="I28" s="74" t="n"/>
      <c r="J28" s="74" t="n"/>
      <c r="K28" s="74" t="n"/>
      <c r="L28" s="74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</row>
    <row r="29">
      <c r="A29" s="74">
        <f>C29&amp;"_"&amp;B29</f>
        <v/>
      </c>
      <c r="B29" s="75" t="inlineStr">
        <is>
          <t>INTERMEDIATE_FLOOR</t>
        </is>
      </c>
      <c r="C29" s="75" t="inlineStr">
        <is>
          <t>CMF_1960_1</t>
        </is>
      </c>
      <c r="D29" s="74">
        <f t="array" ref="D29:G29">IFERROR(TRANSPOSE(_xlfn._xlws.FILTER(Components!$A$3:$A$302,(Components!$C$3:$C$302=B29)*(Components!$F$3:$F$302=C29))),"No matches found")</f>
        <v/>
      </c>
      <c r="E29" s="74" t="inlineStr">
        <is>
          <t>CMF_1960_1_INTERMEDIATE_FLOOR_SPACE</t>
        </is>
      </c>
      <c r="F29" s="74" t="inlineStr">
        <is>
          <t>CMF_1960_1_INTERMEDIATE_FLOOR_STRUCTURE</t>
        </is>
      </c>
      <c r="G29" s="74" t="inlineStr">
        <is>
          <t>CMF_1960_1_INTERMEDIATE_FLOOR_SPACE</t>
        </is>
      </c>
      <c r="H29" s="74" t="n"/>
      <c r="I29" s="74" t="n"/>
      <c r="J29" s="74" t="n"/>
      <c r="K29" s="74" t="n"/>
      <c r="L29" s="74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</row>
    <row r="30">
      <c r="A30" s="74">
        <f>C30&amp;"_"&amp;B30</f>
        <v/>
      </c>
      <c r="B30" s="75" t="inlineStr">
        <is>
          <t>GROUND_FLOOR</t>
        </is>
      </c>
      <c r="C30" s="75" t="inlineStr">
        <is>
          <t>CMF_1960_1</t>
        </is>
      </c>
      <c r="D30" s="74">
        <f t="array" ref="D30:G30">IFERROR(TRANSPOSE(_xlfn._xlws.FILTER(Components!$A$3:$A$302,(Components!$C$3:$C$302=B30)*(Components!$F$3:$F$302=C30))),"No matches found")</f>
        <v/>
      </c>
      <c r="E30" s="74" t="inlineStr">
        <is>
          <t>CMF_1960_1_GROUND_FLOOR_SPACE</t>
        </is>
      </c>
      <c r="F30" s="74" t="inlineStr">
        <is>
          <t>CMF_1960_1_GROUND_FLOOR_STRUCTURE</t>
        </is>
      </c>
      <c r="G30" s="74" t="inlineStr">
        <is>
          <t>CMF_1960_1_GROUND_FLOOR_SKIN</t>
        </is>
      </c>
      <c r="H30" s="74" t="n"/>
      <c r="I30" s="74" t="n"/>
      <c r="J30" s="74" t="n"/>
      <c r="K30" s="74" t="n"/>
      <c r="L30" s="74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</row>
    <row r="31">
      <c r="A31" s="74">
        <f>C31&amp;"_"&amp;B31</f>
        <v/>
      </c>
      <c r="B31" s="75" t="inlineStr">
        <is>
          <t>BASEMENT_FLOOR</t>
        </is>
      </c>
      <c r="C31" s="75" t="inlineStr">
        <is>
          <t>CMF_1960_1</t>
        </is>
      </c>
      <c r="D31" s="74">
        <f t="array" ref="D31:F31">IFERROR(TRANSPOSE(_xlfn._xlws.FILTER(Components!$A$3:$A$302,(Components!$C$3:$C$302=B31)*(Components!$F$3:$F$302=C31))),"No matches found")</f>
        <v/>
      </c>
      <c r="E31" s="74" t="inlineStr">
        <is>
          <t>CMF_1960_1_BASEMENT_FLOOR_STRUCTURE</t>
        </is>
      </c>
      <c r="F31" s="74" t="inlineStr">
        <is>
          <t>CMF_1960_1_BASEMENT_FLOOR_SPACE</t>
        </is>
      </c>
      <c r="G31" s="74" t="n"/>
      <c r="H31" s="74" t="n"/>
      <c r="I31" s="74" t="n"/>
      <c r="J31" s="74" t="n"/>
      <c r="K31" s="74" t="n"/>
      <c r="L31" s="74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</row>
    <row r="32">
      <c r="A32" s="74">
        <f>C32&amp;"_"&amp;B32</f>
        <v/>
      </c>
      <c r="B32" s="75" t="inlineStr">
        <is>
          <t>EXT_WALL_LOW</t>
        </is>
      </c>
      <c r="C32" s="75" t="inlineStr">
        <is>
          <t>CMF_1960_1</t>
        </is>
      </c>
      <c r="D32" s="74">
        <f t="array" ref="D32">IFERROR(TRANSPOSE(_xlfn._xlws.FILTER(Components!$A$3:$A$302,(Components!$C$3:$C$302=B32)*(Components!$F$3:$F$302=C32))),"No matches found")</f>
        <v/>
      </c>
      <c r="E32" s="74" t="n"/>
      <c r="F32" s="74" t="n"/>
      <c r="G32" s="74" t="n"/>
      <c r="H32" s="74" t="n"/>
      <c r="I32" s="74" t="n"/>
      <c r="J32" s="74" t="n"/>
      <c r="K32" s="74" t="n"/>
      <c r="L32" s="74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</row>
    <row r="33">
      <c r="A33" s="74">
        <f>C33&amp;"_"&amp;B33</f>
        <v/>
      </c>
      <c r="B33" s="75" t="inlineStr">
        <is>
          <t>EXT_WALL_MEDIUM</t>
        </is>
      </c>
      <c r="C33" s="75" t="inlineStr">
        <is>
          <t>CMF_1960_1</t>
        </is>
      </c>
      <c r="D33" s="74">
        <f t="array" ref="D33">IFERROR(TRANSPOSE(_xlfn._xlws.FILTER(Components!$A$3:$A$302,(Components!$C$3:$C$302=B33)*(Components!$F$3:$F$302=C33))),"No matches found")</f>
        <v/>
      </c>
      <c r="E33" s="74" t="n"/>
      <c r="F33" s="74" t="n"/>
      <c r="G33" s="74" t="n"/>
      <c r="H33" s="74" t="n"/>
      <c r="I33" s="74" t="n"/>
      <c r="J33" s="74" t="n"/>
      <c r="K33" s="74" t="n"/>
      <c r="L33" s="74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</row>
    <row r="34">
      <c r="A34" s="74">
        <f>C34&amp;"_"&amp;B34</f>
        <v/>
      </c>
      <c r="B34" s="75" t="inlineStr">
        <is>
          <t>EXT_WALL_HIGH</t>
        </is>
      </c>
      <c r="C34" s="75" t="inlineStr">
        <is>
          <t>CMF_1960_1</t>
        </is>
      </c>
      <c r="D34" s="74">
        <f t="array" ref="D34">IFERROR(TRANSPOSE(_xlfn._xlws.FILTER(Components!$A$3:$A$302,(Components!$C$3:$C$302=B34)*(Components!$F$3:$F$302=C34))),"No matches found")</f>
        <v/>
      </c>
      <c r="E34" s="74" t="n"/>
      <c r="F34" s="74" t="n"/>
      <c r="G34" s="74" t="n"/>
      <c r="H34" s="74" t="n"/>
      <c r="I34" s="74" t="n"/>
      <c r="J34" s="74" t="n"/>
      <c r="K34" s="74" t="n"/>
      <c r="L34" s="74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</row>
    <row r="35">
      <c r="A35" s="74">
        <f>C35&amp;"_"&amp;B35</f>
        <v/>
      </c>
      <c r="B35" s="75" t="inlineStr">
        <is>
          <t>BASEMENT_WALL</t>
        </is>
      </c>
      <c r="C35" s="75" t="inlineStr">
        <is>
          <t>CMF_1960_1</t>
        </is>
      </c>
      <c r="D35" s="74">
        <f t="array" ref="D35:F35">IFERROR(TRANSPOSE(_xlfn._xlws.FILTER(Components!$A$3:$A$302,(Components!$C$3:$C$302=B35)*(Components!$F$3:$F$302=C35))),"No matches found")</f>
        <v/>
      </c>
      <c r="E35" s="74" t="inlineStr">
        <is>
          <t>CMF_1960_1_BASEMENT_WALL_STRUCTURE</t>
        </is>
      </c>
      <c r="F35" s="74" t="inlineStr">
        <is>
          <t>CMF_1960_1_BASEMENT_WALL_SPACE</t>
        </is>
      </c>
      <c r="G35" s="74" t="n"/>
      <c r="H35" s="74" t="n"/>
      <c r="I35" s="74" t="n"/>
      <c r="J35" s="74" t="n"/>
      <c r="K35" s="74" t="n"/>
      <c r="L35" s="74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</row>
    <row r="36">
      <c r="A36" s="74">
        <f>C36&amp;"_"&amp;B36</f>
        <v/>
      </c>
      <c r="B36" s="75" t="inlineStr">
        <is>
          <t>INT_WALL_LOADBEARING</t>
        </is>
      </c>
      <c r="C36" s="75" t="inlineStr">
        <is>
          <t>CMF_1960_1</t>
        </is>
      </c>
      <c r="D36" s="74">
        <f t="array" ref="D36:E36">IFERROR(TRANSPOSE(_xlfn._xlws.FILTER(Components!$A$3:$A$302,(Components!$C$3:$C$302=B36)*(Components!$F$3:$F$302=C36))),"No matches found")</f>
        <v/>
      </c>
      <c r="E36" s="74" t="inlineStr">
        <is>
          <t>CMF_1960_1_INT_WALL_LOADBEARING_STRUCTURE</t>
        </is>
      </c>
      <c r="F36" s="74" t="n"/>
      <c r="G36" s="74" t="n"/>
      <c r="H36" s="74" t="n"/>
      <c r="I36" s="74" t="n"/>
      <c r="J36" s="74" t="n"/>
      <c r="K36" s="74" t="n"/>
      <c r="L36" s="74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</row>
    <row r="37">
      <c r="A37" s="74">
        <f>C37&amp;"_"&amp;B37</f>
        <v/>
      </c>
      <c r="B37" s="75" t="inlineStr">
        <is>
          <t>INT_WALL_NONLOADBEARING</t>
        </is>
      </c>
      <c r="C37" s="75" t="inlineStr">
        <is>
          <t>CMF_1960_1</t>
        </is>
      </c>
      <c r="D37" s="74">
        <f t="array" ref="D37:E37">IFERROR(TRANSPOSE(_xlfn._xlws.FILTER(Components!$A$3:$A$302,(Components!$C$3:$C$302=B37)*(Components!$F$3:$F$302=C37))),"No matches found")</f>
        <v/>
      </c>
      <c r="E37" s="74" t="inlineStr">
        <is>
          <t>CMF_1960_1_INT_WALL_NONLOADBEARING_STRUCTURE</t>
        </is>
      </c>
      <c r="F37" s="74" t="n"/>
      <c r="G37" s="74" t="n"/>
      <c r="H37" s="74" t="n"/>
      <c r="I37" s="74" t="n"/>
      <c r="J37" s="74" t="n"/>
      <c r="K37" s="74" t="n"/>
      <c r="L37" s="74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</row>
    <row r="38">
      <c r="A38" s="74">
        <f>C38&amp;"_"&amp;B38</f>
        <v/>
      </c>
      <c r="B38" s="75" t="inlineStr">
        <is>
          <t>EXT_WALL</t>
        </is>
      </c>
      <c r="C38" s="75" t="inlineStr">
        <is>
          <t>CMF_1960_1</t>
        </is>
      </c>
      <c r="D38" s="74">
        <f t="array" ref="D38:I38">IFERROR(TRANSPOSE(_xlfn._xlws.FILTER(Components!$A$3:$A$302,(Components!$C$3:$C$302=B38)*(Components!$F$3:$F$302=C38))),"No matches found")</f>
        <v/>
      </c>
      <c r="E38" s="74" t="inlineStr">
        <is>
          <t>CMF_1960_1_EXT_WALL_SPACE</t>
        </is>
      </c>
      <c r="F38" s="74" t="inlineStr">
        <is>
          <t>CMF_1960_1_EXT_WALL_SKIN</t>
        </is>
      </c>
      <c r="G38" s="74" t="inlineStr">
        <is>
          <t>CMF_1960_1_EXT_WALL_STRUCTURE</t>
        </is>
      </c>
      <c r="H38" s="74" t="inlineStr">
        <is>
          <t>CMF_1960_1_EXT_WALL_SPACE</t>
        </is>
      </c>
      <c r="I38" s="74" t="inlineStr">
        <is>
          <t>CMF_1960_1_EXT_WALL_SPACE</t>
        </is>
      </c>
      <c r="J38" s="74" t="n"/>
      <c r="K38" s="74" t="n"/>
      <c r="L38" s="74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</row>
    <row r="39">
      <c r="A39" s="74">
        <f>C39&amp;"_"&amp;B39</f>
        <v/>
      </c>
      <c r="B39" s="75" t="inlineStr">
        <is>
          <t>ROOF</t>
        </is>
      </c>
      <c r="C39" s="75" t="inlineStr">
        <is>
          <t>CMF_1960_2</t>
        </is>
      </c>
      <c r="D39" s="74">
        <f t="array" ref="D39:G39">IFERROR(TRANSPOSE(_xlfn._xlws.FILTER(Components!$A$3:$A$302,(Components!$C$3:$C$302=B39)*(Components!$F$3:$F$302=C39))),"No matches found")</f>
        <v/>
      </c>
      <c r="E39" s="74" t="inlineStr">
        <is>
          <t>CMF_1960_2_ROOF_SKIN</t>
        </is>
      </c>
      <c r="F39" s="74" t="inlineStr">
        <is>
          <t>CMF_1960_2_ROOF_SKIN</t>
        </is>
      </c>
      <c r="G39" s="74" t="inlineStr">
        <is>
          <t>CMF_1960_2_ROOF_STRUCTURE</t>
        </is>
      </c>
      <c r="H39" s="74" t="n"/>
      <c r="I39" s="74" t="n"/>
      <c r="J39" s="74" t="n"/>
      <c r="K39" s="74" t="n"/>
      <c r="L39" s="74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</row>
    <row r="40">
      <c r="A40" s="74">
        <f>C40&amp;"_"&amp;B40</f>
        <v/>
      </c>
      <c r="B40" s="75" t="inlineStr">
        <is>
          <t>TOP_FLOOR</t>
        </is>
      </c>
      <c r="C40" s="75" t="inlineStr">
        <is>
          <t>CMF_1960_2</t>
        </is>
      </c>
      <c r="D40" s="74">
        <f t="array" ref="D40:F40">IFERROR(TRANSPOSE(_xlfn._xlws.FILTER(Components!$A$3:$A$302,(Components!$C$3:$C$302=B40)*(Components!$F$3:$F$302=C40))),"No matches found")</f>
        <v/>
      </c>
      <c r="E40" s="74" t="inlineStr">
        <is>
          <t>CMF_1960_2_TOP_FLOOR_SPACE</t>
        </is>
      </c>
      <c r="F40" s="74" t="inlineStr">
        <is>
          <t>CMF_1960_2_TOP_FLOOR_STRUCTURE</t>
        </is>
      </c>
      <c r="G40" s="74" t="n"/>
      <c r="H40" s="74" t="n"/>
      <c r="I40" s="74" t="n"/>
      <c r="J40" s="74" t="n"/>
      <c r="K40" s="74" t="n"/>
      <c r="L40" s="74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</row>
    <row r="41">
      <c r="A41" s="74">
        <f>C41&amp;"_"&amp;B41</f>
        <v/>
      </c>
      <c r="B41" s="75" t="inlineStr">
        <is>
          <t>INTERMEDIATE_FLOOR</t>
        </is>
      </c>
      <c r="C41" s="75" t="inlineStr">
        <is>
          <t>CMF_1960_2</t>
        </is>
      </c>
      <c r="D41" s="74">
        <f t="array" ref="D41:H41">IFERROR(TRANSPOSE(_xlfn._xlws.FILTER(Components!$A$3:$A$302,(Components!$C$3:$C$302=B41)*(Components!$F$3:$F$302=C41))),"No matches found")</f>
        <v/>
      </c>
      <c r="E41" s="74" t="inlineStr">
        <is>
          <t>CMF_1960_2_INTERMEDIATE_FLOOR_SPACE</t>
        </is>
      </c>
      <c r="F41" s="74" t="inlineStr">
        <is>
          <t>CMF_1960_2_INTERMEDIATE_FLOOR_STRUCTURE</t>
        </is>
      </c>
      <c r="G41" s="74" t="inlineStr">
        <is>
          <t>CMF_1960_2_INTERMEDIATE_FLOOR_STRUCTURE</t>
        </is>
      </c>
      <c r="H41" s="74" t="inlineStr">
        <is>
          <t>CMF_1960_2_INTERMEDIATE_FLOOR_STRUCTURE</t>
        </is>
      </c>
      <c r="I41" s="74" t="n"/>
      <c r="J41" s="74" t="n"/>
      <c r="K41" s="74" t="n"/>
      <c r="L41" s="74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</row>
    <row r="42">
      <c r="A42" s="74">
        <f>C42&amp;"_"&amp;B42</f>
        <v/>
      </c>
      <c r="B42" s="75" t="inlineStr">
        <is>
          <t>GROUND_FLOOR</t>
        </is>
      </c>
      <c r="C42" s="75" t="inlineStr">
        <is>
          <t>CMF_1960_2</t>
        </is>
      </c>
      <c r="D42" s="74">
        <f t="array" ref="D42:H42">IFERROR(TRANSPOSE(_xlfn._xlws.FILTER(Components!$A$3:$A$302,(Components!$C$3:$C$302=B42)*(Components!$F$3:$F$302=C42))),"No matches found")</f>
        <v/>
      </c>
      <c r="E42" s="74" t="inlineStr">
        <is>
          <t>CMF_1960_2_GROUND_FLOOR_SPACE</t>
        </is>
      </c>
      <c r="F42" s="74" t="inlineStr">
        <is>
          <t>CMF_1960_2_GROUND_FLOOR_STRUCTURE</t>
        </is>
      </c>
      <c r="G42" s="74" t="inlineStr">
        <is>
          <t>CMF_1960_2_GROUND_FLOOR_STRUCTURE</t>
        </is>
      </c>
      <c r="H42" s="74" t="inlineStr">
        <is>
          <t>CMF_1960_2_GROUND_FLOOR_STRUCTURE</t>
        </is>
      </c>
      <c r="I42" s="74" t="n"/>
      <c r="J42" s="74" t="n"/>
      <c r="K42" s="74" t="n"/>
      <c r="L42" s="74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</row>
    <row r="43">
      <c r="A43" s="74">
        <f>C43&amp;"_"&amp;B43</f>
        <v/>
      </c>
      <c r="B43" s="75" t="inlineStr">
        <is>
          <t>BASEMENT_FLOOR</t>
        </is>
      </c>
      <c r="C43" s="75" t="inlineStr">
        <is>
          <t>CMF_1960_2</t>
        </is>
      </c>
      <c r="D43" s="74">
        <f t="array" ref="D43:H43">IFERROR(TRANSPOSE(_xlfn._xlws.FILTER(Components!$A$3:$A$302,(Components!$C$3:$C$302=B43)*(Components!$F$3:$F$302=C43))),"No matches found")</f>
        <v/>
      </c>
      <c r="E43" s="74" t="inlineStr">
        <is>
          <t>CMF_1960_2_BASEMENT_FLOOR_STRUCTURE</t>
        </is>
      </c>
      <c r="F43" s="74" t="inlineStr">
        <is>
          <t>CMF_1960_2_BASEMENT_FLOOR_STRUCTURE</t>
        </is>
      </c>
      <c r="G43" s="74" t="inlineStr">
        <is>
          <t>CMF_1960_2_BASEMENT_FLOOR_STRUCTURE</t>
        </is>
      </c>
      <c r="H43" s="74" t="inlineStr">
        <is>
          <t>CMF_1960_2_BASEMENT_FLOOR_STRUCTURE</t>
        </is>
      </c>
      <c r="I43" s="74" t="n"/>
      <c r="J43" s="74" t="n"/>
      <c r="K43" s="74" t="n"/>
      <c r="L43" s="74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  <c r="AB43" s="29" t="n"/>
      <c r="AC43" s="29" t="n"/>
      <c r="AD43" s="29" t="n"/>
      <c r="AE43" s="29" t="n"/>
      <c r="AF43" s="29" t="n"/>
      <c r="AG43" s="29" t="n"/>
      <c r="AH43" s="29" t="n"/>
      <c r="AI43" s="29" t="n"/>
      <c r="AJ43" s="29" t="n"/>
      <c r="AK43" s="29" t="n"/>
      <c r="AL43" s="29" t="n"/>
      <c r="AM43" s="29" t="n"/>
      <c r="AN43" s="29" t="n"/>
      <c r="AO43" s="29" t="n"/>
      <c r="AP43" s="29" t="n"/>
      <c r="AQ43" s="29" t="n"/>
      <c r="AR43" s="29" t="n"/>
      <c r="AS43" s="29" t="n"/>
      <c r="AT43" s="29" t="n"/>
      <c r="AU43" s="29" t="n"/>
      <c r="AV43" s="29" t="n"/>
      <c r="AW43" s="29" t="n"/>
      <c r="AX43" s="29" t="n"/>
      <c r="AY43" s="29" t="n"/>
      <c r="AZ43" s="29" t="n"/>
      <c r="BA43" s="29" t="n"/>
    </row>
    <row r="44">
      <c r="A44" s="74">
        <f>C44&amp;"_"&amp;B44</f>
        <v/>
      </c>
      <c r="B44" s="75" t="inlineStr">
        <is>
          <t>EXT_WALL_LOW</t>
        </is>
      </c>
      <c r="C44" s="75" t="inlineStr">
        <is>
          <t>CMF_1960_2</t>
        </is>
      </c>
      <c r="D44" s="74">
        <f t="array" ref="D44">IFERROR(TRANSPOSE(_xlfn._xlws.FILTER(Components!$A$3:$A$302,(Components!$C$3:$C$302=B44)*(Components!$F$3:$F$302=C44))),"No matches found")</f>
        <v/>
      </c>
      <c r="E44" s="74" t="n"/>
      <c r="F44" s="74" t="n"/>
      <c r="G44" s="74" t="n"/>
      <c r="H44" s="74" t="n"/>
      <c r="I44" s="74" t="n"/>
      <c r="J44" s="74" t="n"/>
      <c r="K44" s="74" t="n"/>
      <c r="L44" s="74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  <c r="AB44" s="29" t="n"/>
      <c r="AC44" s="29" t="n"/>
      <c r="AD44" s="29" t="n"/>
      <c r="AE44" s="29" t="n"/>
      <c r="AF44" s="29" t="n"/>
      <c r="AG44" s="29" t="n"/>
      <c r="AH44" s="29" t="n"/>
      <c r="AI44" s="29" t="n"/>
      <c r="AJ44" s="29" t="n"/>
      <c r="AK44" s="29" t="n"/>
      <c r="AL44" s="29" t="n"/>
      <c r="AM44" s="29" t="n"/>
      <c r="AN44" s="29" t="n"/>
      <c r="AO44" s="29" t="n"/>
      <c r="AP44" s="29" t="n"/>
      <c r="AQ44" s="29" t="n"/>
      <c r="AR44" s="29" t="n"/>
      <c r="AS44" s="29" t="n"/>
      <c r="AT44" s="29" t="n"/>
      <c r="AU44" s="29" t="n"/>
      <c r="AV44" s="29" t="n"/>
      <c r="AW44" s="29" t="n"/>
      <c r="AX44" s="29" t="n"/>
      <c r="AY44" s="29" t="n"/>
      <c r="AZ44" s="29" t="n"/>
      <c r="BA44" s="29" t="n"/>
    </row>
    <row r="45">
      <c r="A45" s="74">
        <f>C45&amp;"_"&amp;B45</f>
        <v/>
      </c>
      <c r="B45" s="75" t="inlineStr">
        <is>
          <t>EXT_WALL_MEDIUM</t>
        </is>
      </c>
      <c r="C45" s="75" t="inlineStr">
        <is>
          <t>CMF_1960_2</t>
        </is>
      </c>
      <c r="D45" s="74">
        <f t="array" ref="D45">IFERROR(TRANSPOSE(_xlfn._xlws.FILTER(Components!$A$3:$A$302,(Components!$C$3:$C$302=B45)*(Components!$F$3:$F$302=C45))),"No matches found")</f>
        <v/>
      </c>
      <c r="E45" s="74" t="n"/>
      <c r="F45" s="74" t="n"/>
      <c r="G45" s="74" t="n"/>
      <c r="H45" s="74" t="n"/>
      <c r="I45" s="74" t="n"/>
      <c r="J45" s="74" t="n"/>
      <c r="K45" s="74" t="n"/>
      <c r="L45" s="74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  <c r="AB45" s="29" t="n"/>
      <c r="AC45" s="29" t="n"/>
      <c r="AD45" s="29" t="n"/>
      <c r="AE45" s="29" t="n"/>
      <c r="AF45" s="29" t="n"/>
      <c r="AG45" s="29" t="n"/>
      <c r="AH45" s="29" t="n"/>
      <c r="AI45" s="29" t="n"/>
      <c r="AJ45" s="29" t="n"/>
      <c r="AK45" s="29" t="n"/>
      <c r="AL45" s="29" t="n"/>
      <c r="AM45" s="29" t="n"/>
      <c r="AN45" s="29" t="n"/>
      <c r="AO45" s="29" t="n"/>
      <c r="AP45" s="29" t="n"/>
      <c r="AQ45" s="29" t="n"/>
      <c r="AR45" s="29" t="n"/>
      <c r="AS45" s="29" t="n"/>
      <c r="AT45" s="29" t="n"/>
      <c r="AU45" s="29" t="n"/>
      <c r="AV45" s="29" t="n"/>
      <c r="AW45" s="29" t="n"/>
      <c r="AX45" s="29" t="n"/>
      <c r="AY45" s="29" t="n"/>
      <c r="AZ45" s="29" t="n"/>
      <c r="BA45" s="29" t="n"/>
    </row>
    <row r="46">
      <c r="A46" s="74">
        <f>C46&amp;"_"&amp;B46</f>
        <v/>
      </c>
      <c r="B46" s="75" t="inlineStr">
        <is>
          <t>EXT_WALL_HIGH</t>
        </is>
      </c>
      <c r="C46" s="75" t="inlineStr">
        <is>
          <t>CMF_1960_2</t>
        </is>
      </c>
      <c r="D46" s="74">
        <f t="array" ref="D46">IFERROR(TRANSPOSE(_xlfn._xlws.FILTER(Components!$A$3:$A$302,(Components!$C$3:$C$302=B46)*(Components!$F$3:$F$302=C46))),"No matches found")</f>
        <v/>
      </c>
      <c r="E46" s="74" t="n"/>
      <c r="F46" s="74" t="n"/>
      <c r="G46" s="74" t="n"/>
      <c r="H46" s="74" t="n"/>
      <c r="I46" s="74" t="n"/>
      <c r="J46" s="74" t="n"/>
      <c r="K46" s="74" t="n"/>
      <c r="L46" s="74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  <c r="AB46" s="29" t="n"/>
      <c r="AC46" s="29" t="n"/>
      <c r="AD46" s="29" t="n"/>
      <c r="AE46" s="29" t="n"/>
      <c r="AF46" s="29" t="n"/>
      <c r="AG46" s="29" t="n"/>
      <c r="AH46" s="29" t="n"/>
      <c r="AI46" s="29" t="n"/>
      <c r="AJ46" s="29" t="n"/>
      <c r="AK46" s="29" t="n"/>
      <c r="AL46" s="29" t="n"/>
      <c r="AM46" s="29" t="n"/>
      <c r="AN46" s="29" t="n"/>
      <c r="AO46" s="29" t="n"/>
      <c r="AP46" s="29" t="n"/>
      <c r="AQ46" s="29" t="n"/>
      <c r="AR46" s="29" t="n"/>
      <c r="AS46" s="29" t="n"/>
      <c r="AT46" s="29" t="n"/>
      <c r="AU46" s="29" t="n"/>
      <c r="AV46" s="29" t="n"/>
      <c r="AW46" s="29" t="n"/>
      <c r="AX46" s="29" t="n"/>
      <c r="AY46" s="29" t="n"/>
      <c r="AZ46" s="29" t="n"/>
      <c r="BA46" s="29" t="n"/>
    </row>
    <row r="47">
      <c r="A47" s="74">
        <f>C47&amp;"_"&amp;B47</f>
        <v/>
      </c>
      <c r="B47" s="75" t="inlineStr">
        <is>
          <t>BASEMENT_WALL</t>
        </is>
      </c>
      <c r="C47" s="75" t="inlineStr">
        <is>
          <t>CMF_1960_2</t>
        </is>
      </c>
      <c r="D47" s="74">
        <f t="array" ref="D47">IFERROR(TRANSPOSE(_xlfn._xlws.FILTER(Components!$A$3:$A$302,(Components!$C$3:$C$302=B47)*(Components!$F$3:$F$302=C47))),"No matches found")</f>
        <v/>
      </c>
      <c r="E47" s="74" t="n"/>
      <c r="F47" s="74" t="n"/>
      <c r="G47" s="74" t="n"/>
      <c r="H47" s="74" t="n"/>
      <c r="I47" s="74" t="n"/>
      <c r="J47" s="74" t="n"/>
      <c r="K47" s="74" t="n"/>
      <c r="L47" s="74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  <c r="AB47" s="29" t="n"/>
      <c r="AC47" s="29" t="n"/>
      <c r="AD47" s="29" t="n"/>
      <c r="AE47" s="29" t="n"/>
      <c r="AF47" s="29" t="n"/>
      <c r="AG47" s="29" t="n"/>
      <c r="AH47" s="29" t="n"/>
      <c r="AI47" s="29" t="n"/>
      <c r="AJ47" s="29" t="n"/>
      <c r="AK47" s="29" t="n"/>
      <c r="AL47" s="29" t="n"/>
      <c r="AM47" s="29" t="n"/>
      <c r="AN47" s="29" t="n"/>
      <c r="AO47" s="29" t="n"/>
      <c r="AP47" s="29" t="n"/>
      <c r="AQ47" s="29" t="n"/>
      <c r="AR47" s="29" t="n"/>
      <c r="AS47" s="29" t="n"/>
      <c r="AT47" s="29" t="n"/>
      <c r="AU47" s="29" t="n"/>
      <c r="AV47" s="29" t="n"/>
      <c r="AW47" s="29" t="n"/>
      <c r="AX47" s="29" t="n"/>
      <c r="AY47" s="29" t="n"/>
      <c r="AZ47" s="29" t="n"/>
      <c r="BA47" s="29" t="n"/>
    </row>
    <row r="48">
      <c r="A48" s="74">
        <f>C48&amp;"_"&amp;B48</f>
        <v/>
      </c>
      <c r="B48" s="75" t="inlineStr">
        <is>
          <t>INT_WALL_LOADBEARING</t>
        </is>
      </c>
      <c r="C48" s="75" t="inlineStr">
        <is>
          <t>CMF_1960_2</t>
        </is>
      </c>
      <c r="D48" s="74">
        <f t="array" ref="D48:E48">IFERROR(TRANSPOSE(_xlfn._xlws.FILTER(Components!$A$3:$A$302,(Components!$C$3:$C$302=B48)*(Components!$F$3:$F$302=C48))),"No matches found")</f>
        <v/>
      </c>
      <c r="E48" s="74" t="inlineStr">
        <is>
          <t>CMF_1960_2_INT_WALL_LOADBEARING_STRUCTURE</t>
        </is>
      </c>
      <c r="F48" s="74" t="n"/>
      <c r="G48" s="74" t="n"/>
      <c r="H48" s="74" t="n"/>
      <c r="I48" s="74" t="n"/>
      <c r="J48" s="74" t="n"/>
      <c r="K48" s="74" t="n"/>
      <c r="L48" s="74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  <c r="AB48" s="29" t="n"/>
      <c r="AC48" s="29" t="n"/>
      <c r="AD48" s="29" t="n"/>
      <c r="AE48" s="29" t="n"/>
      <c r="AF48" s="29" t="n"/>
      <c r="AG48" s="29" t="n"/>
      <c r="AH48" s="29" t="n"/>
      <c r="AI48" s="29" t="n"/>
      <c r="AJ48" s="29" t="n"/>
      <c r="AK48" s="29" t="n"/>
      <c r="AL48" s="29" t="n"/>
      <c r="AM48" s="29" t="n"/>
      <c r="AN48" s="29" t="n"/>
      <c r="AO48" s="29" t="n"/>
      <c r="AP48" s="29" t="n"/>
      <c r="AQ48" s="29" t="n"/>
      <c r="AR48" s="29" t="n"/>
      <c r="AS48" s="29" t="n"/>
      <c r="AT48" s="29" t="n"/>
      <c r="AU48" s="29" t="n"/>
      <c r="AV48" s="29" t="n"/>
      <c r="AW48" s="29" t="n"/>
      <c r="AX48" s="29" t="n"/>
      <c r="AY48" s="29" t="n"/>
      <c r="AZ48" s="29" t="n"/>
      <c r="BA48" s="29" t="n"/>
    </row>
    <row r="49">
      <c r="A49" s="74">
        <f>C49&amp;"_"&amp;B49</f>
        <v/>
      </c>
      <c r="B49" s="75" t="inlineStr">
        <is>
          <t>INT_WALL_NONLOADBEARING</t>
        </is>
      </c>
      <c r="C49" s="75" t="inlineStr">
        <is>
          <t>CMF_1960_2</t>
        </is>
      </c>
      <c r="D49" s="74">
        <f t="array" ref="D49:E49">IFERROR(TRANSPOSE(_xlfn._xlws.FILTER(Components!$A$3:$A$302,(Components!$C$3:$C$302=B49)*(Components!$F$3:$F$302=C49))),"No matches found")</f>
        <v/>
      </c>
      <c r="E49" s="74" t="inlineStr">
        <is>
          <t>CMF_1960_2_INT_WALL_NONLOADBEARING_STRUCTURE</t>
        </is>
      </c>
      <c r="F49" s="74" t="n"/>
      <c r="G49" s="74" t="n"/>
      <c r="H49" s="74" t="n"/>
      <c r="I49" s="74" t="n"/>
      <c r="J49" s="74" t="n"/>
      <c r="K49" s="74" t="n"/>
      <c r="L49" s="74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  <c r="AB49" s="29" t="n"/>
      <c r="AC49" s="29" t="n"/>
      <c r="AD49" s="29" t="n"/>
      <c r="AE49" s="29" t="n"/>
      <c r="AF49" s="29" t="n"/>
      <c r="AG49" s="29" t="n"/>
      <c r="AH49" s="29" t="n"/>
      <c r="AI49" s="29" t="n"/>
      <c r="AJ49" s="29" t="n"/>
      <c r="AK49" s="29" t="n"/>
      <c r="AL49" s="29" t="n"/>
      <c r="AM49" s="29" t="n"/>
      <c r="AN49" s="29" t="n"/>
      <c r="AO49" s="29" t="n"/>
      <c r="AP49" s="29" t="n"/>
      <c r="AQ49" s="29" t="n"/>
      <c r="AR49" s="29" t="n"/>
      <c r="AS49" s="29" t="n"/>
      <c r="AT49" s="29" t="n"/>
      <c r="AU49" s="29" t="n"/>
      <c r="AV49" s="29" t="n"/>
      <c r="AW49" s="29" t="n"/>
      <c r="AX49" s="29" t="n"/>
      <c r="AY49" s="29" t="n"/>
      <c r="AZ49" s="29" t="n"/>
      <c r="BA49" s="29" t="n"/>
    </row>
    <row r="50">
      <c r="A50" s="74">
        <f>C50&amp;"_"&amp;B50</f>
        <v/>
      </c>
      <c r="B50" s="75" t="inlineStr">
        <is>
          <t>EXT_WALL</t>
        </is>
      </c>
      <c r="C50" s="75" t="inlineStr">
        <is>
          <t>CMF_1960_2</t>
        </is>
      </c>
      <c r="D50" s="74">
        <f t="array" ref="D50:L50">IFERROR(TRANSPOSE(_xlfn._xlws.FILTER(Components!$A$3:$A$302,(Components!$C$3:$C$302=B50)*(Components!$F$3:$F$302=C50))),"No matches found")</f>
        <v/>
      </c>
      <c r="E50" s="74" t="inlineStr">
        <is>
          <t>CMF_1960_2_EXT_WALL_STRUCTURE</t>
        </is>
      </c>
      <c r="F50" s="74" t="inlineStr">
        <is>
          <t>CMF_1960_2_EXT_WALL_STRUCTURE</t>
        </is>
      </c>
      <c r="G50" s="74" t="inlineStr">
        <is>
          <t>CMF_1960_2_EXT_WALL_SPACE</t>
        </is>
      </c>
      <c r="H50" s="74" t="inlineStr">
        <is>
          <t>CMF_1960_2_EXT_WALL_SKIN</t>
        </is>
      </c>
      <c r="I50" s="74" t="inlineStr">
        <is>
          <t>CMF_1960_2_EXT_WALL_SKIN</t>
        </is>
      </c>
      <c r="J50" s="74" t="inlineStr">
        <is>
          <t>CMF_1960_2_EXT_WALL_STRUCTURE</t>
        </is>
      </c>
      <c r="K50" s="74" t="inlineStr">
        <is>
          <t>CMF_1960_2_EXT_WALL_SPACE</t>
        </is>
      </c>
      <c r="L50" s="74" t="inlineStr">
        <is>
          <t>CMF_1960_2_EXT_WALL_SPACE</t>
        </is>
      </c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  <c r="AB50" s="29" t="n"/>
      <c r="AC50" s="29" t="n"/>
      <c r="AD50" s="29" t="n"/>
      <c r="AE50" s="29" t="n"/>
      <c r="AF50" s="29" t="n"/>
      <c r="AG50" s="29" t="n"/>
      <c r="AH50" s="29" t="n"/>
      <c r="AI50" s="29" t="n"/>
      <c r="AJ50" s="29" t="n"/>
      <c r="AK50" s="29" t="n"/>
      <c r="AL50" s="29" t="n"/>
      <c r="AM50" s="29" t="n"/>
      <c r="AN50" s="29" t="n"/>
      <c r="AO50" s="29" t="n"/>
      <c r="AP50" s="29" t="n"/>
      <c r="AQ50" s="29" t="n"/>
      <c r="AR50" s="29" t="n"/>
      <c r="AS50" s="29" t="n"/>
      <c r="AT50" s="29" t="n"/>
      <c r="AU50" s="29" t="n"/>
      <c r="AV50" s="29" t="n"/>
      <c r="AW50" s="29" t="n"/>
      <c r="AX50" s="29" t="n"/>
      <c r="AY50" s="29" t="n"/>
      <c r="AZ50" s="29" t="n"/>
      <c r="BA50" s="29" t="n"/>
    </row>
    <row r="51">
      <c r="A51" s="74">
        <f>C51&amp;"_"&amp;B51</f>
        <v/>
      </c>
      <c r="B51" s="75" t="inlineStr">
        <is>
          <t>ROOF</t>
        </is>
      </c>
      <c r="C51" s="65" t="inlineStr">
        <is>
          <t>CMF_1970</t>
        </is>
      </c>
      <c r="D51" s="74">
        <f t="array" ref="D51:E51">IFERROR(TRANSPOSE(_xlfn._xlws.FILTER(Components!$A$3:$A$302,(Components!$C$3:$C$302=B51)*(Components!$F$3:$F$302=C51))),"No matches found")</f>
        <v/>
      </c>
      <c r="E51" s="74" t="inlineStr">
        <is>
          <t>CMF_1970_ROOF_SKIN</t>
        </is>
      </c>
      <c r="F51" s="74" t="n"/>
      <c r="G51" s="74" t="n"/>
      <c r="H51" s="74" t="n"/>
      <c r="I51" s="74" t="n"/>
      <c r="J51" s="74" t="n"/>
      <c r="K51" s="74" t="n"/>
      <c r="L51" s="74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  <c r="AB51" s="29" t="n"/>
      <c r="AC51" s="29" t="n"/>
      <c r="AD51" s="29" t="n"/>
      <c r="AE51" s="29" t="n"/>
      <c r="AF51" s="29" t="n"/>
      <c r="AG51" s="29" t="n"/>
      <c r="AH51" s="29" t="n"/>
      <c r="AI51" s="29" t="n"/>
      <c r="AJ51" s="29" t="n"/>
      <c r="AK51" s="29" t="n"/>
      <c r="AL51" s="29" t="n"/>
      <c r="AM51" s="29" t="n"/>
      <c r="AN51" s="29" t="n"/>
      <c r="AO51" s="29" t="n"/>
      <c r="AP51" s="29" t="n"/>
      <c r="AQ51" s="29" t="n"/>
      <c r="AR51" s="29" t="n"/>
      <c r="AS51" s="29" t="n"/>
      <c r="AT51" s="29" t="n"/>
      <c r="AU51" s="29" t="n"/>
      <c r="AV51" s="29" t="n"/>
      <c r="AW51" s="29" t="n"/>
      <c r="AX51" s="29" t="n"/>
      <c r="AY51" s="29" t="n"/>
      <c r="AZ51" s="29" t="n"/>
      <c r="BA51" s="29" t="n"/>
    </row>
    <row r="52">
      <c r="A52" s="74">
        <f>C52&amp;"_"&amp;B52</f>
        <v/>
      </c>
      <c r="B52" s="75" t="inlineStr">
        <is>
          <t>TOP_FLOOR</t>
        </is>
      </c>
      <c r="C52" s="65" t="inlineStr">
        <is>
          <t>CMF_1970</t>
        </is>
      </c>
      <c r="D52" s="74">
        <f t="array" ref="D52:E52">IFERROR(TRANSPOSE(_xlfn._xlws.FILTER(Components!$A$3:$A$302,(Components!$C$3:$C$302=B52)*(Components!$F$3:$F$302=C52))),"No matches found")</f>
        <v/>
      </c>
      <c r="E52" s="74" t="inlineStr">
        <is>
          <t>CMF_1970_TOP_FLOOR_STRUCTURE</t>
        </is>
      </c>
      <c r="F52" s="74" t="n"/>
      <c r="G52" s="74" t="n"/>
      <c r="H52" s="74" t="n"/>
      <c r="I52" s="74" t="n"/>
      <c r="J52" s="74" t="n"/>
      <c r="K52" s="74" t="n"/>
      <c r="L52" s="74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  <c r="AB52" s="29" t="n"/>
      <c r="AC52" s="29" t="n"/>
      <c r="AD52" s="29" t="n"/>
      <c r="AE52" s="29" t="n"/>
      <c r="AF52" s="29" t="n"/>
      <c r="AG52" s="29" t="n"/>
      <c r="AH52" s="29" t="n"/>
      <c r="AI52" s="29" t="n"/>
      <c r="AJ52" s="29" t="n"/>
      <c r="AK52" s="29" t="n"/>
      <c r="AL52" s="29" t="n"/>
      <c r="AM52" s="29" t="n"/>
      <c r="AN52" s="29" t="n"/>
      <c r="AO52" s="29" t="n"/>
      <c r="AP52" s="29" t="n"/>
      <c r="AQ52" s="29" t="n"/>
      <c r="AR52" s="29" t="n"/>
      <c r="AS52" s="29" t="n"/>
      <c r="AT52" s="29" t="n"/>
      <c r="AU52" s="29" t="n"/>
      <c r="AV52" s="29" t="n"/>
      <c r="AW52" s="29" t="n"/>
      <c r="AX52" s="29" t="n"/>
      <c r="AY52" s="29" t="n"/>
      <c r="AZ52" s="29" t="n"/>
      <c r="BA52" s="29" t="n"/>
    </row>
    <row r="53">
      <c r="A53" s="74">
        <f>C53&amp;"_"&amp;B53</f>
        <v/>
      </c>
      <c r="B53" s="75" t="inlineStr">
        <is>
          <t>INTERMEDIATE_FLOOR</t>
        </is>
      </c>
      <c r="C53" s="65" t="inlineStr">
        <is>
          <t>CMF_1970</t>
        </is>
      </c>
      <c r="D53" s="74">
        <f t="array" ref="D53:E53">IFERROR(TRANSPOSE(_xlfn._xlws.FILTER(Components!$A$3:$A$302,(Components!$C$3:$C$302=B53)*(Components!$F$3:$F$302=C53))),"No matches found")</f>
        <v/>
      </c>
      <c r="E53" s="74" t="inlineStr">
        <is>
          <t>CMF_1970_INTERMEDIATE_FLOOR_SPACE</t>
        </is>
      </c>
      <c r="F53" s="74" t="n"/>
      <c r="G53" s="74" t="n"/>
      <c r="H53" s="74" t="n"/>
      <c r="I53" s="74" t="n"/>
      <c r="J53" s="74" t="n"/>
      <c r="K53" s="74" t="n"/>
      <c r="L53" s="74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  <c r="AB53" s="29" t="n"/>
      <c r="AC53" s="29" t="n"/>
      <c r="AD53" s="29" t="n"/>
      <c r="AE53" s="29" t="n"/>
      <c r="AF53" s="29" t="n"/>
      <c r="AG53" s="29" t="n"/>
      <c r="AH53" s="29" t="n"/>
      <c r="AI53" s="29" t="n"/>
      <c r="AJ53" s="29" t="n"/>
      <c r="AK53" s="29" t="n"/>
      <c r="AL53" s="29" t="n"/>
      <c r="AM53" s="29" t="n"/>
      <c r="AN53" s="29" t="n"/>
      <c r="AO53" s="29" t="n"/>
      <c r="AP53" s="29" t="n"/>
      <c r="AQ53" s="29" t="n"/>
      <c r="AR53" s="29" t="n"/>
      <c r="AS53" s="29" t="n"/>
      <c r="AT53" s="29" t="n"/>
      <c r="AU53" s="29" t="n"/>
      <c r="AV53" s="29" t="n"/>
      <c r="AW53" s="29" t="n"/>
      <c r="AX53" s="29" t="n"/>
      <c r="AY53" s="29" t="n"/>
      <c r="AZ53" s="29" t="n"/>
      <c r="BA53" s="29" t="n"/>
    </row>
    <row r="54">
      <c r="A54" s="74">
        <f>C54&amp;"_"&amp;B54</f>
        <v/>
      </c>
      <c r="B54" s="75" t="inlineStr">
        <is>
          <t>GROUND_FLOOR</t>
        </is>
      </c>
      <c r="C54" s="65" t="inlineStr">
        <is>
          <t>CMF_1970</t>
        </is>
      </c>
      <c r="D54" s="74">
        <f t="array" ref="D54:F54">IFERROR(TRANSPOSE(_xlfn._xlws.FILTER(Components!$A$3:$A$302,(Components!$C$3:$C$302=B54)*(Components!$F$3:$F$302=C54))),"No matches found")</f>
        <v/>
      </c>
      <c r="E54" s="74" t="inlineStr">
        <is>
          <t>CMF_1970_GROUND_FLOOR_STRUCTURE</t>
        </is>
      </c>
      <c r="F54" s="74" t="inlineStr">
        <is>
          <t>CMF_1970_GROUND_FLOOR_SPACE</t>
        </is>
      </c>
      <c r="G54" s="74" t="n"/>
      <c r="H54" s="74" t="n"/>
      <c r="I54" s="74" t="n"/>
      <c r="J54" s="74" t="n"/>
      <c r="K54" s="74" t="n"/>
      <c r="L54" s="74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  <c r="AB54" s="29" t="n"/>
      <c r="AC54" s="29" t="n"/>
      <c r="AD54" s="29" t="n"/>
      <c r="AE54" s="29" t="n"/>
      <c r="AF54" s="29" t="n"/>
      <c r="AG54" s="29" t="n"/>
      <c r="AH54" s="29" t="n"/>
      <c r="AI54" s="29" t="n"/>
      <c r="AJ54" s="29" t="n"/>
      <c r="AK54" s="29" t="n"/>
      <c r="AL54" s="29" t="n"/>
      <c r="AM54" s="29" t="n"/>
      <c r="AN54" s="29" t="n"/>
      <c r="AO54" s="29" t="n"/>
      <c r="AP54" s="29" t="n"/>
      <c r="AQ54" s="29" t="n"/>
      <c r="AR54" s="29" t="n"/>
      <c r="AS54" s="29" t="n"/>
      <c r="AT54" s="29" t="n"/>
      <c r="AU54" s="29" t="n"/>
      <c r="AV54" s="29" t="n"/>
      <c r="AW54" s="29" t="n"/>
      <c r="AX54" s="29" t="n"/>
      <c r="AY54" s="29" t="n"/>
      <c r="AZ54" s="29" t="n"/>
      <c r="BA54" s="29" t="n"/>
    </row>
    <row r="55">
      <c r="A55" s="74">
        <f>C55&amp;"_"&amp;B55</f>
        <v/>
      </c>
      <c r="B55" s="75" t="inlineStr">
        <is>
          <t>BASEMENT_FLOOR</t>
        </is>
      </c>
      <c r="C55" s="65" t="inlineStr">
        <is>
          <t>CMF_1970</t>
        </is>
      </c>
      <c r="D55" s="74">
        <f t="array" ref="D55:F55">IFERROR(TRANSPOSE(_xlfn._xlws.FILTER(Components!$A$3:$A$302,(Components!$C$3:$C$302=B55)*(Components!$F$3:$F$302=C55))),"No matches found")</f>
        <v/>
      </c>
      <c r="E55" s="74" t="inlineStr">
        <is>
          <t>CMF_1970_BASEMENT_FLOOR_STRUCTURE</t>
        </is>
      </c>
      <c r="F55" s="74" t="inlineStr">
        <is>
          <t>CMF_1970_BASEMENT_FLOOR_SPACE</t>
        </is>
      </c>
      <c r="G55" s="74" t="n"/>
      <c r="H55" s="74" t="n"/>
      <c r="I55" s="74" t="n"/>
      <c r="J55" s="74" t="n"/>
      <c r="K55" s="74" t="n"/>
      <c r="L55" s="74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  <c r="AB55" s="29" t="n"/>
      <c r="AC55" s="29" t="n"/>
      <c r="AD55" s="29" t="n"/>
      <c r="AE55" s="29" t="n"/>
      <c r="AF55" s="29" t="n"/>
      <c r="AG55" s="29" t="n"/>
      <c r="AH55" s="29" t="n"/>
      <c r="AI55" s="29" t="n"/>
      <c r="AJ55" s="29" t="n"/>
      <c r="AK55" s="29" t="n"/>
      <c r="AL55" s="29" t="n"/>
      <c r="AM55" s="29" t="n"/>
      <c r="AN55" s="29" t="n"/>
      <c r="AO55" s="29" t="n"/>
      <c r="AP55" s="29" t="n"/>
      <c r="AQ55" s="29" t="n"/>
      <c r="AR55" s="29" t="n"/>
      <c r="AS55" s="29" t="n"/>
      <c r="AT55" s="29" t="n"/>
      <c r="AU55" s="29" t="n"/>
      <c r="AV55" s="29" t="n"/>
      <c r="AW55" s="29" t="n"/>
      <c r="AX55" s="29" t="n"/>
      <c r="AY55" s="29" t="n"/>
      <c r="AZ55" s="29" t="n"/>
      <c r="BA55" s="29" t="n"/>
    </row>
    <row r="56">
      <c r="A56" s="74">
        <f>C56&amp;"_"&amp;B56</f>
        <v/>
      </c>
      <c r="B56" s="75" t="inlineStr">
        <is>
          <t>EXT_WALL_LOW</t>
        </is>
      </c>
      <c r="C56" s="65" t="inlineStr">
        <is>
          <t>CMF_1970</t>
        </is>
      </c>
      <c r="D56" s="74">
        <f t="array" ref="D56">IFERROR(TRANSPOSE(_xlfn._xlws.FILTER(Components!$A$3:$A$302,(Components!$C$3:$C$302=B56)*(Components!$F$3:$F$302=C56))),"No matches found")</f>
        <v/>
      </c>
      <c r="E56" s="74" t="n"/>
      <c r="F56" s="74" t="n"/>
      <c r="G56" s="74" t="n"/>
      <c r="H56" s="74" t="n"/>
      <c r="I56" s="74" t="n"/>
      <c r="J56" s="74" t="n"/>
      <c r="K56" s="74" t="n"/>
      <c r="L56" s="74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  <c r="AB56" s="29" t="n"/>
      <c r="AC56" s="29" t="n"/>
      <c r="AD56" s="29" t="n"/>
      <c r="AE56" s="29" t="n"/>
      <c r="AF56" s="29" t="n"/>
      <c r="AG56" s="29" t="n"/>
      <c r="AH56" s="29" t="n"/>
      <c r="AI56" s="29" t="n"/>
      <c r="AJ56" s="29" t="n"/>
      <c r="AK56" s="29" t="n"/>
      <c r="AL56" s="29" t="n"/>
      <c r="AM56" s="29" t="n"/>
      <c r="AN56" s="29" t="n"/>
      <c r="AO56" s="29" t="n"/>
      <c r="AP56" s="29" t="n"/>
      <c r="AQ56" s="29" t="n"/>
      <c r="AR56" s="29" t="n"/>
      <c r="AS56" s="29" t="n"/>
      <c r="AT56" s="29" t="n"/>
      <c r="AU56" s="29" t="n"/>
      <c r="AV56" s="29" t="n"/>
      <c r="AW56" s="29" t="n"/>
      <c r="AX56" s="29" t="n"/>
      <c r="AY56" s="29" t="n"/>
      <c r="AZ56" s="29" t="n"/>
      <c r="BA56" s="29" t="n"/>
    </row>
    <row r="57">
      <c r="A57" s="74">
        <f>C57&amp;"_"&amp;B57</f>
        <v/>
      </c>
      <c r="B57" s="75" t="inlineStr">
        <is>
          <t>EXT_WALL_MEDIUM</t>
        </is>
      </c>
      <c r="C57" s="65" t="inlineStr">
        <is>
          <t>CMF_1970</t>
        </is>
      </c>
      <c r="D57" s="74">
        <f t="array" ref="D57">IFERROR(TRANSPOSE(_xlfn._xlws.FILTER(Components!$A$3:$A$302,(Components!$C$3:$C$302=B57)*(Components!$F$3:$F$302=C57))),"No matches found")</f>
        <v/>
      </c>
      <c r="E57" s="74" t="n"/>
      <c r="F57" s="74" t="n"/>
      <c r="G57" s="74" t="n"/>
      <c r="H57" s="74" t="n"/>
      <c r="I57" s="74" t="n"/>
      <c r="J57" s="74" t="n"/>
      <c r="K57" s="74" t="n"/>
      <c r="L57" s="74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  <c r="AB57" s="29" t="n"/>
      <c r="AC57" s="29" t="n"/>
      <c r="AD57" s="29" t="n"/>
      <c r="AE57" s="29" t="n"/>
      <c r="AF57" s="29" t="n"/>
      <c r="AG57" s="29" t="n"/>
      <c r="AH57" s="29" t="n"/>
      <c r="AI57" s="29" t="n"/>
      <c r="AJ57" s="29" t="n"/>
      <c r="AK57" s="29" t="n"/>
      <c r="AL57" s="29" t="n"/>
      <c r="AM57" s="29" t="n"/>
      <c r="AN57" s="29" t="n"/>
      <c r="AO57" s="29" t="n"/>
      <c r="AP57" s="29" t="n"/>
      <c r="AQ57" s="29" t="n"/>
      <c r="AR57" s="29" t="n"/>
      <c r="AS57" s="29" t="n"/>
      <c r="AT57" s="29" t="n"/>
      <c r="AU57" s="29" t="n"/>
      <c r="AV57" s="29" t="n"/>
      <c r="AW57" s="29" t="n"/>
      <c r="AX57" s="29" t="n"/>
      <c r="AY57" s="29" t="n"/>
      <c r="AZ57" s="29" t="n"/>
      <c r="BA57" s="29" t="n"/>
    </row>
    <row r="58">
      <c r="A58" s="74">
        <f>C58&amp;"_"&amp;B58</f>
        <v/>
      </c>
      <c r="B58" s="75" t="inlineStr">
        <is>
          <t>EXT_WALL_HIGH</t>
        </is>
      </c>
      <c r="C58" s="65" t="inlineStr">
        <is>
          <t>CMF_1970</t>
        </is>
      </c>
      <c r="D58" s="74">
        <f t="array" ref="D58">IFERROR(TRANSPOSE(_xlfn._xlws.FILTER(Components!$A$3:$A$302,(Components!$C$3:$C$302=B58)*(Components!$F$3:$F$302=C58))),"No matches found")</f>
        <v/>
      </c>
      <c r="E58" s="74" t="n"/>
      <c r="F58" s="74" t="n"/>
      <c r="G58" s="74" t="n"/>
      <c r="H58" s="74" t="n"/>
      <c r="I58" s="74" t="n"/>
      <c r="J58" s="74" t="n"/>
      <c r="K58" s="74" t="n"/>
      <c r="L58" s="74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  <c r="AB58" s="29" t="n"/>
      <c r="AC58" s="29" t="n"/>
      <c r="AD58" s="29" t="n"/>
      <c r="AE58" s="29" t="n"/>
      <c r="AF58" s="29" t="n"/>
      <c r="AG58" s="29" t="n"/>
      <c r="AH58" s="29" t="n"/>
      <c r="AI58" s="29" t="n"/>
      <c r="AJ58" s="29" t="n"/>
      <c r="AK58" s="29" t="n"/>
      <c r="AL58" s="29" t="n"/>
      <c r="AM58" s="29" t="n"/>
      <c r="AN58" s="29" t="n"/>
      <c r="AO58" s="29" t="n"/>
      <c r="AP58" s="29" t="n"/>
      <c r="AQ58" s="29" t="n"/>
      <c r="AR58" s="29" t="n"/>
      <c r="AS58" s="29" t="n"/>
      <c r="AT58" s="29" t="n"/>
      <c r="AU58" s="29" t="n"/>
      <c r="AV58" s="29" t="n"/>
      <c r="AW58" s="29" t="n"/>
      <c r="AX58" s="29" t="n"/>
      <c r="AY58" s="29" t="n"/>
      <c r="AZ58" s="29" t="n"/>
      <c r="BA58" s="29" t="n"/>
    </row>
    <row r="59">
      <c r="A59" s="74">
        <f>C59&amp;"_"&amp;B59</f>
        <v/>
      </c>
      <c r="B59" s="75" t="inlineStr">
        <is>
          <t>BASEMENT_WALL</t>
        </is>
      </c>
      <c r="C59" s="65" t="inlineStr">
        <is>
          <t>CMF_1970</t>
        </is>
      </c>
      <c r="D59" s="74">
        <f t="array" ref="D59:F59">IFERROR(TRANSPOSE(_xlfn._xlws.FILTER(Components!$A$3:$A$302,(Components!$C$3:$C$302=B59)*(Components!$F$3:$F$302=C59))),"No matches found")</f>
        <v/>
      </c>
      <c r="E59" s="74" t="inlineStr">
        <is>
          <t>CMF_1970_BASEMENT_WALL_STRUCTURE</t>
        </is>
      </c>
      <c r="F59" s="74" t="inlineStr">
        <is>
          <t>CMF_1970_BASEMENT_WALL_SPACE</t>
        </is>
      </c>
      <c r="G59" s="74" t="n"/>
      <c r="H59" s="74" t="n"/>
      <c r="I59" s="74" t="n"/>
      <c r="J59" s="74" t="n"/>
      <c r="K59" s="74" t="n"/>
      <c r="L59" s="74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  <c r="AB59" s="29" t="n"/>
      <c r="AC59" s="29" t="n"/>
      <c r="AD59" s="29" t="n"/>
      <c r="AE59" s="29" t="n"/>
      <c r="AF59" s="29" t="n"/>
      <c r="AG59" s="29" t="n"/>
      <c r="AH59" s="29" t="n"/>
      <c r="AI59" s="29" t="n"/>
      <c r="AJ59" s="29" t="n"/>
      <c r="AK59" s="29" t="n"/>
      <c r="AL59" s="29" t="n"/>
      <c r="AM59" s="29" t="n"/>
      <c r="AN59" s="29" t="n"/>
      <c r="AO59" s="29" t="n"/>
      <c r="AP59" s="29" t="n"/>
      <c r="AQ59" s="29" t="n"/>
      <c r="AR59" s="29" t="n"/>
      <c r="AS59" s="29" t="n"/>
      <c r="AT59" s="29" t="n"/>
      <c r="AU59" s="29" t="n"/>
      <c r="AV59" s="29" t="n"/>
      <c r="AW59" s="29" t="n"/>
      <c r="AX59" s="29" t="n"/>
      <c r="AY59" s="29" t="n"/>
      <c r="AZ59" s="29" t="n"/>
      <c r="BA59" s="29" t="n"/>
    </row>
    <row r="60">
      <c r="A60" s="74">
        <f>C60&amp;"_"&amp;B60</f>
        <v/>
      </c>
      <c r="B60" s="75" t="inlineStr">
        <is>
          <t>INT_WALL_LOADBEARING</t>
        </is>
      </c>
      <c r="C60" s="65" t="inlineStr">
        <is>
          <t>CMF_1970</t>
        </is>
      </c>
      <c r="D60" s="74">
        <f t="array" ref="D60">IFERROR(TRANSPOSE(_xlfn._xlws.FILTER(Components!$A$3:$A$302,(Components!$C$3:$C$302=B60)*(Components!$F$3:$F$302=C60))),"No matches found")</f>
        <v/>
      </c>
      <c r="E60" s="74" t="n"/>
      <c r="F60" s="74" t="n"/>
      <c r="G60" s="74" t="n"/>
      <c r="H60" s="74" t="n"/>
      <c r="I60" s="74" t="n"/>
      <c r="J60" s="74" t="n"/>
      <c r="K60" s="74" t="n"/>
      <c r="L60" s="74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  <c r="AB60" s="29" t="n"/>
      <c r="AC60" s="29" t="n"/>
      <c r="AD60" s="29" t="n"/>
      <c r="AE60" s="29" t="n"/>
      <c r="AF60" s="29" t="n"/>
      <c r="AG60" s="29" t="n"/>
      <c r="AH60" s="29" t="n"/>
      <c r="AI60" s="29" t="n"/>
      <c r="AJ60" s="29" t="n"/>
      <c r="AK60" s="29" t="n"/>
      <c r="AL60" s="29" t="n"/>
      <c r="AM60" s="29" t="n"/>
      <c r="AN60" s="29" t="n"/>
      <c r="AO60" s="29" t="n"/>
      <c r="AP60" s="29" t="n"/>
      <c r="AQ60" s="29" t="n"/>
      <c r="AR60" s="29" t="n"/>
      <c r="AS60" s="29" t="n"/>
      <c r="AT60" s="29" t="n"/>
      <c r="AU60" s="29" t="n"/>
      <c r="AV60" s="29" t="n"/>
      <c r="AW60" s="29" t="n"/>
      <c r="AX60" s="29" t="n"/>
      <c r="AY60" s="29" t="n"/>
      <c r="AZ60" s="29" t="n"/>
      <c r="BA60" s="29" t="n"/>
    </row>
    <row r="61">
      <c r="A61" s="74">
        <f>C61&amp;"_"&amp;B61</f>
        <v/>
      </c>
      <c r="B61" s="75" t="inlineStr">
        <is>
          <t>INT_WALL_NONLOADBEARING</t>
        </is>
      </c>
      <c r="C61" s="65" t="inlineStr">
        <is>
          <t>CMF_1970</t>
        </is>
      </c>
      <c r="D61" s="74">
        <f t="array" ref="D61:E61">IFERROR(TRANSPOSE(_xlfn._xlws.FILTER(Components!$A$3:$A$302,(Components!$C$3:$C$302=B61)*(Components!$F$3:$F$302=C61))),"No matches found")</f>
        <v/>
      </c>
      <c r="E61" s="74" t="inlineStr">
        <is>
          <t>CMF_1970_INT_WALL_NONLOADBEARING_STRUCTURE</t>
        </is>
      </c>
      <c r="F61" s="74" t="n"/>
      <c r="G61" s="74" t="n"/>
      <c r="H61" s="74" t="n"/>
      <c r="I61" s="74" t="n"/>
      <c r="J61" s="74" t="n"/>
      <c r="K61" s="74" t="n"/>
      <c r="L61" s="74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  <c r="AB61" s="29" t="n"/>
      <c r="AC61" s="29" t="n"/>
      <c r="AD61" s="29" t="n"/>
      <c r="AE61" s="29" t="n"/>
      <c r="AF61" s="29" t="n"/>
      <c r="AG61" s="29" t="n"/>
      <c r="AH61" s="29" t="n"/>
      <c r="AI61" s="29" t="n"/>
      <c r="AJ61" s="29" t="n"/>
      <c r="AK61" s="29" t="n"/>
      <c r="AL61" s="29" t="n"/>
      <c r="AM61" s="29" t="n"/>
      <c r="AN61" s="29" t="n"/>
      <c r="AO61" s="29" t="n"/>
      <c r="AP61" s="29" t="n"/>
      <c r="AQ61" s="29" t="n"/>
      <c r="AR61" s="29" t="n"/>
      <c r="AS61" s="29" t="n"/>
      <c r="AT61" s="29" t="n"/>
      <c r="AU61" s="29" t="n"/>
      <c r="AV61" s="29" t="n"/>
      <c r="AW61" s="29" t="n"/>
      <c r="AX61" s="29" t="n"/>
      <c r="AY61" s="29" t="n"/>
      <c r="AZ61" s="29" t="n"/>
      <c r="BA61" s="29" t="n"/>
    </row>
    <row r="62">
      <c r="A62" s="74">
        <f>C62&amp;"_"&amp;B62</f>
        <v/>
      </c>
      <c r="B62" s="75" t="inlineStr">
        <is>
          <t>EXT_WALL</t>
        </is>
      </c>
      <c r="C62" s="65" t="inlineStr">
        <is>
          <t>CMF_1970</t>
        </is>
      </c>
      <c r="D62" s="74">
        <f t="array" ref="D62:F62">IFERROR(TRANSPOSE(_xlfn._xlws.FILTER(Components!$A$3:$A$302,(Components!$C$3:$C$302=B62)*(Components!$F$3:$F$302=C62))),"No matches found")</f>
        <v/>
      </c>
      <c r="E62" s="74" t="inlineStr">
        <is>
          <t>CMF_1970_EXT_WALL_SKIN</t>
        </is>
      </c>
      <c r="F62" s="74" t="inlineStr">
        <is>
          <t>CMF_1970_EXT_WALL_SPACE</t>
        </is>
      </c>
      <c r="G62" s="74" t="n"/>
      <c r="H62" s="74" t="n"/>
      <c r="I62" s="74" t="n"/>
      <c r="J62" s="74" t="n"/>
      <c r="K62" s="74" t="n"/>
      <c r="L62" s="74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  <c r="AB62" s="29" t="n"/>
      <c r="AC62" s="29" t="n"/>
      <c r="AD62" s="29" t="n"/>
      <c r="AE62" s="29" t="n"/>
      <c r="AF62" s="29" t="n"/>
      <c r="AG62" s="29" t="n"/>
      <c r="AH62" s="29" t="n"/>
      <c r="AI62" s="29" t="n"/>
      <c r="AJ62" s="29" t="n"/>
      <c r="AK62" s="29" t="n"/>
      <c r="AL62" s="29" t="n"/>
      <c r="AM62" s="29" t="n"/>
      <c r="AN62" s="29" t="n"/>
      <c r="AO62" s="29" t="n"/>
      <c r="AP62" s="29" t="n"/>
      <c r="AQ62" s="29" t="n"/>
      <c r="AR62" s="29" t="n"/>
      <c r="AS62" s="29" t="n"/>
      <c r="AT62" s="29" t="n"/>
      <c r="AU62" s="29" t="n"/>
      <c r="AV62" s="29" t="n"/>
      <c r="AW62" s="29" t="n"/>
      <c r="AX62" s="29" t="n"/>
      <c r="AY62" s="29" t="n"/>
      <c r="AZ62" s="29" t="n"/>
      <c r="BA62" s="29" t="n"/>
    </row>
    <row r="63">
      <c r="A63" s="74">
        <f>C63&amp;"_"&amp;B63</f>
        <v/>
      </c>
      <c r="B63" s="75" t="inlineStr">
        <is>
          <t>ROOF</t>
        </is>
      </c>
      <c r="C63" s="65" t="inlineStr">
        <is>
          <t>CMF_1980</t>
        </is>
      </c>
      <c r="D63" s="74">
        <f t="array" ref="D63:E63">IFERROR(TRANSPOSE(_xlfn._xlws.FILTER(Components!$A$3:$A$302,(Components!$C$3:$C$302=B63)*(Components!$F$3:$F$302=C63))),"No matches found")</f>
        <v/>
      </c>
      <c r="E63" s="74" t="inlineStr">
        <is>
          <t>CMF_1980_ROOF_SKIN</t>
        </is>
      </c>
      <c r="F63" s="74" t="n"/>
      <c r="G63" s="74" t="n"/>
      <c r="H63" s="74" t="n"/>
      <c r="I63" s="74" t="n"/>
      <c r="J63" s="74" t="n"/>
      <c r="K63" s="74" t="n"/>
      <c r="L63" s="74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  <c r="AB63" s="29" t="n"/>
      <c r="AC63" s="29" t="n"/>
      <c r="AD63" s="29" t="n"/>
      <c r="AE63" s="29" t="n"/>
      <c r="AF63" s="29" t="n"/>
      <c r="AG63" s="29" t="n"/>
      <c r="AH63" s="29" t="n"/>
      <c r="AI63" s="29" t="n"/>
      <c r="AJ63" s="29" t="n"/>
      <c r="AK63" s="29" t="n"/>
      <c r="AL63" s="29" t="n"/>
      <c r="AM63" s="29" t="n"/>
      <c r="AN63" s="29" t="n"/>
      <c r="AO63" s="29" t="n"/>
      <c r="AP63" s="29" t="n"/>
      <c r="AQ63" s="29" t="n"/>
      <c r="AR63" s="29" t="n"/>
      <c r="AS63" s="29" t="n"/>
      <c r="AT63" s="29" t="n"/>
      <c r="AU63" s="29" t="n"/>
      <c r="AV63" s="29" t="n"/>
      <c r="AW63" s="29" t="n"/>
      <c r="AX63" s="29" t="n"/>
      <c r="AY63" s="29" t="n"/>
      <c r="AZ63" s="29" t="n"/>
      <c r="BA63" s="29" t="n"/>
    </row>
    <row r="64">
      <c r="A64" s="74">
        <f>C64&amp;"_"&amp;B64</f>
        <v/>
      </c>
      <c r="B64" s="75" t="inlineStr">
        <is>
          <t>TOP_FLOOR</t>
        </is>
      </c>
      <c r="C64" s="65" t="inlineStr">
        <is>
          <t>CMF_1980</t>
        </is>
      </c>
      <c r="D64" s="74">
        <f t="array" ref="D64:E64">IFERROR(TRANSPOSE(_xlfn._xlws.FILTER(Components!$A$3:$A$302,(Components!$C$3:$C$302=B64)*(Components!$F$3:$F$302=C64))),"No matches found")</f>
        <v/>
      </c>
      <c r="E64" s="74" t="inlineStr">
        <is>
          <t>CMF_1980_TOP_FLOOR_STRUCTURE</t>
        </is>
      </c>
      <c r="F64" s="74" t="n"/>
      <c r="G64" s="74" t="n"/>
      <c r="H64" s="74" t="n"/>
      <c r="I64" s="74" t="n"/>
      <c r="J64" s="74" t="n"/>
      <c r="K64" s="74" t="n"/>
      <c r="L64" s="74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  <c r="AB64" s="29" t="n"/>
      <c r="AC64" s="29" t="n"/>
      <c r="AD64" s="29" t="n"/>
      <c r="AE64" s="29" t="n"/>
      <c r="AF64" s="29" t="n"/>
      <c r="AG64" s="29" t="n"/>
      <c r="AH64" s="29" t="n"/>
      <c r="AI64" s="29" t="n"/>
      <c r="AJ64" s="29" t="n"/>
      <c r="AK64" s="29" t="n"/>
      <c r="AL64" s="29" t="n"/>
      <c r="AM64" s="29" t="n"/>
      <c r="AN64" s="29" t="n"/>
      <c r="AO64" s="29" t="n"/>
      <c r="AP64" s="29" t="n"/>
      <c r="AQ64" s="29" t="n"/>
      <c r="AR64" s="29" t="n"/>
      <c r="AS64" s="29" t="n"/>
      <c r="AT64" s="29" t="n"/>
      <c r="AU64" s="29" t="n"/>
      <c r="AV64" s="29" t="n"/>
      <c r="AW64" s="29" t="n"/>
      <c r="AX64" s="29" t="n"/>
      <c r="AY64" s="29" t="n"/>
      <c r="AZ64" s="29" t="n"/>
      <c r="BA64" s="29" t="n"/>
    </row>
    <row r="65">
      <c r="A65" s="74">
        <f>C65&amp;"_"&amp;B65</f>
        <v/>
      </c>
      <c r="B65" s="75" t="inlineStr">
        <is>
          <t>INTERMEDIATE_FLOOR</t>
        </is>
      </c>
      <c r="C65" s="65" t="inlineStr">
        <is>
          <t>CMF_1980</t>
        </is>
      </c>
      <c r="D65" s="74">
        <f t="array" ref="D65:E65">IFERROR(TRANSPOSE(_xlfn._xlws.FILTER(Components!$A$3:$A$302,(Components!$C$3:$C$302=B65)*(Components!$F$3:$F$302=C65))),"No matches found")</f>
        <v/>
      </c>
      <c r="E65" s="74" t="inlineStr">
        <is>
          <t>CMF_1980_INTERMEDIATE_FLOOR_SPACE</t>
        </is>
      </c>
      <c r="F65" s="74" t="n"/>
      <c r="G65" s="74" t="n"/>
      <c r="H65" s="74" t="n"/>
      <c r="I65" s="74" t="n"/>
      <c r="J65" s="74" t="n"/>
      <c r="K65" s="74" t="n"/>
      <c r="L65" s="74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  <c r="AB65" s="29" t="n"/>
      <c r="AC65" s="29" t="n"/>
      <c r="AD65" s="29" t="n"/>
      <c r="AE65" s="29" t="n"/>
      <c r="AF65" s="29" t="n"/>
      <c r="AG65" s="29" t="n"/>
      <c r="AH65" s="29" t="n"/>
      <c r="AI65" s="29" t="n"/>
      <c r="AJ65" s="29" t="n"/>
      <c r="AK65" s="29" t="n"/>
      <c r="AL65" s="29" t="n"/>
      <c r="AM65" s="29" t="n"/>
      <c r="AN65" s="29" t="n"/>
      <c r="AO65" s="29" t="n"/>
      <c r="AP65" s="29" t="n"/>
      <c r="AQ65" s="29" t="n"/>
      <c r="AR65" s="29" t="n"/>
      <c r="AS65" s="29" t="n"/>
      <c r="AT65" s="29" t="n"/>
      <c r="AU65" s="29" t="n"/>
      <c r="AV65" s="29" t="n"/>
      <c r="AW65" s="29" t="n"/>
      <c r="AX65" s="29" t="n"/>
      <c r="AY65" s="29" t="n"/>
      <c r="AZ65" s="29" t="n"/>
      <c r="BA65" s="29" t="n"/>
    </row>
    <row r="66">
      <c r="A66" s="74">
        <f>C66&amp;"_"&amp;B66</f>
        <v/>
      </c>
      <c r="B66" s="75" t="inlineStr">
        <is>
          <t>GROUND_FLOOR</t>
        </is>
      </c>
      <c r="C66" s="65" t="inlineStr">
        <is>
          <t>CMF_1980</t>
        </is>
      </c>
      <c r="D66" s="74">
        <f t="array" ref="D66:F66">IFERROR(TRANSPOSE(_xlfn._xlws.FILTER(Components!$A$3:$A$302,(Components!$C$3:$C$302=B66)*(Components!$F$3:$F$302=C66))),"No matches found")</f>
        <v/>
      </c>
      <c r="E66" s="74" t="inlineStr">
        <is>
          <t>CMF_1980_GROUND_FLOOR_STRUCTURE</t>
        </is>
      </c>
      <c r="F66" s="74" t="inlineStr">
        <is>
          <t>CMF_1980_GROUND_FLOOR_SPACE</t>
        </is>
      </c>
      <c r="G66" s="74" t="n"/>
      <c r="H66" s="74" t="n"/>
      <c r="I66" s="74" t="n"/>
      <c r="J66" s="74" t="n"/>
      <c r="K66" s="74" t="n"/>
      <c r="L66" s="74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  <c r="AB66" s="29" t="n"/>
      <c r="AC66" s="29" t="n"/>
      <c r="AD66" s="29" t="n"/>
      <c r="AE66" s="29" t="n"/>
      <c r="AF66" s="29" t="n"/>
      <c r="AG66" s="29" t="n"/>
      <c r="AH66" s="29" t="n"/>
      <c r="AI66" s="29" t="n"/>
      <c r="AJ66" s="29" t="n"/>
      <c r="AK66" s="29" t="n"/>
      <c r="AL66" s="29" t="n"/>
      <c r="AM66" s="29" t="n"/>
      <c r="AN66" s="29" t="n"/>
      <c r="AO66" s="29" t="n"/>
      <c r="AP66" s="29" t="n"/>
      <c r="AQ66" s="29" t="n"/>
      <c r="AR66" s="29" t="n"/>
      <c r="AS66" s="29" t="n"/>
      <c r="AT66" s="29" t="n"/>
      <c r="AU66" s="29" t="n"/>
      <c r="AV66" s="29" t="n"/>
      <c r="AW66" s="29" t="n"/>
      <c r="AX66" s="29" t="n"/>
      <c r="AY66" s="29" t="n"/>
      <c r="AZ66" s="29" t="n"/>
      <c r="BA66" s="29" t="n"/>
    </row>
    <row r="67">
      <c r="A67" s="74">
        <f>C67&amp;"_"&amp;B67</f>
        <v/>
      </c>
      <c r="B67" s="75" t="inlineStr">
        <is>
          <t>BASEMENT_FLOOR</t>
        </is>
      </c>
      <c r="C67" s="65" t="inlineStr">
        <is>
          <t>CMF_1980</t>
        </is>
      </c>
      <c r="D67" s="74">
        <f t="array" ref="D67:F67">IFERROR(TRANSPOSE(_xlfn._xlws.FILTER(Components!$A$3:$A$302,(Components!$C$3:$C$302=B67)*(Components!$F$3:$F$302=C67))),"No matches found")</f>
        <v/>
      </c>
      <c r="E67" s="74" t="inlineStr">
        <is>
          <t>CMF_1980_BASEMENT_FLOOR_STRUCTURE</t>
        </is>
      </c>
      <c r="F67" s="74" t="inlineStr">
        <is>
          <t>CMF_1980_BASEMENT_FLOOR_SPACE</t>
        </is>
      </c>
      <c r="G67" s="74" t="n"/>
      <c r="H67" s="74" t="n"/>
      <c r="I67" s="74" t="n"/>
      <c r="J67" s="74" t="n"/>
      <c r="K67" s="74" t="n"/>
      <c r="L67" s="74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  <c r="AB67" s="29" t="n"/>
      <c r="AC67" s="29" t="n"/>
      <c r="AD67" s="29" t="n"/>
      <c r="AE67" s="29" t="n"/>
      <c r="AF67" s="29" t="n"/>
      <c r="AG67" s="29" t="n"/>
      <c r="AH67" s="29" t="n"/>
      <c r="AI67" s="29" t="n"/>
      <c r="AJ67" s="29" t="n"/>
      <c r="AK67" s="29" t="n"/>
      <c r="AL67" s="29" t="n"/>
      <c r="AM67" s="29" t="n"/>
      <c r="AN67" s="29" t="n"/>
      <c r="AO67" s="29" t="n"/>
      <c r="AP67" s="29" t="n"/>
      <c r="AQ67" s="29" t="n"/>
      <c r="AR67" s="29" t="n"/>
      <c r="AS67" s="29" t="n"/>
      <c r="AT67" s="29" t="n"/>
      <c r="AU67" s="29" t="n"/>
      <c r="AV67" s="29" t="n"/>
      <c r="AW67" s="29" t="n"/>
      <c r="AX67" s="29" t="n"/>
      <c r="AY67" s="29" t="n"/>
      <c r="AZ67" s="29" t="n"/>
      <c r="BA67" s="29" t="n"/>
    </row>
    <row r="68">
      <c r="A68" s="74">
        <f>C68&amp;"_"&amp;B68</f>
        <v/>
      </c>
      <c r="B68" s="75" t="inlineStr">
        <is>
          <t>EXT_WALL_LOW</t>
        </is>
      </c>
      <c r="C68" s="65" t="inlineStr">
        <is>
          <t>CMF_1980</t>
        </is>
      </c>
      <c r="D68" s="74">
        <f t="array" ref="D68">IFERROR(TRANSPOSE(_xlfn._xlws.FILTER(Components!$A$3:$A$302,(Components!$C$3:$C$302=B68)*(Components!$F$3:$F$302=C68))),"No matches found")</f>
        <v/>
      </c>
      <c r="E68" s="74" t="n"/>
      <c r="F68" s="74" t="n"/>
      <c r="G68" s="74" t="n"/>
      <c r="H68" s="74" t="n"/>
      <c r="I68" s="74" t="n"/>
      <c r="J68" s="74" t="n"/>
      <c r="K68" s="74" t="n"/>
      <c r="L68" s="74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9" t="n"/>
      <c r="AF68" s="29" t="n"/>
      <c r="AG68" s="29" t="n"/>
      <c r="AH68" s="29" t="n"/>
      <c r="AI68" s="29" t="n"/>
      <c r="AJ68" s="29" t="n"/>
      <c r="AK68" s="29" t="n"/>
      <c r="AL68" s="29" t="n"/>
      <c r="AM68" s="29" t="n"/>
      <c r="AN68" s="29" t="n"/>
      <c r="AO68" s="29" t="n"/>
      <c r="AP68" s="29" t="n"/>
      <c r="AQ68" s="29" t="n"/>
      <c r="AR68" s="29" t="n"/>
      <c r="AS68" s="29" t="n"/>
      <c r="AT68" s="29" t="n"/>
      <c r="AU68" s="29" t="n"/>
      <c r="AV68" s="29" t="n"/>
      <c r="AW68" s="29" t="n"/>
      <c r="AX68" s="29" t="n"/>
      <c r="AY68" s="29" t="n"/>
      <c r="AZ68" s="29" t="n"/>
      <c r="BA68" s="29" t="n"/>
    </row>
    <row r="69">
      <c r="A69" s="74">
        <f>C69&amp;"_"&amp;B69</f>
        <v/>
      </c>
      <c r="B69" s="75" t="inlineStr">
        <is>
          <t>EXT_WALL_MEDIUM</t>
        </is>
      </c>
      <c r="C69" s="65" t="inlineStr">
        <is>
          <t>CMF_1980</t>
        </is>
      </c>
      <c r="D69" s="74">
        <f t="array" ref="D69">IFERROR(TRANSPOSE(_xlfn._xlws.FILTER(Components!$A$3:$A$302,(Components!$C$3:$C$302=B69)*(Components!$F$3:$F$302=C69))),"No matches found")</f>
        <v/>
      </c>
      <c r="E69" s="74" t="n"/>
      <c r="F69" s="74" t="n"/>
      <c r="G69" s="74" t="n"/>
      <c r="H69" s="74" t="n"/>
      <c r="I69" s="74" t="n"/>
      <c r="J69" s="74" t="n"/>
      <c r="K69" s="74" t="n"/>
      <c r="L69" s="74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  <c r="AB69" s="29" t="n"/>
      <c r="AC69" s="29" t="n"/>
      <c r="AD69" s="29" t="n"/>
      <c r="AE69" s="29" t="n"/>
      <c r="AF69" s="29" t="n"/>
      <c r="AG69" s="29" t="n"/>
      <c r="AH69" s="29" t="n"/>
      <c r="AI69" s="29" t="n"/>
      <c r="AJ69" s="29" t="n"/>
      <c r="AK69" s="29" t="n"/>
      <c r="AL69" s="29" t="n"/>
      <c r="AM69" s="29" t="n"/>
      <c r="AN69" s="29" t="n"/>
      <c r="AO69" s="29" t="n"/>
      <c r="AP69" s="29" t="n"/>
      <c r="AQ69" s="29" t="n"/>
      <c r="AR69" s="29" t="n"/>
      <c r="AS69" s="29" t="n"/>
      <c r="AT69" s="29" t="n"/>
      <c r="AU69" s="29" t="n"/>
      <c r="AV69" s="29" t="n"/>
      <c r="AW69" s="29" t="n"/>
      <c r="AX69" s="29" t="n"/>
      <c r="AY69" s="29" t="n"/>
      <c r="AZ69" s="29" t="n"/>
      <c r="BA69" s="29" t="n"/>
    </row>
    <row r="70">
      <c r="A70" s="74">
        <f>C70&amp;"_"&amp;B70</f>
        <v/>
      </c>
      <c r="B70" s="75" t="inlineStr">
        <is>
          <t>EXT_WALL_HIGH</t>
        </is>
      </c>
      <c r="C70" s="65" t="inlineStr">
        <is>
          <t>CMF_1980</t>
        </is>
      </c>
      <c r="D70" s="74">
        <f t="array" ref="D70">IFERROR(TRANSPOSE(_xlfn._xlws.FILTER(Components!$A$3:$A$302,(Components!$C$3:$C$302=B70)*(Components!$F$3:$F$302=C70))),"No matches found")</f>
        <v/>
      </c>
      <c r="E70" s="74" t="n"/>
      <c r="F70" s="74" t="n"/>
      <c r="G70" s="74" t="n"/>
      <c r="H70" s="74" t="n"/>
      <c r="I70" s="74" t="n"/>
      <c r="J70" s="74" t="n"/>
      <c r="K70" s="74" t="n"/>
      <c r="L70" s="74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  <c r="AB70" s="29" t="n"/>
      <c r="AC70" s="29" t="n"/>
      <c r="AD70" s="29" t="n"/>
      <c r="AE70" s="29" t="n"/>
      <c r="AF70" s="29" t="n"/>
      <c r="AG70" s="29" t="n"/>
      <c r="AH70" s="29" t="n"/>
      <c r="AI70" s="29" t="n"/>
      <c r="AJ70" s="29" t="n"/>
      <c r="AK70" s="29" t="n"/>
      <c r="AL70" s="29" t="n"/>
      <c r="AM70" s="29" t="n"/>
      <c r="AN70" s="29" t="n"/>
      <c r="AO70" s="29" t="n"/>
      <c r="AP70" s="29" t="n"/>
      <c r="AQ70" s="29" t="n"/>
      <c r="AR70" s="29" t="n"/>
      <c r="AS70" s="29" t="n"/>
      <c r="AT70" s="29" t="n"/>
      <c r="AU70" s="29" t="n"/>
      <c r="AV70" s="29" t="n"/>
      <c r="AW70" s="29" t="n"/>
      <c r="AX70" s="29" t="n"/>
      <c r="AY70" s="29" t="n"/>
      <c r="AZ70" s="29" t="n"/>
      <c r="BA70" s="29" t="n"/>
    </row>
    <row r="71">
      <c r="A71" s="74">
        <f>C71&amp;"_"&amp;B71</f>
        <v/>
      </c>
      <c r="B71" s="75" t="inlineStr">
        <is>
          <t>BASEMENT_WALL</t>
        </is>
      </c>
      <c r="C71" s="65" t="inlineStr">
        <is>
          <t>CMF_1980</t>
        </is>
      </c>
      <c r="D71" s="74">
        <f t="array" ref="D71:F71">IFERROR(TRANSPOSE(_xlfn._xlws.FILTER(Components!$A$3:$A$302,(Components!$C$3:$C$302=B71)*(Components!$F$3:$F$302=C71))),"No matches found")</f>
        <v/>
      </c>
      <c r="E71" s="74" t="inlineStr">
        <is>
          <t>CMF_1980_BASEMENT_WALL_STRUCTURE</t>
        </is>
      </c>
      <c r="F71" s="74" t="inlineStr">
        <is>
          <t>CMF_1980_BASEMENT_WALL_SPACE</t>
        </is>
      </c>
      <c r="G71" s="74" t="n"/>
      <c r="H71" s="74" t="n"/>
      <c r="I71" s="74" t="n"/>
      <c r="J71" s="74" t="n"/>
      <c r="K71" s="74" t="n"/>
      <c r="L71" s="74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  <c r="AB71" s="29" t="n"/>
      <c r="AC71" s="29" t="n"/>
      <c r="AD71" s="29" t="n"/>
      <c r="AE71" s="29" t="n"/>
      <c r="AF71" s="29" t="n"/>
      <c r="AG71" s="29" t="n"/>
      <c r="AH71" s="29" t="n"/>
      <c r="AI71" s="29" t="n"/>
      <c r="AJ71" s="29" t="n"/>
      <c r="AK71" s="29" t="n"/>
      <c r="AL71" s="29" t="n"/>
      <c r="AM71" s="29" t="n"/>
      <c r="AN71" s="29" t="n"/>
      <c r="AO71" s="29" t="n"/>
      <c r="AP71" s="29" t="n"/>
      <c r="AQ71" s="29" t="n"/>
      <c r="AR71" s="29" t="n"/>
      <c r="AS71" s="29" t="n"/>
      <c r="AT71" s="29" t="n"/>
      <c r="AU71" s="29" t="n"/>
      <c r="AV71" s="29" t="n"/>
      <c r="AW71" s="29" t="n"/>
      <c r="AX71" s="29" t="n"/>
      <c r="AY71" s="29" t="n"/>
      <c r="AZ71" s="29" t="n"/>
      <c r="BA71" s="29" t="n"/>
    </row>
    <row r="72">
      <c r="A72" s="74">
        <f>C72&amp;"_"&amp;B72</f>
        <v/>
      </c>
      <c r="B72" s="75" t="inlineStr">
        <is>
          <t>INT_WALL_LOADBEARING</t>
        </is>
      </c>
      <c r="C72" s="65" t="inlineStr">
        <is>
          <t>CMF_1980</t>
        </is>
      </c>
      <c r="D72" s="74">
        <f t="array" ref="D72">IFERROR(TRANSPOSE(_xlfn._xlws.FILTER(Components!$A$3:$A$302,(Components!$C$3:$C$302=B72)*(Components!$F$3:$F$302=C72))),"No matches found")</f>
        <v/>
      </c>
      <c r="E72" s="74" t="n"/>
      <c r="F72" s="74" t="n"/>
      <c r="G72" s="74" t="n"/>
      <c r="H72" s="74" t="n"/>
      <c r="I72" s="74" t="n"/>
      <c r="J72" s="74" t="n"/>
      <c r="K72" s="74" t="n"/>
      <c r="L72" s="74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  <c r="AB72" s="29" t="n"/>
      <c r="AC72" s="29" t="n"/>
      <c r="AD72" s="29" t="n"/>
      <c r="AE72" s="29" t="n"/>
      <c r="AF72" s="29" t="n"/>
      <c r="AG72" s="29" t="n"/>
      <c r="AH72" s="29" t="n"/>
      <c r="AI72" s="29" t="n"/>
      <c r="AJ72" s="29" t="n"/>
      <c r="AK72" s="29" t="n"/>
      <c r="AL72" s="29" t="n"/>
      <c r="AM72" s="29" t="n"/>
      <c r="AN72" s="29" t="n"/>
      <c r="AO72" s="29" t="n"/>
      <c r="AP72" s="29" t="n"/>
      <c r="AQ72" s="29" t="n"/>
      <c r="AR72" s="29" t="n"/>
      <c r="AS72" s="29" t="n"/>
      <c r="AT72" s="29" t="n"/>
      <c r="AU72" s="29" t="n"/>
      <c r="AV72" s="29" t="n"/>
      <c r="AW72" s="29" t="n"/>
      <c r="AX72" s="29" t="n"/>
      <c r="AY72" s="29" t="n"/>
      <c r="AZ72" s="29" t="n"/>
      <c r="BA72" s="29" t="n"/>
    </row>
    <row r="73">
      <c r="A73" s="74">
        <f>C73&amp;"_"&amp;B73</f>
        <v/>
      </c>
      <c r="B73" s="75" t="inlineStr">
        <is>
          <t>INT_WALL_NONLOADBEARING</t>
        </is>
      </c>
      <c r="C73" s="65" t="inlineStr">
        <is>
          <t>CMF_1980</t>
        </is>
      </c>
      <c r="D73" s="74">
        <f t="array" ref="D73:E73">IFERROR(TRANSPOSE(_xlfn._xlws.FILTER(Components!$A$3:$A$302,(Components!$C$3:$C$302=B73)*(Components!$F$3:$F$302=C73))),"No matches found")</f>
        <v/>
      </c>
      <c r="E73" s="74" t="inlineStr">
        <is>
          <t>CMF_1980_INT_WALL_NONLOADBEARING_STRUCTURE</t>
        </is>
      </c>
      <c r="F73" s="74" t="n"/>
      <c r="G73" s="74" t="n"/>
      <c r="H73" s="74" t="n"/>
      <c r="I73" s="74" t="n"/>
      <c r="J73" s="74" t="n"/>
      <c r="K73" s="74" t="n"/>
      <c r="L73" s="74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  <c r="AB73" s="29" t="n"/>
      <c r="AC73" s="29" t="n"/>
      <c r="AD73" s="29" t="n"/>
      <c r="AE73" s="29" t="n"/>
      <c r="AF73" s="29" t="n"/>
      <c r="AG73" s="29" t="n"/>
      <c r="AH73" s="29" t="n"/>
      <c r="AI73" s="29" t="n"/>
      <c r="AJ73" s="29" t="n"/>
      <c r="AK73" s="29" t="n"/>
      <c r="AL73" s="29" t="n"/>
      <c r="AM73" s="29" t="n"/>
      <c r="AN73" s="29" t="n"/>
      <c r="AO73" s="29" t="n"/>
      <c r="AP73" s="29" t="n"/>
      <c r="AQ73" s="29" t="n"/>
      <c r="AR73" s="29" t="n"/>
      <c r="AS73" s="29" t="n"/>
      <c r="AT73" s="29" t="n"/>
      <c r="AU73" s="29" t="n"/>
      <c r="AV73" s="29" t="n"/>
      <c r="AW73" s="29" t="n"/>
      <c r="AX73" s="29" t="n"/>
      <c r="AY73" s="29" t="n"/>
      <c r="AZ73" s="29" t="n"/>
      <c r="BA73" s="29" t="n"/>
    </row>
    <row r="74">
      <c r="A74" s="74">
        <f>C74&amp;"_"&amp;B74</f>
        <v/>
      </c>
      <c r="B74" s="75" t="inlineStr">
        <is>
          <t>EXT_WALL</t>
        </is>
      </c>
      <c r="C74" s="65" t="inlineStr">
        <is>
          <t>CMF_1980</t>
        </is>
      </c>
      <c r="D74" s="74">
        <f t="array" ref="D74:F74">IFERROR(TRANSPOSE(_xlfn._xlws.FILTER(Components!$A$3:$A$302,(Components!$C$3:$C$302=B74)*(Components!$F$3:$F$302=C74))),"No matches found")</f>
        <v/>
      </c>
      <c r="E74" s="74" t="inlineStr">
        <is>
          <t>CMF_1980_EXT_WALL_SKIN</t>
        </is>
      </c>
      <c r="F74" s="74" t="inlineStr">
        <is>
          <t>CMF_1980_EXT_WALL_SPACE</t>
        </is>
      </c>
      <c r="G74" s="74" t="n"/>
      <c r="H74" s="74" t="n"/>
      <c r="I74" s="74" t="n"/>
      <c r="J74" s="74" t="n"/>
      <c r="K74" s="74" t="n"/>
      <c r="L74" s="74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  <c r="AB74" s="29" t="n"/>
      <c r="AC74" s="29" t="n"/>
      <c r="AD74" s="29" t="n"/>
      <c r="AE74" s="29" t="n"/>
      <c r="AF74" s="29" t="n"/>
      <c r="AG74" s="29" t="n"/>
      <c r="AH74" s="29" t="n"/>
      <c r="AI74" s="29" t="n"/>
      <c r="AJ74" s="29" t="n"/>
      <c r="AK74" s="29" t="n"/>
      <c r="AL74" s="29" t="n"/>
      <c r="AM74" s="29" t="n"/>
      <c r="AN74" s="29" t="n"/>
      <c r="AO74" s="29" t="n"/>
      <c r="AP74" s="29" t="n"/>
      <c r="AQ74" s="29" t="n"/>
      <c r="AR74" s="29" t="n"/>
      <c r="AS74" s="29" t="n"/>
      <c r="AT74" s="29" t="n"/>
      <c r="AU74" s="29" t="n"/>
      <c r="AV74" s="29" t="n"/>
      <c r="AW74" s="29" t="n"/>
      <c r="AX74" s="29" t="n"/>
      <c r="AY74" s="29" t="n"/>
      <c r="AZ74" s="29" t="n"/>
      <c r="BA74" s="29" t="n"/>
    </row>
    <row r="75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  <c r="AB75" s="29" t="n"/>
      <c r="AC75" s="29" t="n"/>
      <c r="AD75" s="29" t="n"/>
      <c r="AE75" s="29" t="n"/>
      <c r="AF75" s="29" t="n"/>
      <c r="AG75" s="29" t="n"/>
      <c r="AH75" s="29" t="n"/>
      <c r="AI75" s="29" t="n"/>
      <c r="AJ75" s="29" t="n"/>
      <c r="AK75" s="29" t="n"/>
      <c r="AL75" s="29" t="n"/>
      <c r="AM75" s="29" t="n"/>
      <c r="AN75" s="29" t="n"/>
      <c r="AO75" s="29" t="n"/>
      <c r="AP75" s="29" t="n"/>
      <c r="AQ75" s="29" t="n"/>
      <c r="AR75" s="29" t="n"/>
      <c r="AS75" s="29" t="n"/>
      <c r="AT75" s="29" t="n"/>
      <c r="AU75" s="29" t="n"/>
      <c r="AV75" s="29" t="n"/>
      <c r="AW75" s="29" t="n"/>
      <c r="AX75" s="29" t="n"/>
      <c r="AY75" s="29" t="n"/>
      <c r="AZ75" s="29" t="n"/>
      <c r="BA75" s="29" t="n"/>
    </row>
    <row r="76">
      <c r="A76" s="29" t="n"/>
      <c r="B76" s="29" t="n"/>
      <c r="C76" s="29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  <c r="AB76" s="29" t="n"/>
      <c r="AC76" s="29" t="n"/>
      <c r="AD76" s="29" t="n"/>
      <c r="AE76" s="29" t="n"/>
      <c r="AF76" s="29" t="n"/>
      <c r="AG76" s="29" t="n"/>
      <c r="AH76" s="29" t="n"/>
      <c r="AI76" s="29" t="n"/>
      <c r="AJ76" s="29" t="n"/>
      <c r="AK76" s="29" t="n"/>
      <c r="AL76" s="29" t="n"/>
      <c r="AM76" s="29" t="n"/>
      <c r="AN76" s="29" t="n"/>
      <c r="AO76" s="29" t="n"/>
      <c r="AP76" s="29" t="n"/>
      <c r="AQ76" s="29" t="n"/>
      <c r="AR76" s="29" t="n"/>
      <c r="AS76" s="29" t="n"/>
      <c r="AT76" s="29" t="n"/>
      <c r="AU76" s="29" t="n"/>
      <c r="AV76" s="29" t="n"/>
      <c r="AW76" s="29" t="n"/>
      <c r="AX76" s="29" t="n"/>
      <c r="AY76" s="29" t="n"/>
      <c r="AZ76" s="29" t="n"/>
      <c r="BA76" s="29" t="n"/>
    </row>
    <row r="77">
      <c r="A77" s="29" t="n"/>
      <c r="B77" s="29" t="n"/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  <c r="AB77" s="29" t="n"/>
      <c r="AC77" s="29" t="n"/>
      <c r="AD77" s="29" t="n"/>
      <c r="AE77" s="29" t="n"/>
      <c r="AF77" s="29" t="n"/>
      <c r="AG77" s="29" t="n"/>
      <c r="AH77" s="29" t="n"/>
      <c r="AI77" s="29" t="n"/>
      <c r="AJ77" s="29" t="n"/>
      <c r="AK77" s="29" t="n"/>
      <c r="AL77" s="29" t="n"/>
      <c r="AM77" s="29" t="n"/>
      <c r="AN77" s="29" t="n"/>
      <c r="AO77" s="29" t="n"/>
      <c r="AP77" s="29" t="n"/>
      <c r="AQ77" s="29" t="n"/>
      <c r="AR77" s="29" t="n"/>
      <c r="AS77" s="29" t="n"/>
      <c r="AT77" s="29" t="n"/>
      <c r="AU77" s="29" t="n"/>
      <c r="AV77" s="29" t="n"/>
      <c r="AW77" s="29" t="n"/>
      <c r="AX77" s="29" t="n"/>
      <c r="AY77" s="29" t="n"/>
      <c r="AZ77" s="29" t="n"/>
      <c r="BA77" s="29" t="n"/>
    </row>
    <row r="78">
      <c r="A78" s="29" t="n"/>
      <c r="B78" s="29" t="n"/>
      <c r="C78" s="29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  <c r="AB78" s="29" t="n"/>
      <c r="AC78" s="29" t="n"/>
      <c r="AD78" s="29" t="n"/>
      <c r="AE78" s="29" t="n"/>
      <c r="AF78" s="29" t="n"/>
      <c r="AG78" s="29" t="n"/>
      <c r="AH78" s="29" t="n"/>
      <c r="AI78" s="29" t="n"/>
      <c r="AJ78" s="29" t="n"/>
      <c r="AK78" s="29" t="n"/>
      <c r="AL78" s="29" t="n"/>
      <c r="AM78" s="29" t="n"/>
      <c r="AN78" s="29" t="n"/>
      <c r="AO78" s="29" t="n"/>
      <c r="AP78" s="29" t="n"/>
      <c r="AQ78" s="29" t="n"/>
      <c r="AR78" s="29" t="n"/>
      <c r="AS78" s="29" t="n"/>
      <c r="AT78" s="29" t="n"/>
      <c r="AU78" s="29" t="n"/>
      <c r="AV78" s="29" t="n"/>
      <c r="AW78" s="29" t="n"/>
      <c r="AX78" s="29" t="n"/>
      <c r="AY78" s="29" t="n"/>
      <c r="AZ78" s="29" t="n"/>
      <c r="BA78" s="29" t="n"/>
    </row>
    <row r="79">
      <c r="A79" s="29" t="n"/>
      <c r="B79" s="29" t="n"/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  <c r="AB79" s="29" t="n"/>
      <c r="AC79" s="29" t="n"/>
      <c r="AD79" s="29" t="n"/>
      <c r="AE79" s="29" t="n"/>
      <c r="AF79" s="29" t="n"/>
      <c r="AG79" s="29" t="n"/>
      <c r="AH79" s="29" t="n"/>
      <c r="AI79" s="29" t="n"/>
      <c r="AJ79" s="29" t="n"/>
      <c r="AK79" s="29" t="n"/>
      <c r="AL79" s="29" t="n"/>
      <c r="AM79" s="29" t="n"/>
      <c r="AN79" s="29" t="n"/>
      <c r="AO79" s="29" t="n"/>
      <c r="AP79" s="29" t="n"/>
      <c r="AQ79" s="29" t="n"/>
      <c r="AR79" s="29" t="n"/>
      <c r="AS79" s="29" t="n"/>
      <c r="AT79" s="29" t="n"/>
      <c r="AU79" s="29" t="n"/>
      <c r="AV79" s="29" t="n"/>
      <c r="AW79" s="29" t="n"/>
      <c r="AX79" s="29" t="n"/>
      <c r="AY79" s="29" t="n"/>
      <c r="AZ79" s="29" t="n"/>
      <c r="BA79" s="29" t="n"/>
    </row>
    <row r="80">
      <c r="A80" s="29" t="n"/>
      <c r="B80" s="29" t="n"/>
      <c r="C80" s="29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  <c r="AB80" s="29" t="n"/>
      <c r="AC80" s="29" t="n"/>
      <c r="AD80" s="29" t="n"/>
      <c r="AE80" s="29" t="n"/>
      <c r="AF80" s="29" t="n"/>
      <c r="AG80" s="29" t="n"/>
      <c r="AH80" s="29" t="n"/>
      <c r="AI80" s="29" t="n"/>
      <c r="AJ80" s="29" t="n"/>
      <c r="AK80" s="29" t="n"/>
      <c r="AL80" s="29" t="n"/>
      <c r="AM80" s="29" t="n"/>
      <c r="AN80" s="29" t="n"/>
      <c r="AO80" s="29" t="n"/>
      <c r="AP80" s="29" t="n"/>
      <c r="AQ80" s="29" t="n"/>
      <c r="AR80" s="29" t="n"/>
      <c r="AS80" s="29" t="n"/>
      <c r="AT80" s="29" t="n"/>
      <c r="AU80" s="29" t="n"/>
      <c r="AV80" s="29" t="n"/>
      <c r="AW80" s="29" t="n"/>
      <c r="AX80" s="29" t="n"/>
      <c r="AY80" s="29" t="n"/>
      <c r="AZ80" s="29" t="n"/>
      <c r="BA80" s="29" t="n"/>
    </row>
    <row r="81">
      <c r="A81" s="29" t="n"/>
      <c r="B81" s="29" t="n"/>
      <c r="C81" s="29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  <c r="AA81" s="29" t="n"/>
      <c r="AB81" s="29" t="n"/>
      <c r="AC81" s="29" t="n"/>
      <c r="AD81" s="29" t="n"/>
      <c r="AE81" s="29" t="n"/>
      <c r="AF81" s="29" t="n"/>
      <c r="AG81" s="29" t="n"/>
      <c r="AH81" s="29" t="n"/>
      <c r="AI81" s="29" t="n"/>
      <c r="AJ81" s="29" t="n"/>
      <c r="AK81" s="29" t="n"/>
      <c r="AL81" s="29" t="n"/>
      <c r="AM81" s="29" t="n"/>
      <c r="AN81" s="29" t="n"/>
      <c r="AO81" s="29" t="n"/>
      <c r="AP81" s="29" t="n"/>
      <c r="AQ81" s="29" t="n"/>
      <c r="AR81" s="29" t="n"/>
      <c r="AS81" s="29" t="n"/>
      <c r="AT81" s="29" t="n"/>
      <c r="AU81" s="29" t="n"/>
      <c r="AV81" s="29" t="n"/>
      <c r="AW81" s="29" t="n"/>
      <c r="AX81" s="29" t="n"/>
      <c r="AY81" s="29" t="n"/>
      <c r="AZ81" s="29" t="n"/>
      <c r="BA81" s="29" t="n"/>
    </row>
    <row r="82">
      <c r="A82" s="29" t="n"/>
      <c r="B82" s="29" t="n"/>
      <c r="C82" s="29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  <c r="AB82" s="29" t="n"/>
      <c r="AC82" s="29" t="n"/>
      <c r="AD82" s="29" t="n"/>
      <c r="AE82" s="29" t="n"/>
      <c r="AF82" s="29" t="n"/>
      <c r="AG82" s="29" t="n"/>
      <c r="AH82" s="29" t="n"/>
      <c r="AI82" s="29" t="n"/>
      <c r="AJ82" s="29" t="n"/>
      <c r="AK82" s="29" t="n"/>
      <c r="AL82" s="29" t="n"/>
      <c r="AM82" s="29" t="n"/>
      <c r="AN82" s="29" t="n"/>
      <c r="AO82" s="29" t="n"/>
      <c r="AP82" s="29" t="n"/>
      <c r="AQ82" s="29" t="n"/>
      <c r="AR82" s="29" t="n"/>
      <c r="AS82" s="29" t="n"/>
      <c r="AT82" s="29" t="n"/>
      <c r="AU82" s="29" t="n"/>
      <c r="AV82" s="29" t="n"/>
      <c r="AW82" s="29" t="n"/>
      <c r="AX82" s="29" t="n"/>
      <c r="AY82" s="29" t="n"/>
      <c r="AZ82" s="29" t="n"/>
      <c r="BA82" s="29" t="n"/>
    </row>
    <row r="83">
      <c r="A83" s="29" t="n"/>
      <c r="B83" s="29" t="n"/>
      <c r="C83" s="29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  <c r="AA83" s="29" t="n"/>
      <c r="AB83" s="29" t="n"/>
      <c r="AC83" s="29" t="n"/>
      <c r="AD83" s="29" t="n"/>
      <c r="AE83" s="29" t="n"/>
      <c r="AF83" s="29" t="n"/>
      <c r="AG83" s="29" t="n"/>
      <c r="AH83" s="29" t="n"/>
      <c r="AI83" s="29" t="n"/>
      <c r="AJ83" s="29" t="n"/>
      <c r="AK83" s="29" t="n"/>
      <c r="AL83" s="29" t="n"/>
      <c r="AM83" s="29" t="n"/>
      <c r="AN83" s="29" t="n"/>
      <c r="AO83" s="29" t="n"/>
      <c r="AP83" s="29" t="n"/>
      <c r="AQ83" s="29" t="n"/>
      <c r="AR83" s="29" t="n"/>
      <c r="AS83" s="29" t="n"/>
      <c r="AT83" s="29" t="n"/>
      <c r="AU83" s="29" t="n"/>
      <c r="AV83" s="29" t="n"/>
      <c r="AW83" s="29" t="n"/>
      <c r="AX83" s="29" t="n"/>
      <c r="AY83" s="29" t="n"/>
      <c r="AZ83" s="29" t="n"/>
      <c r="BA83" s="29" t="n"/>
    </row>
    <row r="84">
      <c r="A84" s="29" t="n"/>
      <c r="B84" s="29" t="n"/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  <c r="AB84" s="29" t="n"/>
      <c r="AC84" s="29" t="n"/>
      <c r="AD84" s="29" t="n"/>
      <c r="AE84" s="29" t="n"/>
      <c r="AF84" s="29" t="n"/>
      <c r="AG84" s="29" t="n"/>
      <c r="AH84" s="29" t="n"/>
      <c r="AI84" s="29" t="n"/>
      <c r="AJ84" s="29" t="n"/>
      <c r="AK84" s="29" t="n"/>
      <c r="AL84" s="29" t="n"/>
      <c r="AM84" s="29" t="n"/>
      <c r="AN84" s="29" t="n"/>
      <c r="AO84" s="29" t="n"/>
      <c r="AP84" s="29" t="n"/>
      <c r="AQ84" s="29" t="n"/>
      <c r="AR84" s="29" t="n"/>
      <c r="AS84" s="29" t="n"/>
      <c r="AT84" s="29" t="n"/>
      <c r="AU84" s="29" t="n"/>
      <c r="AV84" s="29" t="n"/>
      <c r="AW84" s="29" t="n"/>
      <c r="AX84" s="29" t="n"/>
      <c r="AY84" s="29" t="n"/>
      <c r="AZ84" s="29" t="n"/>
      <c r="BA84" s="29" t="n"/>
    </row>
    <row r="85">
      <c r="A85" s="29" t="n"/>
      <c r="B85" s="29" t="n"/>
      <c r="C85" s="29" t="n"/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  <c r="AB85" s="29" t="n"/>
      <c r="AC85" s="29" t="n"/>
      <c r="AD85" s="29" t="n"/>
      <c r="AE85" s="29" t="n"/>
      <c r="AF85" s="29" t="n"/>
      <c r="AG85" s="29" t="n"/>
      <c r="AH85" s="29" t="n"/>
      <c r="AI85" s="29" t="n"/>
      <c r="AJ85" s="29" t="n"/>
      <c r="AK85" s="29" t="n"/>
      <c r="AL85" s="29" t="n"/>
      <c r="AM85" s="29" t="n"/>
      <c r="AN85" s="29" t="n"/>
      <c r="AO85" s="29" t="n"/>
      <c r="AP85" s="29" t="n"/>
      <c r="AQ85" s="29" t="n"/>
      <c r="AR85" s="29" t="n"/>
      <c r="AS85" s="29" t="n"/>
      <c r="AT85" s="29" t="n"/>
      <c r="AU85" s="29" t="n"/>
      <c r="AV85" s="29" t="n"/>
      <c r="AW85" s="29" t="n"/>
      <c r="AX85" s="29" t="n"/>
      <c r="AY85" s="29" t="n"/>
      <c r="AZ85" s="29" t="n"/>
      <c r="BA85" s="29" t="n"/>
    </row>
    <row r="86">
      <c r="A86" s="29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  <c r="AB86" s="29" t="n"/>
      <c r="AC86" s="29" t="n"/>
      <c r="AD86" s="29" t="n"/>
      <c r="AE86" s="29" t="n"/>
      <c r="AF86" s="29" t="n"/>
      <c r="AG86" s="29" t="n"/>
      <c r="AH86" s="29" t="n"/>
      <c r="AI86" s="29" t="n"/>
      <c r="AJ86" s="29" t="n"/>
      <c r="AK86" s="29" t="n"/>
      <c r="AL86" s="29" t="n"/>
      <c r="AM86" s="29" t="n"/>
      <c r="AN86" s="29" t="n"/>
      <c r="AO86" s="29" t="n"/>
      <c r="AP86" s="29" t="n"/>
      <c r="AQ86" s="29" t="n"/>
      <c r="AR86" s="29" t="n"/>
      <c r="AS86" s="29" t="n"/>
      <c r="AT86" s="29" t="n"/>
      <c r="AU86" s="29" t="n"/>
      <c r="AV86" s="29" t="n"/>
      <c r="AW86" s="29" t="n"/>
      <c r="AX86" s="29" t="n"/>
      <c r="AY86" s="29" t="n"/>
      <c r="AZ86" s="29" t="n"/>
      <c r="BA86" s="29" t="n"/>
    </row>
    <row r="87">
      <c r="A87" s="29" t="n"/>
      <c r="B87" s="29" t="n"/>
      <c r="C87" s="29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  <c r="AB87" s="29" t="n"/>
      <c r="AC87" s="29" t="n"/>
      <c r="AD87" s="29" t="n"/>
      <c r="AE87" s="29" t="n"/>
      <c r="AF87" s="29" t="n"/>
      <c r="AG87" s="29" t="n"/>
      <c r="AH87" s="29" t="n"/>
      <c r="AI87" s="29" t="n"/>
      <c r="AJ87" s="29" t="n"/>
      <c r="AK87" s="29" t="n"/>
      <c r="AL87" s="29" t="n"/>
      <c r="AM87" s="29" t="n"/>
      <c r="AN87" s="29" t="n"/>
      <c r="AO87" s="29" t="n"/>
      <c r="AP87" s="29" t="n"/>
      <c r="AQ87" s="29" t="n"/>
      <c r="AR87" s="29" t="n"/>
      <c r="AS87" s="29" t="n"/>
      <c r="AT87" s="29" t="n"/>
      <c r="AU87" s="29" t="n"/>
      <c r="AV87" s="29" t="n"/>
      <c r="AW87" s="29" t="n"/>
      <c r="AX87" s="29" t="n"/>
      <c r="AY87" s="29" t="n"/>
      <c r="AZ87" s="29" t="n"/>
      <c r="BA87" s="29" t="n"/>
    </row>
    <row r="88">
      <c r="A88" s="29" t="n"/>
      <c r="B88" s="29" t="n"/>
      <c r="C88" s="29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  <c r="AB88" s="29" t="n"/>
      <c r="AC88" s="29" t="n"/>
      <c r="AD88" s="29" t="n"/>
      <c r="AE88" s="29" t="n"/>
      <c r="AF88" s="29" t="n"/>
      <c r="AG88" s="29" t="n"/>
      <c r="AH88" s="29" t="n"/>
      <c r="AI88" s="29" t="n"/>
      <c r="AJ88" s="29" t="n"/>
      <c r="AK88" s="29" t="n"/>
      <c r="AL88" s="29" t="n"/>
      <c r="AM88" s="29" t="n"/>
      <c r="AN88" s="29" t="n"/>
      <c r="AO88" s="29" t="n"/>
      <c r="AP88" s="29" t="n"/>
      <c r="AQ88" s="29" t="n"/>
      <c r="AR88" s="29" t="n"/>
      <c r="AS88" s="29" t="n"/>
      <c r="AT88" s="29" t="n"/>
      <c r="AU88" s="29" t="n"/>
      <c r="AV88" s="29" t="n"/>
      <c r="AW88" s="29" t="n"/>
      <c r="AX88" s="29" t="n"/>
      <c r="AY88" s="29" t="n"/>
      <c r="AZ88" s="29" t="n"/>
      <c r="BA88" s="29" t="n"/>
    </row>
    <row r="89">
      <c r="A89" s="29" t="n"/>
      <c r="B89" s="29" t="n"/>
      <c r="C89" s="29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  <c r="AB89" s="29" t="n"/>
      <c r="AC89" s="29" t="n"/>
      <c r="AD89" s="29" t="n"/>
      <c r="AE89" s="29" t="n"/>
      <c r="AF89" s="29" t="n"/>
      <c r="AG89" s="29" t="n"/>
      <c r="AH89" s="29" t="n"/>
      <c r="AI89" s="29" t="n"/>
      <c r="AJ89" s="29" t="n"/>
      <c r="AK89" s="29" t="n"/>
      <c r="AL89" s="29" t="n"/>
      <c r="AM89" s="29" t="n"/>
      <c r="AN89" s="29" t="n"/>
      <c r="AO89" s="29" t="n"/>
      <c r="AP89" s="29" t="n"/>
      <c r="AQ89" s="29" t="n"/>
      <c r="AR89" s="29" t="n"/>
      <c r="AS89" s="29" t="n"/>
      <c r="AT89" s="29" t="n"/>
      <c r="AU89" s="29" t="n"/>
      <c r="AV89" s="29" t="n"/>
      <c r="AW89" s="29" t="n"/>
      <c r="AX89" s="29" t="n"/>
      <c r="AY89" s="29" t="n"/>
      <c r="AZ89" s="29" t="n"/>
      <c r="BA89" s="29" t="n"/>
    </row>
    <row r="90">
      <c r="A90" s="29" t="n"/>
      <c r="B90" s="29" t="n"/>
      <c r="C90" s="29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  <c r="AB90" s="29" t="n"/>
      <c r="AC90" s="29" t="n"/>
      <c r="AD90" s="29" t="n"/>
      <c r="AE90" s="29" t="n"/>
      <c r="AF90" s="29" t="n"/>
      <c r="AG90" s="29" t="n"/>
      <c r="AH90" s="29" t="n"/>
      <c r="AI90" s="29" t="n"/>
      <c r="AJ90" s="29" t="n"/>
      <c r="AK90" s="29" t="n"/>
      <c r="AL90" s="29" t="n"/>
      <c r="AM90" s="29" t="n"/>
      <c r="AN90" s="29" t="n"/>
      <c r="AO90" s="29" t="n"/>
      <c r="AP90" s="29" t="n"/>
      <c r="AQ90" s="29" t="n"/>
      <c r="AR90" s="29" t="n"/>
      <c r="AS90" s="29" t="n"/>
      <c r="AT90" s="29" t="n"/>
      <c r="AU90" s="29" t="n"/>
      <c r="AV90" s="29" t="n"/>
      <c r="AW90" s="29" t="n"/>
      <c r="AX90" s="29" t="n"/>
      <c r="AY90" s="29" t="n"/>
      <c r="AZ90" s="29" t="n"/>
      <c r="BA90" s="29" t="n"/>
    </row>
    <row r="91">
      <c r="A91" s="29" t="n"/>
      <c r="B91" s="29" t="n"/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  <c r="AB91" s="29" t="n"/>
      <c r="AC91" s="29" t="n"/>
      <c r="AD91" s="29" t="n"/>
      <c r="AE91" s="29" t="n"/>
      <c r="AF91" s="29" t="n"/>
      <c r="AG91" s="29" t="n"/>
      <c r="AH91" s="29" t="n"/>
      <c r="AI91" s="29" t="n"/>
      <c r="AJ91" s="29" t="n"/>
      <c r="AK91" s="29" t="n"/>
      <c r="AL91" s="29" t="n"/>
      <c r="AM91" s="29" t="n"/>
      <c r="AN91" s="29" t="n"/>
      <c r="AO91" s="29" t="n"/>
      <c r="AP91" s="29" t="n"/>
      <c r="AQ91" s="29" t="n"/>
      <c r="AR91" s="29" t="n"/>
      <c r="AS91" s="29" t="n"/>
      <c r="AT91" s="29" t="n"/>
      <c r="AU91" s="29" t="n"/>
      <c r="AV91" s="29" t="n"/>
      <c r="AW91" s="29" t="n"/>
      <c r="AX91" s="29" t="n"/>
      <c r="AY91" s="29" t="n"/>
      <c r="AZ91" s="29" t="n"/>
      <c r="BA91" s="29" t="n"/>
    </row>
    <row r="92">
      <c r="A92" s="29" t="n"/>
      <c r="B92" s="29" t="n"/>
      <c r="C92" s="29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  <c r="AB92" s="29" t="n"/>
      <c r="AC92" s="29" t="n"/>
      <c r="AD92" s="29" t="n"/>
      <c r="AE92" s="29" t="n"/>
      <c r="AF92" s="29" t="n"/>
      <c r="AG92" s="29" t="n"/>
      <c r="AH92" s="29" t="n"/>
      <c r="AI92" s="29" t="n"/>
      <c r="AJ92" s="29" t="n"/>
      <c r="AK92" s="29" t="n"/>
      <c r="AL92" s="29" t="n"/>
      <c r="AM92" s="29" t="n"/>
      <c r="AN92" s="29" t="n"/>
      <c r="AO92" s="29" t="n"/>
      <c r="AP92" s="29" t="n"/>
      <c r="AQ92" s="29" t="n"/>
      <c r="AR92" s="29" t="n"/>
      <c r="AS92" s="29" t="n"/>
      <c r="AT92" s="29" t="n"/>
      <c r="AU92" s="29" t="n"/>
      <c r="AV92" s="29" t="n"/>
      <c r="AW92" s="29" t="n"/>
      <c r="AX92" s="29" t="n"/>
      <c r="AY92" s="29" t="n"/>
      <c r="AZ92" s="29" t="n"/>
      <c r="BA92" s="29" t="n"/>
    </row>
    <row r="93">
      <c r="A93" s="29" t="n"/>
      <c r="B93" s="29" t="n"/>
      <c r="C93" s="29" t="n"/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  <c r="AB93" s="29" t="n"/>
      <c r="AC93" s="29" t="n"/>
      <c r="AD93" s="29" t="n"/>
      <c r="AE93" s="29" t="n"/>
      <c r="AF93" s="29" t="n"/>
      <c r="AG93" s="29" t="n"/>
      <c r="AH93" s="29" t="n"/>
      <c r="AI93" s="29" t="n"/>
      <c r="AJ93" s="29" t="n"/>
      <c r="AK93" s="29" t="n"/>
      <c r="AL93" s="29" t="n"/>
      <c r="AM93" s="29" t="n"/>
      <c r="AN93" s="29" t="n"/>
      <c r="AO93" s="29" t="n"/>
      <c r="AP93" s="29" t="n"/>
      <c r="AQ93" s="29" t="n"/>
      <c r="AR93" s="29" t="n"/>
      <c r="AS93" s="29" t="n"/>
      <c r="AT93" s="29" t="n"/>
      <c r="AU93" s="29" t="n"/>
      <c r="AV93" s="29" t="n"/>
      <c r="AW93" s="29" t="n"/>
      <c r="AX93" s="29" t="n"/>
      <c r="AY93" s="29" t="n"/>
      <c r="AZ93" s="29" t="n"/>
      <c r="BA93" s="29" t="n"/>
    </row>
    <row r="94">
      <c r="A94" s="29" t="n"/>
      <c r="B94" s="29" t="n"/>
      <c r="C94" s="29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  <c r="AB94" s="29" t="n"/>
      <c r="AC94" s="29" t="n"/>
      <c r="AD94" s="29" t="n"/>
      <c r="AE94" s="29" t="n"/>
      <c r="AF94" s="29" t="n"/>
      <c r="AG94" s="29" t="n"/>
      <c r="AH94" s="29" t="n"/>
      <c r="AI94" s="29" t="n"/>
      <c r="AJ94" s="29" t="n"/>
      <c r="AK94" s="29" t="n"/>
      <c r="AL94" s="29" t="n"/>
      <c r="AM94" s="29" t="n"/>
      <c r="AN94" s="29" t="n"/>
      <c r="AO94" s="29" t="n"/>
      <c r="AP94" s="29" t="n"/>
      <c r="AQ94" s="29" t="n"/>
      <c r="AR94" s="29" t="n"/>
      <c r="AS94" s="29" t="n"/>
      <c r="AT94" s="29" t="n"/>
      <c r="AU94" s="29" t="n"/>
      <c r="AV94" s="29" t="n"/>
      <c r="AW94" s="29" t="n"/>
      <c r="AX94" s="29" t="n"/>
      <c r="AY94" s="29" t="n"/>
      <c r="AZ94" s="29" t="n"/>
      <c r="BA94" s="29" t="n"/>
    </row>
    <row r="95">
      <c r="A95" s="29" t="n"/>
      <c r="B95" s="29" t="n"/>
      <c r="C95" s="29" t="n"/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  <c r="AB95" s="29" t="n"/>
      <c r="AC95" s="29" t="n"/>
      <c r="AD95" s="29" t="n"/>
      <c r="AE95" s="29" t="n"/>
      <c r="AF95" s="29" t="n"/>
      <c r="AG95" s="29" t="n"/>
      <c r="AH95" s="29" t="n"/>
      <c r="AI95" s="29" t="n"/>
      <c r="AJ95" s="29" t="n"/>
      <c r="AK95" s="29" t="n"/>
      <c r="AL95" s="29" t="n"/>
      <c r="AM95" s="29" t="n"/>
      <c r="AN95" s="29" t="n"/>
      <c r="AO95" s="29" t="n"/>
      <c r="AP95" s="29" t="n"/>
      <c r="AQ95" s="29" t="n"/>
      <c r="AR95" s="29" t="n"/>
      <c r="AS95" s="29" t="n"/>
      <c r="AT95" s="29" t="n"/>
      <c r="AU95" s="29" t="n"/>
      <c r="AV95" s="29" t="n"/>
      <c r="AW95" s="29" t="n"/>
      <c r="AX95" s="29" t="n"/>
      <c r="AY95" s="29" t="n"/>
      <c r="AZ95" s="29" t="n"/>
      <c r="BA95" s="29" t="n"/>
    </row>
    <row r="96">
      <c r="A96" s="29" t="n"/>
      <c r="B96" s="29" t="n"/>
      <c r="C96" s="29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  <c r="AB96" s="29" t="n"/>
      <c r="AC96" s="29" t="n"/>
      <c r="AD96" s="29" t="n"/>
      <c r="AE96" s="29" t="n"/>
      <c r="AF96" s="29" t="n"/>
      <c r="AG96" s="29" t="n"/>
      <c r="AH96" s="29" t="n"/>
      <c r="AI96" s="29" t="n"/>
      <c r="AJ96" s="29" t="n"/>
      <c r="AK96" s="29" t="n"/>
      <c r="AL96" s="29" t="n"/>
      <c r="AM96" s="29" t="n"/>
      <c r="AN96" s="29" t="n"/>
      <c r="AO96" s="29" t="n"/>
      <c r="AP96" s="29" t="n"/>
      <c r="AQ96" s="29" t="n"/>
      <c r="AR96" s="29" t="n"/>
      <c r="AS96" s="29" t="n"/>
      <c r="AT96" s="29" t="n"/>
      <c r="AU96" s="29" t="n"/>
      <c r="AV96" s="29" t="n"/>
      <c r="AW96" s="29" t="n"/>
      <c r="AX96" s="29" t="n"/>
      <c r="AY96" s="29" t="n"/>
      <c r="AZ96" s="29" t="n"/>
      <c r="BA96" s="29" t="n"/>
    </row>
    <row r="97">
      <c r="A97" s="29" t="n"/>
      <c r="B97" s="29" t="n"/>
      <c r="C97" s="29" t="n"/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  <c r="AB97" s="29" t="n"/>
      <c r="AC97" s="29" t="n"/>
      <c r="AD97" s="29" t="n"/>
      <c r="AE97" s="29" t="n"/>
      <c r="AF97" s="29" t="n"/>
      <c r="AG97" s="29" t="n"/>
      <c r="AH97" s="29" t="n"/>
      <c r="AI97" s="29" t="n"/>
      <c r="AJ97" s="29" t="n"/>
      <c r="AK97" s="29" t="n"/>
      <c r="AL97" s="29" t="n"/>
      <c r="AM97" s="29" t="n"/>
      <c r="AN97" s="29" t="n"/>
      <c r="AO97" s="29" t="n"/>
      <c r="AP97" s="29" t="n"/>
      <c r="AQ97" s="29" t="n"/>
      <c r="AR97" s="29" t="n"/>
      <c r="AS97" s="29" t="n"/>
      <c r="AT97" s="29" t="n"/>
      <c r="AU97" s="29" t="n"/>
      <c r="AV97" s="29" t="n"/>
      <c r="AW97" s="29" t="n"/>
      <c r="AX97" s="29" t="n"/>
      <c r="AY97" s="29" t="n"/>
      <c r="AZ97" s="29" t="n"/>
      <c r="BA97" s="29" t="n"/>
    </row>
    <row r="98">
      <c r="A98" s="29" t="n"/>
      <c r="B98" s="29" t="n"/>
      <c r="C98" s="29" t="n"/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  <c r="AA98" s="29" t="n"/>
      <c r="AB98" s="29" t="n"/>
      <c r="AC98" s="29" t="n"/>
      <c r="AD98" s="29" t="n"/>
      <c r="AE98" s="29" t="n"/>
      <c r="AF98" s="29" t="n"/>
      <c r="AG98" s="29" t="n"/>
      <c r="AH98" s="29" t="n"/>
      <c r="AI98" s="29" t="n"/>
      <c r="AJ98" s="29" t="n"/>
      <c r="AK98" s="29" t="n"/>
      <c r="AL98" s="29" t="n"/>
      <c r="AM98" s="29" t="n"/>
      <c r="AN98" s="29" t="n"/>
      <c r="AO98" s="29" t="n"/>
      <c r="AP98" s="29" t="n"/>
      <c r="AQ98" s="29" t="n"/>
      <c r="AR98" s="29" t="n"/>
      <c r="AS98" s="29" t="n"/>
      <c r="AT98" s="29" t="n"/>
      <c r="AU98" s="29" t="n"/>
      <c r="AV98" s="29" t="n"/>
      <c r="AW98" s="29" t="n"/>
      <c r="AX98" s="29" t="n"/>
      <c r="AY98" s="29" t="n"/>
      <c r="AZ98" s="29" t="n"/>
      <c r="BA98" s="29" t="n"/>
    </row>
    <row r="99">
      <c r="A99" s="29" t="n"/>
      <c r="B99" s="29" t="n"/>
      <c r="C99" s="29" t="n"/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  <c r="AA99" s="29" t="n"/>
      <c r="AB99" s="29" t="n"/>
      <c r="AC99" s="29" t="n"/>
      <c r="AD99" s="29" t="n"/>
      <c r="AE99" s="29" t="n"/>
      <c r="AF99" s="29" t="n"/>
      <c r="AG99" s="29" t="n"/>
      <c r="AH99" s="29" t="n"/>
      <c r="AI99" s="29" t="n"/>
      <c r="AJ99" s="29" t="n"/>
      <c r="AK99" s="29" t="n"/>
      <c r="AL99" s="29" t="n"/>
      <c r="AM99" s="29" t="n"/>
      <c r="AN99" s="29" t="n"/>
      <c r="AO99" s="29" t="n"/>
      <c r="AP99" s="29" t="n"/>
      <c r="AQ99" s="29" t="n"/>
      <c r="AR99" s="29" t="n"/>
      <c r="AS99" s="29" t="n"/>
      <c r="AT99" s="29" t="n"/>
      <c r="AU99" s="29" t="n"/>
      <c r="AV99" s="29" t="n"/>
      <c r="AW99" s="29" t="n"/>
      <c r="AX99" s="29" t="n"/>
      <c r="AY99" s="29" t="n"/>
      <c r="AZ99" s="29" t="n"/>
      <c r="BA99" s="29" t="n"/>
    </row>
    <row r="100">
      <c r="A100" s="29" t="n"/>
      <c r="B100" s="29" t="n"/>
      <c r="C100" s="29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  <c r="AA100" s="29" t="n"/>
      <c r="AB100" s="29" t="n"/>
      <c r="AC100" s="29" t="n"/>
      <c r="AD100" s="29" t="n"/>
      <c r="AE100" s="29" t="n"/>
      <c r="AF100" s="29" t="n"/>
      <c r="AG100" s="29" t="n"/>
      <c r="AH100" s="29" t="n"/>
      <c r="AI100" s="29" t="n"/>
      <c r="AJ100" s="29" t="n"/>
      <c r="AK100" s="29" t="n"/>
      <c r="AL100" s="29" t="n"/>
      <c r="AM100" s="29" t="n"/>
      <c r="AN100" s="29" t="n"/>
      <c r="AO100" s="29" t="n"/>
      <c r="AP100" s="29" t="n"/>
      <c r="AQ100" s="29" t="n"/>
      <c r="AR100" s="29" t="n"/>
      <c r="AS100" s="29" t="n"/>
      <c r="AT100" s="29" t="n"/>
      <c r="AU100" s="29" t="n"/>
      <c r="AV100" s="29" t="n"/>
      <c r="AW100" s="29" t="n"/>
      <c r="AX100" s="29" t="n"/>
      <c r="AY100" s="29" t="n"/>
      <c r="AZ100" s="29" t="n"/>
      <c r="BA100" s="29" t="n"/>
    </row>
    <row r="101">
      <c r="A101" s="29" t="n"/>
      <c r="B101" s="29" t="n"/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  <c r="AA101" s="29" t="n"/>
      <c r="AB101" s="29" t="n"/>
      <c r="AC101" s="29" t="n"/>
      <c r="AD101" s="29" t="n"/>
      <c r="AE101" s="29" t="n"/>
      <c r="AF101" s="29" t="n"/>
      <c r="AG101" s="29" t="n"/>
      <c r="AH101" s="29" t="n"/>
      <c r="AI101" s="29" t="n"/>
      <c r="AJ101" s="29" t="n"/>
      <c r="AK101" s="29" t="n"/>
      <c r="AL101" s="29" t="n"/>
      <c r="AM101" s="29" t="n"/>
      <c r="AN101" s="29" t="n"/>
      <c r="AO101" s="29" t="n"/>
      <c r="AP101" s="29" t="n"/>
      <c r="AQ101" s="29" t="n"/>
      <c r="AR101" s="29" t="n"/>
      <c r="AS101" s="29" t="n"/>
      <c r="AT101" s="29" t="n"/>
      <c r="AU101" s="29" t="n"/>
      <c r="AV101" s="29" t="n"/>
      <c r="AW101" s="29" t="n"/>
      <c r="AX101" s="29" t="n"/>
      <c r="AY101" s="29" t="n"/>
      <c r="AZ101" s="29" t="n"/>
      <c r="BA101" s="29" t="n"/>
    </row>
    <row r="102">
      <c r="A102" s="29" t="n"/>
      <c r="B102" s="29" t="n"/>
      <c r="C102" s="29" t="n"/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  <c r="AA102" s="29" t="n"/>
      <c r="AB102" s="29" t="n"/>
      <c r="AC102" s="29" t="n"/>
      <c r="AD102" s="29" t="n"/>
      <c r="AE102" s="29" t="n"/>
      <c r="AF102" s="29" t="n"/>
      <c r="AG102" s="29" t="n"/>
      <c r="AH102" s="29" t="n"/>
      <c r="AI102" s="29" t="n"/>
      <c r="AJ102" s="29" t="n"/>
      <c r="AK102" s="29" t="n"/>
      <c r="AL102" s="29" t="n"/>
      <c r="AM102" s="29" t="n"/>
      <c r="AN102" s="29" t="n"/>
      <c r="AO102" s="29" t="n"/>
      <c r="AP102" s="29" t="n"/>
      <c r="AQ102" s="29" t="n"/>
      <c r="AR102" s="29" t="n"/>
      <c r="AS102" s="29" t="n"/>
      <c r="AT102" s="29" t="n"/>
      <c r="AU102" s="29" t="n"/>
      <c r="AV102" s="29" t="n"/>
      <c r="AW102" s="29" t="n"/>
      <c r="AX102" s="29" t="n"/>
      <c r="AY102" s="29" t="n"/>
      <c r="AZ102" s="29" t="n"/>
      <c r="BA102" s="29" t="n"/>
    </row>
    <row r="103">
      <c r="A103" s="29" t="n"/>
      <c r="B103" s="29" t="n"/>
      <c r="C103" s="29" t="n"/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  <c r="AA103" s="29" t="n"/>
      <c r="AB103" s="29" t="n"/>
      <c r="AC103" s="29" t="n"/>
      <c r="AD103" s="29" t="n"/>
      <c r="AE103" s="29" t="n"/>
      <c r="AF103" s="29" t="n"/>
      <c r="AG103" s="29" t="n"/>
      <c r="AH103" s="29" t="n"/>
      <c r="AI103" s="29" t="n"/>
      <c r="AJ103" s="29" t="n"/>
      <c r="AK103" s="29" t="n"/>
      <c r="AL103" s="29" t="n"/>
      <c r="AM103" s="29" t="n"/>
      <c r="AN103" s="29" t="n"/>
      <c r="AO103" s="29" t="n"/>
      <c r="AP103" s="29" t="n"/>
      <c r="AQ103" s="29" t="n"/>
      <c r="AR103" s="29" t="n"/>
      <c r="AS103" s="29" t="n"/>
      <c r="AT103" s="29" t="n"/>
      <c r="AU103" s="29" t="n"/>
      <c r="AV103" s="29" t="n"/>
      <c r="AW103" s="29" t="n"/>
      <c r="AX103" s="29" t="n"/>
      <c r="AY103" s="29" t="n"/>
      <c r="AZ103" s="29" t="n"/>
      <c r="BA103" s="29" t="n"/>
    </row>
    <row r="104">
      <c r="A104" s="29" t="n"/>
      <c r="B104" s="29" t="n"/>
      <c r="C104" s="29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29" t="n"/>
      <c r="AB104" s="29" t="n"/>
      <c r="AC104" s="29" t="n"/>
      <c r="AD104" s="29" t="n"/>
      <c r="AE104" s="29" t="n"/>
      <c r="AF104" s="29" t="n"/>
      <c r="AG104" s="29" t="n"/>
      <c r="AH104" s="29" t="n"/>
      <c r="AI104" s="29" t="n"/>
      <c r="AJ104" s="29" t="n"/>
      <c r="AK104" s="29" t="n"/>
      <c r="AL104" s="29" t="n"/>
      <c r="AM104" s="29" t="n"/>
      <c r="AN104" s="29" t="n"/>
      <c r="AO104" s="29" t="n"/>
      <c r="AP104" s="29" t="n"/>
      <c r="AQ104" s="29" t="n"/>
      <c r="AR104" s="29" t="n"/>
      <c r="AS104" s="29" t="n"/>
      <c r="AT104" s="29" t="n"/>
      <c r="AU104" s="29" t="n"/>
      <c r="AV104" s="29" t="n"/>
      <c r="AW104" s="29" t="n"/>
      <c r="AX104" s="29" t="n"/>
      <c r="AY104" s="29" t="n"/>
      <c r="AZ104" s="29" t="n"/>
      <c r="BA104" s="29" t="n"/>
    </row>
    <row r="105">
      <c r="A105" s="29" t="n"/>
      <c r="B105" s="29" t="n"/>
      <c r="C105" s="29" t="n"/>
      <c r="D105" s="29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  <c r="AA105" s="29" t="n"/>
      <c r="AB105" s="29" t="n"/>
      <c r="AC105" s="29" t="n"/>
      <c r="AD105" s="29" t="n"/>
      <c r="AE105" s="29" t="n"/>
      <c r="AF105" s="29" t="n"/>
      <c r="AG105" s="29" t="n"/>
      <c r="AH105" s="29" t="n"/>
      <c r="AI105" s="29" t="n"/>
      <c r="AJ105" s="29" t="n"/>
      <c r="AK105" s="29" t="n"/>
      <c r="AL105" s="29" t="n"/>
      <c r="AM105" s="29" t="n"/>
      <c r="AN105" s="29" t="n"/>
      <c r="AO105" s="29" t="n"/>
      <c r="AP105" s="29" t="n"/>
      <c r="AQ105" s="29" t="n"/>
      <c r="AR105" s="29" t="n"/>
      <c r="AS105" s="29" t="n"/>
      <c r="AT105" s="29" t="n"/>
      <c r="AU105" s="29" t="n"/>
      <c r="AV105" s="29" t="n"/>
      <c r="AW105" s="29" t="n"/>
      <c r="AX105" s="29" t="n"/>
      <c r="AY105" s="29" t="n"/>
      <c r="AZ105" s="29" t="n"/>
      <c r="BA105" s="29" t="n"/>
    </row>
    <row r="106">
      <c r="A106" s="29" t="n"/>
      <c r="B106" s="29" t="n"/>
      <c r="C106" s="29" t="n"/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  <c r="AA106" s="29" t="n"/>
      <c r="AB106" s="29" t="n"/>
      <c r="AC106" s="29" t="n"/>
      <c r="AD106" s="29" t="n"/>
      <c r="AE106" s="29" t="n"/>
      <c r="AF106" s="29" t="n"/>
      <c r="AG106" s="29" t="n"/>
      <c r="AH106" s="29" t="n"/>
      <c r="AI106" s="29" t="n"/>
      <c r="AJ106" s="29" t="n"/>
      <c r="AK106" s="29" t="n"/>
      <c r="AL106" s="29" t="n"/>
      <c r="AM106" s="29" t="n"/>
      <c r="AN106" s="29" t="n"/>
      <c r="AO106" s="29" t="n"/>
      <c r="AP106" s="29" t="n"/>
      <c r="AQ106" s="29" t="n"/>
      <c r="AR106" s="29" t="n"/>
      <c r="AS106" s="29" t="n"/>
      <c r="AT106" s="29" t="n"/>
      <c r="AU106" s="29" t="n"/>
      <c r="AV106" s="29" t="n"/>
      <c r="AW106" s="29" t="n"/>
      <c r="AX106" s="29" t="n"/>
      <c r="AY106" s="29" t="n"/>
      <c r="AZ106" s="29" t="n"/>
      <c r="BA106" s="29" t="n"/>
    </row>
    <row r="107">
      <c r="A107" s="29" t="n"/>
      <c r="B107" s="29" t="n"/>
      <c r="C107" s="29" t="n"/>
      <c r="D107" s="29" t="n"/>
      <c r="E107" s="29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  <c r="AA107" s="29" t="n"/>
      <c r="AB107" s="29" t="n"/>
      <c r="AC107" s="29" t="n"/>
      <c r="AD107" s="29" t="n"/>
      <c r="AE107" s="29" t="n"/>
      <c r="AF107" s="29" t="n"/>
      <c r="AG107" s="29" t="n"/>
      <c r="AH107" s="29" t="n"/>
      <c r="AI107" s="29" t="n"/>
      <c r="AJ107" s="29" t="n"/>
      <c r="AK107" s="29" t="n"/>
      <c r="AL107" s="29" t="n"/>
      <c r="AM107" s="29" t="n"/>
      <c r="AN107" s="29" t="n"/>
      <c r="AO107" s="29" t="n"/>
      <c r="AP107" s="29" t="n"/>
      <c r="AQ107" s="29" t="n"/>
      <c r="AR107" s="29" t="n"/>
      <c r="AS107" s="29" t="n"/>
      <c r="AT107" s="29" t="n"/>
      <c r="AU107" s="29" t="n"/>
      <c r="AV107" s="29" t="n"/>
      <c r="AW107" s="29" t="n"/>
      <c r="AX107" s="29" t="n"/>
      <c r="AY107" s="29" t="n"/>
      <c r="AZ107" s="29" t="n"/>
      <c r="BA107" s="29" t="n"/>
    </row>
    <row r="108">
      <c r="A108" s="29" t="n"/>
      <c r="B108" s="29" t="n"/>
      <c r="C108" s="29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  <c r="AB108" s="29" t="n"/>
      <c r="AC108" s="29" t="n"/>
      <c r="AD108" s="29" t="n"/>
      <c r="AE108" s="29" t="n"/>
      <c r="AF108" s="29" t="n"/>
      <c r="AG108" s="29" t="n"/>
      <c r="AH108" s="29" t="n"/>
      <c r="AI108" s="29" t="n"/>
      <c r="AJ108" s="29" t="n"/>
      <c r="AK108" s="29" t="n"/>
      <c r="AL108" s="29" t="n"/>
      <c r="AM108" s="29" t="n"/>
      <c r="AN108" s="29" t="n"/>
      <c r="AO108" s="29" t="n"/>
      <c r="AP108" s="29" t="n"/>
      <c r="AQ108" s="29" t="n"/>
      <c r="AR108" s="29" t="n"/>
      <c r="AS108" s="29" t="n"/>
      <c r="AT108" s="29" t="n"/>
      <c r="AU108" s="29" t="n"/>
      <c r="AV108" s="29" t="n"/>
      <c r="AW108" s="29" t="n"/>
      <c r="AX108" s="29" t="n"/>
      <c r="AY108" s="29" t="n"/>
      <c r="AZ108" s="29" t="n"/>
      <c r="BA108" s="29" t="n"/>
    </row>
    <row r="109">
      <c r="A109" s="29" t="n"/>
      <c r="B109" s="29" t="n"/>
      <c r="C109" s="29" t="n"/>
      <c r="D109" s="29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  <c r="AA109" s="29" t="n"/>
      <c r="AB109" s="29" t="n"/>
      <c r="AC109" s="29" t="n"/>
      <c r="AD109" s="29" t="n"/>
      <c r="AE109" s="29" t="n"/>
      <c r="AF109" s="29" t="n"/>
      <c r="AG109" s="29" t="n"/>
      <c r="AH109" s="29" t="n"/>
      <c r="AI109" s="29" t="n"/>
      <c r="AJ109" s="29" t="n"/>
      <c r="AK109" s="29" t="n"/>
      <c r="AL109" s="29" t="n"/>
      <c r="AM109" s="29" t="n"/>
      <c r="AN109" s="29" t="n"/>
      <c r="AO109" s="29" t="n"/>
      <c r="AP109" s="29" t="n"/>
      <c r="AQ109" s="29" t="n"/>
      <c r="AR109" s="29" t="n"/>
      <c r="AS109" s="29" t="n"/>
      <c r="AT109" s="29" t="n"/>
      <c r="AU109" s="29" t="n"/>
      <c r="AV109" s="29" t="n"/>
      <c r="AW109" s="29" t="n"/>
      <c r="AX109" s="29" t="n"/>
      <c r="AY109" s="29" t="n"/>
      <c r="AZ109" s="29" t="n"/>
      <c r="BA109" s="29" t="n"/>
    </row>
    <row r="110">
      <c r="A110" s="29" t="n"/>
      <c r="B110" s="29" t="n"/>
      <c r="C110" s="29" t="n"/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  <c r="AB110" s="29" t="n"/>
      <c r="AC110" s="29" t="n"/>
      <c r="AD110" s="29" t="n"/>
      <c r="AE110" s="29" t="n"/>
      <c r="AF110" s="29" t="n"/>
      <c r="AG110" s="29" t="n"/>
      <c r="AH110" s="29" t="n"/>
      <c r="AI110" s="29" t="n"/>
      <c r="AJ110" s="29" t="n"/>
      <c r="AK110" s="29" t="n"/>
      <c r="AL110" s="29" t="n"/>
      <c r="AM110" s="29" t="n"/>
      <c r="AN110" s="29" t="n"/>
      <c r="AO110" s="29" t="n"/>
      <c r="AP110" s="29" t="n"/>
      <c r="AQ110" s="29" t="n"/>
      <c r="AR110" s="29" t="n"/>
      <c r="AS110" s="29" t="n"/>
      <c r="AT110" s="29" t="n"/>
      <c r="AU110" s="29" t="n"/>
      <c r="AV110" s="29" t="n"/>
      <c r="AW110" s="29" t="n"/>
      <c r="AX110" s="29" t="n"/>
      <c r="AY110" s="29" t="n"/>
      <c r="AZ110" s="29" t="n"/>
      <c r="BA110" s="29" t="n"/>
    </row>
    <row r="111">
      <c r="A111" s="29" t="n"/>
      <c r="B111" s="29" t="n"/>
      <c r="C111" s="29" t="n"/>
      <c r="D111" s="29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  <c r="AA111" s="29" t="n"/>
      <c r="AB111" s="29" t="n"/>
      <c r="AC111" s="29" t="n"/>
      <c r="AD111" s="29" t="n"/>
      <c r="AE111" s="29" t="n"/>
      <c r="AF111" s="29" t="n"/>
      <c r="AG111" s="29" t="n"/>
      <c r="AH111" s="29" t="n"/>
      <c r="AI111" s="29" t="n"/>
      <c r="AJ111" s="29" t="n"/>
      <c r="AK111" s="29" t="n"/>
      <c r="AL111" s="29" t="n"/>
      <c r="AM111" s="29" t="n"/>
      <c r="AN111" s="29" t="n"/>
      <c r="AO111" s="29" t="n"/>
      <c r="AP111" s="29" t="n"/>
      <c r="AQ111" s="29" t="n"/>
      <c r="AR111" s="29" t="n"/>
      <c r="AS111" s="29" t="n"/>
      <c r="AT111" s="29" t="n"/>
      <c r="AU111" s="29" t="n"/>
      <c r="AV111" s="29" t="n"/>
      <c r="AW111" s="29" t="n"/>
      <c r="AX111" s="29" t="n"/>
      <c r="AY111" s="29" t="n"/>
      <c r="AZ111" s="29" t="n"/>
      <c r="BA111" s="29" t="n"/>
    </row>
    <row r="112">
      <c r="A112" s="29" t="n"/>
      <c r="B112" s="29" t="n"/>
      <c r="C112" s="29" t="n"/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  <c r="AA112" s="29" t="n"/>
      <c r="AB112" s="29" t="n"/>
      <c r="AC112" s="29" t="n"/>
      <c r="AD112" s="29" t="n"/>
      <c r="AE112" s="29" t="n"/>
      <c r="AF112" s="29" t="n"/>
      <c r="AG112" s="29" t="n"/>
      <c r="AH112" s="29" t="n"/>
      <c r="AI112" s="29" t="n"/>
      <c r="AJ112" s="29" t="n"/>
      <c r="AK112" s="29" t="n"/>
      <c r="AL112" s="29" t="n"/>
      <c r="AM112" s="29" t="n"/>
      <c r="AN112" s="29" t="n"/>
      <c r="AO112" s="29" t="n"/>
      <c r="AP112" s="29" t="n"/>
      <c r="AQ112" s="29" t="n"/>
      <c r="AR112" s="29" t="n"/>
      <c r="AS112" s="29" t="n"/>
      <c r="AT112" s="29" t="n"/>
      <c r="AU112" s="29" t="n"/>
      <c r="AV112" s="29" t="n"/>
      <c r="AW112" s="29" t="n"/>
      <c r="AX112" s="29" t="n"/>
      <c r="AY112" s="29" t="n"/>
      <c r="AZ112" s="29" t="n"/>
      <c r="BA112" s="29" t="n"/>
    </row>
    <row r="113">
      <c r="A113" s="29" t="n"/>
      <c r="B113" s="29" t="n"/>
      <c r="C113" s="29" t="n"/>
      <c r="D113" s="29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  <c r="AA113" s="29" t="n"/>
      <c r="AB113" s="29" t="n"/>
      <c r="AC113" s="29" t="n"/>
      <c r="AD113" s="29" t="n"/>
      <c r="AE113" s="29" t="n"/>
      <c r="AF113" s="29" t="n"/>
      <c r="AG113" s="29" t="n"/>
      <c r="AH113" s="29" t="n"/>
      <c r="AI113" s="29" t="n"/>
      <c r="AJ113" s="29" t="n"/>
      <c r="AK113" s="29" t="n"/>
      <c r="AL113" s="29" t="n"/>
      <c r="AM113" s="29" t="n"/>
      <c r="AN113" s="29" t="n"/>
      <c r="AO113" s="29" t="n"/>
      <c r="AP113" s="29" t="n"/>
      <c r="AQ113" s="29" t="n"/>
      <c r="AR113" s="29" t="n"/>
      <c r="AS113" s="29" t="n"/>
      <c r="AT113" s="29" t="n"/>
      <c r="AU113" s="29" t="n"/>
      <c r="AV113" s="29" t="n"/>
      <c r="AW113" s="29" t="n"/>
      <c r="AX113" s="29" t="n"/>
      <c r="AY113" s="29" t="n"/>
      <c r="AZ113" s="29" t="n"/>
      <c r="BA113" s="29" t="n"/>
    </row>
    <row r="114">
      <c r="A114" s="29" t="n"/>
      <c r="B114" s="29" t="n"/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  <c r="AA114" s="29" t="n"/>
      <c r="AB114" s="29" t="n"/>
      <c r="AC114" s="29" t="n"/>
      <c r="AD114" s="29" t="n"/>
      <c r="AE114" s="29" t="n"/>
      <c r="AF114" s="29" t="n"/>
      <c r="AG114" s="29" t="n"/>
      <c r="AH114" s="29" t="n"/>
      <c r="AI114" s="29" t="n"/>
      <c r="AJ114" s="29" t="n"/>
      <c r="AK114" s="29" t="n"/>
      <c r="AL114" s="29" t="n"/>
      <c r="AM114" s="29" t="n"/>
      <c r="AN114" s="29" t="n"/>
      <c r="AO114" s="29" t="n"/>
      <c r="AP114" s="29" t="n"/>
      <c r="AQ114" s="29" t="n"/>
      <c r="AR114" s="29" t="n"/>
      <c r="AS114" s="29" t="n"/>
      <c r="AT114" s="29" t="n"/>
      <c r="AU114" s="29" t="n"/>
      <c r="AV114" s="29" t="n"/>
      <c r="AW114" s="29" t="n"/>
      <c r="AX114" s="29" t="n"/>
      <c r="AY114" s="29" t="n"/>
      <c r="AZ114" s="29" t="n"/>
      <c r="BA114" s="29" t="n"/>
    </row>
    <row r="115">
      <c r="A115" s="29" t="n"/>
      <c r="B115" s="29" t="n"/>
      <c r="C115" s="29" t="n"/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  <c r="AB115" s="29" t="n"/>
      <c r="AC115" s="29" t="n"/>
      <c r="AD115" s="29" t="n"/>
      <c r="AE115" s="29" t="n"/>
      <c r="AF115" s="29" t="n"/>
      <c r="AG115" s="29" t="n"/>
      <c r="AH115" s="29" t="n"/>
      <c r="AI115" s="29" t="n"/>
      <c r="AJ115" s="29" t="n"/>
      <c r="AK115" s="29" t="n"/>
      <c r="AL115" s="29" t="n"/>
      <c r="AM115" s="29" t="n"/>
      <c r="AN115" s="29" t="n"/>
      <c r="AO115" s="29" t="n"/>
      <c r="AP115" s="29" t="n"/>
      <c r="AQ115" s="29" t="n"/>
      <c r="AR115" s="29" t="n"/>
      <c r="AS115" s="29" t="n"/>
      <c r="AT115" s="29" t="n"/>
      <c r="AU115" s="29" t="n"/>
      <c r="AV115" s="29" t="n"/>
      <c r="AW115" s="29" t="n"/>
      <c r="AX115" s="29" t="n"/>
      <c r="AY115" s="29" t="n"/>
      <c r="AZ115" s="29" t="n"/>
      <c r="BA115" s="29" t="n"/>
    </row>
    <row r="116">
      <c r="A116" s="29" t="n"/>
      <c r="B116" s="29" t="n"/>
      <c r="C116" s="29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  <c r="AA116" s="29" t="n"/>
      <c r="AB116" s="29" t="n"/>
      <c r="AC116" s="29" t="n"/>
      <c r="AD116" s="29" t="n"/>
      <c r="AE116" s="29" t="n"/>
      <c r="AF116" s="29" t="n"/>
      <c r="AG116" s="29" t="n"/>
      <c r="AH116" s="29" t="n"/>
      <c r="AI116" s="29" t="n"/>
      <c r="AJ116" s="29" t="n"/>
      <c r="AK116" s="29" t="n"/>
      <c r="AL116" s="29" t="n"/>
      <c r="AM116" s="29" t="n"/>
      <c r="AN116" s="29" t="n"/>
      <c r="AO116" s="29" t="n"/>
      <c r="AP116" s="29" t="n"/>
      <c r="AQ116" s="29" t="n"/>
      <c r="AR116" s="29" t="n"/>
      <c r="AS116" s="29" t="n"/>
      <c r="AT116" s="29" t="n"/>
      <c r="AU116" s="29" t="n"/>
      <c r="AV116" s="29" t="n"/>
      <c r="AW116" s="29" t="n"/>
      <c r="AX116" s="29" t="n"/>
      <c r="AY116" s="29" t="n"/>
      <c r="AZ116" s="29" t="n"/>
      <c r="BA116" s="29" t="n"/>
    </row>
    <row r="117">
      <c r="A117" s="29" t="n"/>
      <c r="B117" s="29" t="n"/>
      <c r="C117" s="29" t="n"/>
      <c r="D117" s="29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  <c r="AA117" s="29" t="n"/>
      <c r="AB117" s="29" t="n"/>
      <c r="AC117" s="29" t="n"/>
      <c r="AD117" s="29" t="n"/>
      <c r="AE117" s="29" t="n"/>
      <c r="AF117" s="29" t="n"/>
      <c r="AG117" s="29" t="n"/>
      <c r="AH117" s="29" t="n"/>
      <c r="AI117" s="29" t="n"/>
      <c r="AJ117" s="29" t="n"/>
      <c r="AK117" s="29" t="n"/>
      <c r="AL117" s="29" t="n"/>
      <c r="AM117" s="29" t="n"/>
      <c r="AN117" s="29" t="n"/>
      <c r="AO117" s="29" t="n"/>
      <c r="AP117" s="29" t="n"/>
      <c r="AQ117" s="29" t="n"/>
      <c r="AR117" s="29" t="n"/>
      <c r="AS117" s="29" t="n"/>
      <c r="AT117" s="29" t="n"/>
      <c r="AU117" s="29" t="n"/>
      <c r="AV117" s="29" t="n"/>
      <c r="AW117" s="29" t="n"/>
      <c r="AX117" s="29" t="n"/>
      <c r="AY117" s="29" t="n"/>
      <c r="AZ117" s="29" t="n"/>
      <c r="BA117" s="29" t="n"/>
    </row>
    <row r="118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  <c r="AA118" s="29" t="n"/>
      <c r="AB118" s="29" t="n"/>
      <c r="AC118" s="29" t="n"/>
      <c r="AD118" s="29" t="n"/>
      <c r="AE118" s="29" t="n"/>
      <c r="AF118" s="29" t="n"/>
      <c r="AG118" s="29" t="n"/>
      <c r="AH118" s="29" t="n"/>
      <c r="AI118" s="29" t="n"/>
      <c r="AJ118" s="29" t="n"/>
      <c r="AK118" s="29" t="n"/>
      <c r="AL118" s="29" t="n"/>
      <c r="AM118" s="29" t="n"/>
      <c r="AN118" s="29" t="n"/>
      <c r="AO118" s="29" t="n"/>
      <c r="AP118" s="29" t="n"/>
      <c r="AQ118" s="29" t="n"/>
      <c r="AR118" s="29" t="n"/>
      <c r="AS118" s="29" t="n"/>
      <c r="AT118" s="29" t="n"/>
      <c r="AU118" s="29" t="n"/>
      <c r="AV118" s="29" t="n"/>
      <c r="AW118" s="29" t="n"/>
      <c r="AX118" s="29" t="n"/>
      <c r="AY118" s="29" t="n"/>
      <c r="AZ118" s="29" t="n"/>
      <c r="BA118" s="29" t="n"/>
    </row>
    <row r="119">
      <c r="A119" s="29" t="n"/>
      <c r="B119" s="29" t="n"/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  <c r="AA119" s="29" t="n"/>
      <c r="AB119" s="29" t="n"/>
      <c r="AC119" s="29" t="n"/>
      <c r="AD119" s="29" t="n"/>
      <c r="AE119" s="29" t="n"/>
      <c r="AF119" s="29" t="n"/>
      <c r="AG119" s="29" t="n"/>
      <c r="AH119" s="29" t="n"/>
      <c r="AI119" s="29" t="n"/>
      <c r="AJ119" s="29" t="n"/>
      <c r="AK119" s="29" t="n"/>
      <c r="AL119" s="29" t="n"/>
      <c r="AM119" s="29" t="n"/>
      <c r="AN119" s="29" t="n"/>
      <c r="AO119" s="29" t="n"/>
      <c r="AP119" s="29" t="n"/>
      <c r="AQ119" s="29" t="n"/>
      <c r="AR119" s="29" t="n"/>
      <c r="AS119" s="29" t="n"/>
      <c r="AT119" s="29" t="n"/>
      <c r="AU119" s="29" t="n"/>
      <c r="AV119" s="29" t="n"/>
      <c r="AW119" s="29" t="n"/>
      <c r="AX119" s="29" t="n"/>
      <c r="AY119" s="29" t="n"/>
      <c r="AZ119" s="29" t="n"/>
      <c r="BA119" s="29" t="n"/>
    </row>
    <row r="120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  <c r="AA120" s="29" t="n"/>
      <c r="AB120" s="29" t="n"/>
      <c r="AC120" s="29" t="n"/>
      <c r="AD120" s="29" t="n"/>
      <c r="AE120" s="29" t="n"/>
      <c r="AF120" s="29" t="n"/>
      <c r="AG120" s="29" t="n"/>
      <c r="AH120" s="29" t="n"/>
      <c r="AI120" s="29" t="n"/>
      <c r="AJ120" s="29" t="n"/>
      <c r="AK120" s="29" t="n"/>
      <c r="AL120" s="29" t="n"/>
      <c r="AM120" s="29" t="n"/>
      <c r="AN120" s="29" t="n"/>
      <c r="AO120" s="29" t="n"/>
      <c r="AP120" s="29" t="n"/>
      <c r="AQ120" s="29" t="n"/>
      <c r="AR120" s="29" t="n"/>
      <c r="AS120" s="29" t="n"/>
      <c r="AT120" s="29" t="n"/>
      <c r="AU120" s="29" t="n"/>
      <c r="AV120" s="29" t="n"/>
      <c r="AW120" s="29" t="n"/>
      <c r="AX120" s="29" t="n"/>
      <c r="AY120" s="29" t="n"/>
      <c r="AZ120" s="29" t="n"/>
      <c r="BA120" s="29" t="n"/>
    </row>
    <row r="121">
      <c r="A121" s="29" t="n"/>
      <c r="B121" s="29" t="n"/>
      <c r="C121" s="29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  <c r="AA121" s="29" t="n"/>
      <c r="AB121" s="29" t="n"/>
      <c r="AC121" s="29" t="n"/>
      <c r="AD121" s="29" t="n"/>
      <c r="AE121" s="29" t="n"/>
      <c r="AF121" s="29" t="n"/>
      <c r="AG121" s="29" t="n"/>
      <c r="AH121" s="29" t="n"/>
      <c r="AI121" s="29" t="n"/>
      <c r="AJ121" s="29" t="n"/>
      <c r="AK121" s="29" t="n"/>
      <c r="AL121" s="29" t="n"/>
      <c r="AM121" s="29" t="n"/>
      <c r="AN121" s="29" t="n"/>
      <c r="AO121" s="29" t="n"/>
      <c r="AP121" s="29" t="n"/>
      <c r="AQ121" s="29" t="n"/>
      <c r="AR121" s="29" t="n"/>
      <c r="AS121" s="29" t="n"/>
      <c r="AT121" s="29" t="n"/>
      <c r="AU121" s="29" t="n"/>
      <c r="AV121" s="29" t="n"/>
      <c r="AW121" s="29" t="n"/>
      <c r="AX121" s="29" t="n"/>
      <c r="AY121" s="29" t="n"/>
      <c r="AZ121" s="29" t="n"/>
      <c r="BA121" s="29" t="n"/>
    </row>
    <row r="122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  <c r="AA122" s="29" t="n"/>
      <c r="AB122" s="29" t="n"/>
      <c r="AC122" s="29" t="n"/>
      <c r="AD122" s="29" t="n"/>
      <c r="AE122" s="29" t="n"/>
      <c r="AF122" s="29" t="n"/>
      <c r="AG122" s="29" t="n"/>
      <c r="AH122" s="29" t="n"/>
      <c r="AI122" s="29" t="n"/>
      <c r="AJ122" s="29" t="n"/>
      <c r="AK122" s="29" t="n"/>
      <c r="AL122" s="29" t="n"/>
      <c r="AM122" s="29" t="n"/>
      <c r="AN122" s="29" t="n"/>
      <c r="AO122" s="29" t="n"/>
      <c r="AP122" s="29" t="n"/>
      <c r="AQ122" s="29" t="n"/>
      <c r="AR122" s="29" t="n"/>
      <c r="AS122" s="29" t="n"/>
      <c r="AT122" s="29" t="n"/>
      <c r="AU122" s="29" t="n"/>
      <c r="AV122" s="29" t="n"/>
      <c r="AW122" s="29" t="n"/>
      <c r="AX122" s="29" t="n"/>
      <c r="AY122" s="29" t="n"/>
      <c r="AZ122" s="29" t="n"/>
      <c r="BA122" s="29" t="n"/>
    </row>
    <row r="123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  <c r="AA123" s="29" t="n"/>
      <c r="AB123" s="29" t="n"/>
      <c r="AC123" s="29" t="n"/>
      <c r="AD123" s="29" t="n"/>
      <c r="AE123" s="29" t="n"/>
      <c r="AF123" s="29" t="n"/>
      <c r="AG123" s="29" t="n"/>
      <c r="AH123" s="29" t="n"/>
      <c r="AI123" s="29" t="n"/>
      <c r="AJ123" s="29" t="n"/>
      <c r="AK123" s="29" t="n"/>
      <c r="AL123" s="29" t="n"/>
      <c r="AM123" s="29" t="n"/>
      <c r="AN123" s="29" t="n"/>
      <c r="AO123" s="29" t="n"/>
      <c r="AP123" s="29" t="n"/>
      <c r="AQ123" s="29" t="n"/>
      <c r="AR123" s="29" t="n"/>
      <c r="AS123" s="29" t="n"/>
      <c r="AT123" s="29" t="n"/>
      <c r="AU123" s="29" t="n"/>
      <c r="AV123" s="29" t="n"/>
      <c r="AW123" s="29" t="n"/>
      <c r="AX123" s="29" t="n"/>
      <c r="AY123" s="29" t="n"/>
      <c r="AZ123" s="29" t="n"/>
      <c r="BA123" s="29" t="n"/>
    </row>
    <row r="124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  <c r="AA124" s="29" t="n"/>
      <c r="AB124" s="29" t="n"/>
      <c r="AC124" s="29" t="n"/>
      <c r="AD124" s="29" t="n"/>
      <c r="AE124" s="29" t="n"/>
      <c r="AF124" s="29" t="n"/>
      <c r="AG124" s="29" t="n"/>
      <c r="AH124" s="29" t="n"/>
      <c r="AI124" s="29" t="n"/>
      <c r="AJ124" s="29" t="n"/>
      <c r="AK124" s="29" t="n"/>
      <c r="AL124" s="29" t="n"/>
      <c r="AM124" s="29" t="n"/>
      <c r="AN124" s="29" t="n"/>
      <c r="AO124" s="29" t="n"/>
      <c r="AP124" s="29" t="n"/>
      <c r="AQ124" s="29" t="n"/>
      <c r="AR124" s="29" t="n"/>
      <c r="AS124" s="29" t="n"/>
      <c r="AT124" s="29" t="n"/>
      <c r="AU124" s="29" t="n"/>
      <c r="AV124" s="29" t="n"/>
      <c r="AW124" s="29" t="n"/>
      <c r="AX124" s="29" t="n"/>
      <c r="AY124" s="29" t="n"/>
      <c r="AZ124" s="29" t="n"/>
      <c r="BA124" s="29" t="n"/>
    </row>
    <row r="125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  <c r="AA125" s="29" t="n"/>
      <c r="AB125" s="29" t="n"/>
      <c r="AC125" s="29" t="n"/>
      <c r="AD125" s="29" t="n"/>
      <c r="AE125" s="29" t="n"/>
      <c r="AF125" s="29" t="n"/>
      <c r="AG125" s="29" t="n"/>
      <c r="AH125" s="29" t="n"/>
      <c r="AI125" s="29" t="n"/>
      <c r="AJ125" s="29" t="n"/>
      <c r="AK125" s="29" t="n"/>
      <c r="AL125" s="29" t="n"/>
      <c r="AM125" s="29" t="n"/>
      <c r="AN125" s="29" t="n"/>
      <c r="AO125" s="29" t="n"/>
      <c r="AP125" s="29" t="n"/>
      <c r="AQ125" s="29" t="n"/>
      <c r="AR125" s="29" t="n"/>
      <c r="AS125" s="29" t="n"/>
      <c r="AT125" s="29" t="n"/>
      <c r="AU125" s="29" t="n"/>
      <c r="AV125" s="29" t="n"/>
      <c r="AW125" s="29" t="n"/>
      <c r="AX125" s="29" t="n"/>
      <c r="AY125" s="29" t="n"/>
      <c r="AZ125" s="29" t="n"/>
      <c r="BA125" s="29" t="n"/>
    </row>
    <row r="12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  <c r="AB126" s="29" t="n"/>
      <c r="AC126" s="29" t="n"/>
      <c r="AD126" s="29" t="n"/>
      <c r="AE126" s="29" t="n"/>
      <c r="AF126" s="29" t="n"/>
      <c r="AG126" s="29" t="n"/>
      <c r="AH126" s="29" t="n"/>
      <c r="AI126" s="29" t="n"/>
      <c r="AJ126" s="29" t="n"/>
      <c r="AK126" s="29" t="n"/>
      <c r="AL126" s="29" t="n"/>
      <c r="AM126" s="29" t="n"/>
      <c r="AN126" s="29" t="n"/>
      <c r="AO126" s="29" t="n"/>
      <c r="AP126" s="29" t="n"/>
      <c r="AQ126" s="29" t="n"/>
      <c r="AR126" s="29" t="n"/>
      <c r="AS126" s="29" t="n"/>
      <c r="AT126" s="29" t="n"/>
      <c r="AU126" s="29" t="n"/>
      <c r="AV126" s="29" t="n"/>
      <c r="AW126" s="29" t="n"/>
      <c r="AX126" s="29" t="n"/>
      <c r="AY126" s="29" t="n"/>
      <c r="AZ126" s="29" t="n"/>
      <c r="BA126" s="29" t="n"/>
    </row>
    <row r="127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  <c r="AA127" s="29" t="n"/>
      <c r="AB127" s="29" t="n"/>
      <c r="AC127" s="29" t="n"/>
      <c r="AD127" s="29" t="n"/>
      <c r="AE127" s="29" t="n"/>
      <c r="AF127" s="29" t="n"/>
      <c r="AG127" s="29" t="n"/>
      <c r="AH127" s="29" t="n"/>
      <c r="AI127" s="29" t="n"/>
      <c r="AJ127" s="29" t="n"/>
      <c r="AK127" s="29" t="n"/>
      <c r="AL127" s="29" t="n"/>
      <c r="AM127" s="29" t="n"/>
      <c r="AN127" s="29" t="n"/>
      <c r="AO127" s="29" t="n"/>
      <c r="AP127" s="29" t="n"/>
      <c r="AQ127" s="29" t="n"/>
      <c r="AR127" s="29" t="n"/>
      <c r="AS127" s="29" t="n"/>
      <c r="AT127" s="29" t="n"/>
      <c r="AU127" s="29" t="n"/>
      <c r="AV127" s="29" t="n"/>
      <c r="AW127" s="29" t="n"/>
      <c r="AX127" s="29" t="n"/>
      <c r="AY127" s="29" t="n"/>
      <c r="AZ127" s="29" t="n"/>
      <c r="BA127" s="29" t="n"/>
    </row>
    <row r="128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  <c r="AA128" s="29" t="n"/>
      <c r="AB128" s="29" t="n"/>
      <c r="AC128" s="29" t="n"/>
      <c r="AD128" s="29" t="n"/>
      <c r="AE128" s="29" t="n"/>
      <c r="AF128" s="29" t="n"/>
      <c r="AG128" s="29" t="n"/>
      <c r="AH128" s="29" t="n"/>
      <c r="AI128" s="29" t="n"/>
      <c r="AJ128" s="29" t="n"/>
      <c r="AK128" s="29" t="n"/>
      <c r="AL128" s="29" t="n"/>
      <c r="AM128" s="29" t="n"/>
      <c r="AN128" s="29" t="n"/>
      <c r="AO128" s="29" t="n"/>
      <c r="AP128" s="29" t="n"/>
      <c r="AQ128" s="29" t="n"/>
      <c r="AR128" s="29" t="n"/>
      <c r="AS128" s="29" t="n"/>
      <c r="AT128" s="29" t="n"/>
      <c r="AU128" s="29" t="n"/>
      <c r="AV128" s="29" t="n"/>
      <c r="AW128" s="29" t="n"/>
      <c r="AX128" s="29" t="n"/>
      <c r="AY128" s="29" t="n"/>
      <c r="AZ128" s="29" t="n"/>
      <c r="BA128" s="29" t="n"/>
    </row>
    <row r="129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  <c r="AA129" s="29" t="n"/>
      <c r="AB129" s="29" t="n"/>
      <c r="AC129" s="29" t="n"/>
      <c r="AD129" s="29" t="n"/>
      <c r="AE129" s="29" t="n"/>
      <c r="AF129" s="29" t="n"/>
      <c r="AG129" s="29" t="n"/>
      <c r="AH129" s="29" t="n"/>
      <c r="AI129" s="29" t="n"/>
      <c r="AJ129" s="29" t="n"/>
      <c r="AK129" s="29" t="n"/>
      <c r="AL129" s="29" t="n"/>
      <c r="AM129" s="29" t="n"/>
      <c r="AN129" s="29" t="n"/>
      <c r="AO129" s="29" t="n"/>
      <c r="AP129" s="29" t="n"/>
      <c r="AQ129" s="29" t="n"/>
      <c r="AR129" s="29" t="n"/>
      <c r="AS129" s="29" t="n"/>
      <c r="AT129" s="29" t="n"/>
      <c r="AU129" s="29" t="n"/>
      <c r="AV129" s="29" t="n"/>
      <c r="AW129" s="29" t="n"/>
      <c r="AX129" s="29" t="n"/>
      <c r="AY129" s="29" t="n"/>
      <c r="AZ129" s="29" t="n"/>
      <c r="BA129" s="29" t="n"/>
    </row>
    <row r="130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  <c r="AA130" s="29" t="n"/>
      <c r="AB130" s="29" t="n"/>
      <c r="AC130" s="29" t="n"/>
      <c r="AD130" s="29" t="n"/>
      <c r="AE130" s="29" t="n"/>
      <c r="AF130" s="29" t="n"/>
      <c r="AG130" s="29" t="n"/>
      <c r="AH130" s="29" t="n"/>
      <c r="AI130" s="29" t="n"/>
      <c r="AJ130" s="29" t="n"/>
      <c r="AK130" s="29" t="n"/>
      <c r="AL130" s="29" t="n"/>
      <c r="AM130" s="29" t="n"/>
      <c r="AN130" s="29" t="n"/>
      <c r="AO130" s="29" t="n"/>
      <c r="AP130" s="29" t="n"/>
      <c r="AQ130" s="29" t="n"/>
      <c r="AR130" s="29" t="n"/>
      <c r="AS130" s="29" t="n"/>
      <c r="AT130" s="29" t="n"/>
      <c r="AU130" s="29" t="n"/>
      <c r="AV130" s="29" t="n"/>
      <c r="AW130" s="29" t="n"/>
      <c r="AX130" s="29" t="n"/>
      <c r="AY130" s="29" t="n"/>
      <c r="AZ130" s="29" t="n"/>
      <c r="BA130" s="29" t="n"/>
    </row>
    <row r="131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  <c r="AA131" s="29" t="n"/>
      <c r="AB131" s="29" t="n"/>
      <c r="AC131" s="29" t="n"/>
      <c r="AD131" s="29" t="n"/>
      <c r="AE131" s="29" t="n"/>
      <c r="AF131" s="29" t="n"/>
      <c r="AG131" s="29" t="n"/>
      <c r="AH131" s="29" t="n"/>
      <c r="AI131" s="29" t="n"/>
      <c r="AJ131" s="29" t="n"/>
      <c r="AK131" s="29" t="n"/>
      <c r="AL131" s="29" t="n"/>
      <c r="AM131" s="29" t="n"/>
      <c r="AN131" s="29" t="n"/>
      <c r="AO131" s="29" t="n"/>
      <c r="AP131" s="29" t="n"/>
      <c r="AQ131" s="29" t="n"/>
      <c r="AR131" s="29" t="n"/>
      <c r="AS131" s="29" t="n"/>
      <c r="AT131" s="29" t="n"/>
      <c r="AU131" s="29" t="n"/>
      <c r="AV131" s="29" t="n"/>
      <c r="AW131" s="29" t="n"/>
      <c r="AX131" s="29" t="n"/>
      <c r="AY131" s="29" t="n"/>
      <c r="AZ131" s="29" t="n"/>
      <c r="BA131" s="29" t="n"/>
    </row>
    <row r="132">
      <c r="A132" s="29" t="n"/>
      <c r="B132" s="29" t="n"/>
      <c r="C132" s="29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  <c r="AB132" s="29" t="n"/>
      <c r="AC132" s="29" t="n"/>
      <c r="AD132" s="29" t="n"/>
      <c r="AE132" s="29" t="n"/>
      <c r="AF132" s="29" t="n"/>
      <c r="AG132" s="29" t="n"/>
      <c r="AH132" s="29" t="n"/>
      <c r="AI132" s="29" t="n"/>
      <c r="AJ132" s="29" t="n"/>
      <c r="AK132" s="29" t="n"/>
      <c r="AL132" s="29" t="n"/>
      <c r="AM132" s="29" t="n"/>
      <c r="AN132" s="29" t="n"/>
      <c r="AO132" s="29" t="n"/>
      <c r="AP132" s="29" t="n"/>
      <c r="AQ132" s="29" t="n"/>
      <c r="AR132" s="29" t="n"/>
      <c r="AS132" s="29" t="n"/>
      <c r="AT132" s="29" t="n"/>
      <c r="AU132" s="29" t="n"/>
      <c r="AV132" s="29" t="n"/>
      <c r="AW132" s="29" t="n"/>
      <c r="AX132" s="29" t="n"/>
      <c r="AY132" s="29" t="n"/>
      <c r="AZ132" s="29" t="n"/>
      <c r="BA132" s="29" t="n"/>
    </row>
    <row r="133">
      <c r="A133" s="29" t="n"/>
      <c r="B133" s="29" t="n"/>
      <c r="C133" s="29" t="n"/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  <c r="AA133" s="29" t="n"/>
      <c r="AB133" s="29" t="n"/>
      <c r="AC133" s="29" t="n"/>
      <c r="AD133" s="29" t="n"/>
      <c r="AE133" s="29" t="n"/>
      <c r="AF133" s="29" t="n"/>
      <c r="AG133" s="29" t="n"/>
      <c r="AH133" s="29" t="n"/>
      <c r="AI133" s="29" t="n"/>
      <c r="AJ133" s="29" t="n"/>
      <c r="AK133" s="29" t="n"/>
      <c r="AL133" s="29" t="n"/>
      <c r="AM133" s="29" t="n"/>
      <c r="AN133" s="29" t="n"/>
      <c r="AO133" s="29" t="n"/>
      <c r="AP133" s="29" t="n"/>
      <c r="AQ133" s="29" t="n"/>
      <c r="AR133" s="29" t="n"/>
      <c r="AS133" s="29" t="n"/>
      <c r="AT133" s="29" t="n"/>
      <c r="AU133" s="29" t="n"/>
      <c r="AV133" s="29" t="n"/>
      <c r="AW133" s="29" t="n"/>
      <c r="AX133" s="29" t="n"/>
      <c r="AY133" s="29" t="n"/>
      <c r="AZ133" s="29" t="n"/>
      <c r="BA133" s="29" t="n"/>
    </row>
    <row r="134">
      <c r="A134" s="29" t="n"/>
      <c r="B134" s="29" t="n"/>
      <c r="C134" s="29" t="n"/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  <c r="AA134" s="29" t="n"/>
      <c r="AB134" s="29" t="n"/>
      <c r="AC134" s="29" t="n"/>
      <c r="AD134" s="29" t="n"/>
      <c r="AE134" s="29" t="n"/>
      <c r="AF134" s="29" t="n"/>
      <c r="AG134" s="29" t="n"/>
      <c r="AH134" s="29" t="n"/>
      <c r="AI134" s="29" t="n"/>
      <c r="AJ134" s="29" t="n"/>
      <c r="AK134" s="29" t="n"/>
      <c r="AL134" s="29" t="n"/>
      <c r="AM134" s="29" t="n"/>
      <c r="AN134" s="29" t="n"/>
      <c r="AO134" s="29" t="n"/>
      <c r="AP134" s="29" t="n"/>
      <c r="AQ134" s="29" t="n"/>
      <c r="AR134" s="29" t="n"/>
      <c r="AS134" s="29" t="n"/>
      <c r="AT134" s="29" t="n"/>
      <c r="AU134" s="29" t="n"/>
      <c r="AV134" s="29" t="n"/>
      <c r="AW134" s="29" t="n"/>
      <c r="AX134" s="29" t="n"/>
      <c r="AY134" s="29" t="n"/>
      <c r="AZ134" s="29" t="n"/>
      <c r="BA134" s="29" t="n"/>
    </row>
    <row r="135">
      <c r="A135" s="29" t="n"/>
      <c r="B135" s="29" t="n"/>
      <c r="C135" s="29" t="n"/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  <c r="AA135" s="29" t="n"/>
      <c r="AB135" s="29" t="n"/>
      <c r="AC135" s="29" t="n"/>
      <c r="AD135" s="29" t="n"/>
      <c r="AE135" s="29" t="n"/>
      <c r="AF135" s="29" t="n"/>
      <c r="AG135" s="29" t="n"/>
      <c r="AH135" s="29" t="n"/>
      <c r="AI135" s="29" t="n"/>
      <c r="AJ135" s="29" t="n"/>
      <c r="AK135" s="29" t="n"/>
      <c r="AL135" s="29" t="n"/>
      <c r="AM135" s="29" t="n"/>
      <c r="AN135" s="29" t="n"/>
      <c r="AO135" s="29" t="n"/>
      <c r="AP135" s="29" t="n"/>
      <c r="AQ135" s="29" t="n"/>
      <c r="AR135" s="29" t="n"/>
      <c r="AS135" s="29" t="n"/>
      <c r="AT135" s="29" t="n"/>
      <c r="AU135" s="29" t="n"/>
      <c r="AV135" s="29" t="n"/>
      <c r="AW135" s="29" t="n"/>
      <c r="AX135" s="29" t="n"/>
      <c r="AY135" s="29" t="n"/>
      <c r="AZ135" s="29" t="n"/>
      <c r="BA135" s="29" t="n"/>
    </row>
    <row r="136">
      <c r="A136" s="29" t="n"/>
      <c r="B136" s="29" t="n"/>
      <c r="C136" s="29" t="n"/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  <c r="AA136" s="29" t="n"/>
      <c r="AB136" s="29" t="n"/>
      <c r="AC136" s="29" t="n"/>
      <c r="AD136" s="29" t="n"/>
      <c r="AE136" s="29" t="n"/>
      <c r="AF136" s="29" t="n"/>
      <c r="AG136" s="29" t="n"/>
      <c r="AH136" s="29" t="n"/>
      <c r="AI136" s="29" t="n"/>
      <c r="AJ136" s="29" t="n"/>
      <c r="AK136" s="29" t="n"/>
      <c r="AL136" s="29" t="n"/>
      <c r="AM136" s="29" t="n"/>
      <c r="AN136" s="29" t="n"/>
      <c r="AO136" s="29" t="n"/>
      <c r="AP136" s="29" t="n"/>
      <c r="AQ136" s="29" t="n"/>
      <c r="AR136" s="29" t="n"/>
      <c r="AS136" s="29" t="n"/>
      <c r="AT136" s="29" t="n"/>
      <c r="AU136" s="29" t="n"/>
      <c r="AV136" s="29" t="n"/>
      <c r="AW136" s="29" t="n"/>
      <c r="AX136" s="29" t="n"/>
      <c r="AY136" s="29" t="n"/>
      <c r="AZ136" s="29" t="n"/>
      <c r="BA136" s="29" t="n"/>
    </row>
    <row r="137">
      <c r="A137" s="29" t="n"/>
      <c r="B137" s="29" t="n"/>
      <c r="C137" s="29" t="n"/>
      <c r="D137" s="29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  <c r="AA137" s="29" t="n"/>
      <c r="AB137" s="29" t="n"/>
      <c r="AC137" s="29" t="n"/>
      <c r="AD137" s="29" t="n"/>
      <c r="AE137" s="29" t="n"/>
      <c r="AF137" s="29" t="n"/>
      <c r="AG137" s="29" t="n"/>
      <c r="AH137" s="29" t="n"/>
      <c r="AI137" s="29" t="n"/>
      <c r="AJ137" s="29" t="n"/>
      <c r="AK137" s="29" t="n"/>
      <c r="AL137" s="29" t="n"/>
      <c r="AM137" s="29" t="n"/>
      <c r="AN137" s="29" t="n"/>
      <c r="AO137" s="29" t="n"/>
      <c r="AP137" s="29" t="n"/>
      <c r="AQ137" s="29" t="n"/>
      <c r="AR137" s="29" t="n"/>
      <c r="AS137" s="29" t="n"/>
      <c r="AT137" s="29" t="n"/>
      <c r="AU137" s="29" t="n"/>
      <c r="AV137" s="29" t="n"/>
      <c r="AW137" s="29" t="n"/>
      <c r="AX137" s="29" t="n"/>
      <c r="AY137" s="29" t="n"/>
      <c r="AZ137" s="29" t="n"/>
      <c r="BA137" s="29" t="n"/>
    </row>
    <row r="138">
      <c r="A138" s="29" t="n"/>
      <c r="B138" s="29" t="n"/>
      <c r="C138" s="29" t="n"/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  <c r="AA138" s="29" t="n"/>
      <c r="AB138" s="29" t="n"/>
      <c r="AC138" s="29" t="n"/>
      <c r="AD138" s="29" t="n"/>
      <c r="AE138" s="29" t="n"/>
      <c r="AF138" s="29" t="n"/>
      <c r="AG138" s="29" t="n"/>
      <c r="AH138" s="29" t="n"/>
      <c r="AI138" s="29" t="n"/>
      <c r="AJ138" s="29" t="n"/>
      <c r="AK138" s="29" t="n"/>
      <c r="AL138" s="29" t="n"/>
      <c r="AM138" s="29" t="n"/>
      <c r="AN138" s="29" t="n"/>
      <c r="AO138" s="29" t="n"/>
      <c r="AP138" s="29" t="n"/>
      <c r="AQ138" s="29" t="n"/>
      <c r="AR138" s="29" t="n"/>
      <c r="AS138" s="29" t="n"/>
      <c r="AT138" s="29" t="n"/>
      <c r="AU138" s="29" t="n"/>
      <c r="AV138" s="29" t="n"/>
      <c r="AW138" s="29" t="n"/>
      <c r="AX138" s="29" t="n"/>
      <c r="AY138" s="29" t="n"/>
      <c r="AZ138" s="29" t="n"/>
      <c r="BA138" s="29" t="n"/>
    </row>
    <row r="139">
      <c r="A139" s="29" t="n"/>
      <c r="B139" s="29" t="n"/>
      <c r="C139" s="29" t="n"/>
      <c r="D139" s="29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  <c r="AA139" s="29" t="n"/>
      <c r="AB139" s="29" t="n"/>
      <c r="AC139" s="29" t="n"/>
      <c r="AD139" s="29" t="n"/>
      <c r="AE139" s="29" t="n"/>
      <c r="AF139" s="29" t="n"/>
      <c r="AG139" s="29" t="n"/>
      <c r="AH139" s="29" t="n"/>
      <c r="AI139" s="29" t="n"/>
      <c r="AJ139" s="29" t="n"/>
      <c r="AK139" s="29" t="n"/>
      <c r="AL139" s="29" t="n"/>
      <c r="AM139" s="29" t="n"/>
      <c r="AN139" s="29" t="n"/>
      <c r="AO139" s="29" t="n"/>
      <c r="AP139" s="29" t="n"/>
      <c r="AQ139" s="29" t="n"/>
      <c r="AR139" s="29" t="n"/>
      <c r="AS139" s="29" t="n"/>
      <c r="AT139" s="29" t="n"/>
      <c r="AU139" s="29" t="n"/>
      <c r="AV139" s="29" t="n"/>
      <c r="AW139" s="29" t="n"/>
      <c r="AX139" s="29" t="n"/>
      <c r="AY139" s="29" t="n"/>
      <c r="AZ139" s="29" t="n"/>
      <c r="BA139" s="29" t="n"/>
    </row>
    <row r="140">
      <c r="A140" s="29" t="n"/>
      <c r="B140" s="29" t="n"/>
      <c r="C140" s="29" t="n"/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  <c r="AA140" s="29" t="n"/>
      <c r="AB140" s="29" t="n"/>
      <c r="AC140" s="29" t="n"/>
      <c r="AD140" s="29" t="n"/>
      <c r="AE140" s="29" t="n"/>
      <c r="AF140" s="29" t="n"/>
      <c r="AG140" s="29" t="n"/>
      <c r="AH140" s="29" t="n"/>
      <c r="AI140" s="29" t="n"/>
      <c r="AJ140" s="29" t="n"/>
      <c r="AK140" s="29" t="n"/>
      <c r="AL140" s="29" t="n"/>
      <c r="AM140" s="29" t="n"/>
      <c r="AN140" s="29" t="n"/>
      <c r="AO140" s="29" t="n"/>
      <c r="AP140" s="29" t="n"/>
      <c r="AQ140" s="29" t="n"/>
      <c r="AR140" s="29" t="n"/>
      <c r="AS140" s="29" t="n"/>
      <c r="AT140" s="29" t="n"/>
      <c r="AU140" s="29" t="n"/>
      <c r="AV140" s="29" t="n"/>
      <c r="AW140" s="29" t="n"/>
      <c r="AX140" s="29" t="n"/>
      <c r="AY140" s="29" t="n"/>
      <c r="AZ140" s="29" t="n"/>
      <c r="BA140" s="29" t="n"/>
    </row>
    <row r="141">
      <c r="A141" s="29" t="n"/>
      <c r="B141" s="29" t="n"/>
      <c r="C141" s="29" t="n"/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  <c r="AA141" s="29" t="n"/>
      <c r="AB141" s="29" t="n"/>
      <c r="AC141" s="29" t="n"/>
      <c r="AD141" s="29" t="n"/>
      <c r="AE141" s="29" t="n"/>
      <c r="AF141" s="29" t="n"/>
      <c r="AG141" s="29" t="n"/>
      <c r="AH141" s="29" t="n"/>
      <c r="AI141" s="29" t="n"/>
      <c r="AJ141" s="29" t="n"/>
      <c r="AK141" s="29" t="n"/>
      <c r="AL141" s="29" t="n"/>
      <c r="AM141" s="29" t="n"/>
      <c r="AN141" s="29" t="n"/>
      <c r="AO141" s="29" t="n"/>
      <c r="AP141" s="29" t="n"/>
      <c r="AQ141" s="29" t="n"/>
      <c r="AR141" s="29" t="n"/>
      <c r="AS141" s="29" t="n"/>
      <c r="AT141" s="29" t="n"/>
      <c r="AU141" s="29" t="n"/>
      <c r="AV141" s="29" t="n"/>
      <c r="AW141" s="29" t="n"/>
      <c r="AX141" s="29" t="n"/>
      <c r="AY141" s="29" t="n"/>
      <c r="AZ141" s="29" t="n"/>
      <c r="BA141" s="29" t="n"/>
    </row>
    <row r="142">
      <c r="A142" s="29" t="n"/>
      <c r="B142" s="29" t="n"/>
      <c r="C142" s="29" t="n"/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  <c r="AA142" s="29" t="n"/>
      <c r="AB142" s="29" t="n"/>
      <c r="AC142" s="29" t="n"/>
      <c r="AD142" s="29" t="n"/>
      <c r="AE142" s="29" t="n"/>
      <c r="AF142" s="29" t="n"/>
      <c r="AG142" s="29" t="n"/>
      <c r="AH142" s="29" t="n"/>
      <c r="AI142" s="29" t="n"/>
      <c r="AJ142" s="29" t="n"/>
      <c r="AK142" s="29" t="n"/>
      <c r="AL142" s="29" t="n"/>
      <c r="AM142" s="29" t="n"/>
      <c r="AN142" s="29" t="n"/>
      <c r="AO142" s="29" t="n"/>
      <c r="AP142" s="29" t="n"/>
      <c r="AQ142" s="29" t="n"/>
      <c r="AR142" s="29" t="n"/>
      <c r="AS142" s="29" t="n"/>
      <c r="AT142" s="29" t="n"/>
      <c r="AU142" s="29" t="n"/>
      <c r="AV142" s="29" t="n"/>
      <c r="AW142" s="29" t="n"/>
      <c r="AX142" s="29" t="n"/>
      <c r="AY142" s="29" t="n"/>
      <c r="AZ142" s="29" t="n"/>
      <c r="BA142" s="29" t="n"/>
    </row>
    <row r="143">
      <c r="A143" s="29" t="n"/>
      <c r="B143" s="29" t="n"/>
      <c r="C143" s="29" t="n"/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  <c r="AA143" s="29" t="n"/>
      <c r="AB143" s="29" t="n"/>
      <c r="AC143" s="29" t="n"/>
      <c r="AD143" s="29" t="n"/>
      <c r="AE143" s="29" t="n"/>
      <c r="AF143" s="29" t="n"/>
      <c r="AG143" s="29" t="n"/>
      <c r="AH143" s="29" t="n"/>
      <c r="AI143" s="29" t="n"/>
      <c r="AJ143" s="29" t="n"/>
      <c r="AK143" s="29" t="n"/>
      <c r="AL143" s="29" t="n"/>
      <c r="AM143" s="29" t="n"/>
      <c r="AN143" s="29" t="n"/>
      <c r="AO143" s="29" t="n"/>
      <c r="AP143" s="29" t="n"/>
      <c r="AQ143" s="29" t="n"/>
      <c r="AR143" s="29" t="n"/>
      <c r="AS143" s="29" t="n"/>
      <c r="AT143" s="29" t="n"/>
      <c r="AU143" s="29" t="n"/>
      <c r="AV143" s="29" t="n"/>
      <c r="AW143" s="29" t="n"/>
      <c r="AX143" s="29" t="n"/>
      <c r="AY143" s="29" t="n"/>
      <c r="AZ143" s="29" t="n"/>
      <c r="BA143" s="29" t="n"/>
    </row>
    <row r="144">
      <c r="A144" s="29" t="n"/>
      <c r="B144" s="29" t="n"/>
      <c r="C144" s="29" t="n"/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  <c r="AA144" s="29" t="n"/>
      <c r="AB144" s="29" t="n"/>
      <c r="AC144" s="29" t="n"/>
      <c r="AD144" s="29" t="n"/>
      <c r="AE144" s="29" t="n"/>
      <c r="AF144" s="29" t="n"/>
      <c r="AG144" s="29" t="n"/>
      <c r="AH144" s="29" t="n"/>
      <c r="AI144" s="29" t="n"/>
      <c r="AJ144" s="29" t="n"/>
      <c r="AK144" s="29" t="n"/>
      <c r="AL144" s="29" t="n"/>
      <c r="AM144" s="29" t="n"/>
      <c r="AN144" s="29" t="n"/>
      <c r="AO144" s="29" t="n"/>
      <c r="AP144" s="29" t="n"/>
      <c r="AQ144" s="29" t="n"/>
      <c r="AR144" s="29" t="n"/>
      <c r="AS144" s="29" t="n"/>
      <c r="AT144" s="29" t="n"/>
      <c r="AU144" s="29" t="n"/>
      <c r="AV144" s="29" t="n"/>
      <c r="AW144" s="29" t="n"/>
      <c r="AX144" s="29" t="n"/>
      <c r="AY144" s="29" t="n"/>
      <c r="AZ144" s="29" t="n"/>
      <c r="BA144" s="29" t="n"/>
    </row>
    <row r="145">
      <c r="A145" s="29" t="n"/>
      <c r="B145" s="29" t="n"/>
      <c r="C145" s="29" t="n"/>
      <c r="D145" s="29" t="n"/>
      <c r="E145" s="29" t="n"/>
      <c r="F145" s="29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  <c r="AA145" s="29" t="n"/>
      <c r="AB145" s="29" t="n"/>
      <c r="AC145" s="29" t="n"/>
      <c r="AD145" s="29" t="n"/>
      <c r="AE145" s="29" t="n"/>
      <c r="AF145" s="29" t="n"/>
      <c r="AG145" s="29" t="n"/>
      <c r="AH145" s="29" t="n"/>
      <c r="AI145" s="29" t="n"/>
      <c r="AJ145" s="29" t="n"/>
      <c r="AK145" s="29" t="n"/>
      <c r="AL145" s="29" t="n"/>
      <c r="AM145" s="29" t="n"/>
      <c r="AN145" s="29" t="n"/>
      <c r="AO145" s="29" t="n"/>
      <c r="AP145" s="29" t="n"/>
      <c r="AQ145" s="29" t="n"/>
      <c r="AR145" s="29" t="n"/>
      <c r="AS145" s="29" t="n"/>
      <c r="AT145" s="29" t="n"/>
      <c r="AU145" s="29" t="n"/>
      <c r="AV145" s="29" t="n"/>
      <c r="AW145" s="29" t="n"/>
      <c r="AX145" s="29" t="n"/>
      <c r="AY145" s="29" t="n"/>
      <c r="AZ145" s="29" t="n"/>
      <c r="BA145" s="29" t="n"/>
    </row>
    <row r="146">
      <c r="A146" s="29" t="n"/>
      <c r="B146" s="29" t="n"/>
      <c r="C146" s="29" t="n"/>
      <c r="D146" s="29" t="n"/>
      <c r="E146" s="29" t="n"/>
      <c r="F146" s="29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  <c r="AA146" s="29" t="n"/>
      <c r="AB146" s="29" t="n"/>
      <c r="AC146" s="29" t="n"/>
      <c r="AD146" s="29" t="n"/>
      <c r="AE146" s="29" t="n"/>
      <c r="AF146" s="29" t="n"/>
      <c r="AG146" s="29" t="n"/>
      <c r="AH146" s="29" t="n"/>
      <c r="AI146" s="29" t="n"/>
      <c r="AJ146" s="29" t="n"/>
      <c r="AK146" s="29" t="n"/>
      <c r="AL146" s="29" t="n"/>
      <c r="AM146" s="29" t="n"/>
      <c r="AN146" s="29" t="n"/>
      <c r="AO146" s="29" t="n"/>
      <c r="AP146" s="29" t="n"/>
      <c r="AQ146" s="29" t="n"/>
      <c r="AR146" s="29" t="n"/>
      <c r="AS146" s="29" t="n"/>
      <c r="AT146" s="29" t="n"/>
      <c r="AU146" s="29" t="n"/>
      <c r="AV146" s="29" t="n"/>
      <c r="AW146" s="29" t="n"/>
      <c r="AX146" s="29" t="n"/>
      <c r="AY146" s="29" t="n"/>
      <c r="AZ146" s="29" t="n"/>
      <c r="BA146" s="29" t="n"/>
    </row>
    <row r="147">
      <c r="A147" s="29" t="n"/>
      <c r="B147" s="29" t="n"/>
      <c r="C147" s="29" t="n"/>
      <c r="D147" s="29" t="n"/>
      <c r="E147" s="29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  <c r="AB147" s="29" t="n"/>
      <c r="AC147" s="29" t="n"/>
      <c r="AD147" s="29" t="n"/>
      <c r="AE147" s="29" t="n"/>
      <c r="AF147" s="29" t="n"/>
      <c r="AG147" s="29" t="n"/>
      <c r="AH147" s="29" t="n"/>
      <c r="AI147" s="29" t="n"/>
      <c r="AJ147" s="29" t="n"/>
      <c r="AK147" s="29" t="n"/>
      <c r="AL147" s="29" t="n"/>
      <c r="AM147" s="29" t="n"/>
      <c r="AN147" s="29" t="n"/>
      <c r="AO147" s="29" t="n"/>
      <c r="AP147" s="29" t="n"/>
      <c r="AQ147" s="29" t="n"/>
      <c r="AR147" s="29" t="n"/>
      <c r="AS147" s="29" t="n"/>
      <c r="AT147" s="29" t="n"/>
      <c r="AU147" s="29" t="n"/>
      <c r="AV147" s="29" t="n"/>
      <c r="AW147" s="29" t="n"/>
      <c r="AX147" s="29" t="n"/>
      <c r="AY147" s="29" t="n"/>
      <c r="AZ147" s="29" t="n"/>
      <c r="BA147" s="29" t="n"/>
    </row>
    <row r="148">
      <c r="A148" s="29" t="n"/>
      <c r="B148" s="29" t="n"/>
      <c r="C148" s="29" t="n"/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  <c r="AA148" s="29" t="n"/>
      <c r="AB148" s="29" t="n"/>
      <c r="AC148" s="29" t="n"/>
      <c r="AD148" s="29" t="n"/>
      <c r="AE148" s="29" t="n"/>
      <c r="AF148" s="29" t="n"/>
      <c r="AG148" s="29" t="n"/>
      <c r="AH148" s="29" t="n"/>
      <c r="AI148" s="29" t="n"/>
      <c r="AJ148" s="29" t="n"/>
      <c r="AK148" s="29" t="n"/>
      <c r="AL148" s="29" t="n"/>
      <c r="AM148" s="29" t="n"/>
      <c r="AN148" s="29" t="n"/>
      <c r="AO148" s="29" t="n"/>
      <c r="AP148" s="29" t="n"/>
      <c r="AQ148" s="29" t="n"/>
      <c r="AR148" s="29" t="n"/>
      <c r="AS148" s="29" t="n"/>
      <c r="AT148" s="29" t="n"/>
      <c r="AU148" s="29" t="n"/>
      <c r="AV148" s="29" t="n"/>
      <c r="AW148" s="29" t="n"/>
      <c r="AX148" s="29" t="n"/>
      <c r="AY148" s="29" t="n"/>
      <c r="AZ148" s="29" t="n"/>
      <c r="BA148" s="29" t="n"/>
    </row>
    <row r="149">
      <c r="A149" s="29" t="n"/>
      <c r="B149" s="29" t="n"/>
      <c r="C149" s="29" t="n"/>
      <c r="D149" s="29" t="n"/>
      <c r="E149" s="29" t="n"/>
      <c r="F149" s="29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  <c r="AA149" s="29" t="n"/>
      <c r="AB149" s="29" t="n"/>
      <c r="AC149" s="29" t="n"/>
      <c r="AD149" s="29" t="n"/>
      <c r="AE149" s="29" t="n"/>
      <c r="AF149" s="29" t="n"/>
      <c r="AG149" s="29" t="n"/>
      <c r="AH149" s="29" t="n"/>
      <c r="AI149" s="29" t="n"/>
      <c r="AJ149" s="29" t="n"/>
      <c r="AK149" s="29" t="n"/>
      <c r="AL149" s="29" t="n"/>
      <c r="AM149" s="29" t="n"/>
      <c r="AN149" s="29" t="n"/>
      <c r="AO149" s="29" t="n"/>
      <c r="AP149" s="29" t="n"/>
      <c r="AQ149" s="29" t="n"/>
      <c r="AR149" s="29" t="n"/>
      <c r="AS149" s="29" t="n"/>
      <c r="AT149" s="29" t="n"/>
      <c r="AU149" s="29" t="n"/>
      <c r="AV149" s="29" t="n"/>
      <c r="AW149" s="29" t="n"/>
      <c r="AX149" s="29" t="n"/>
      <c r="AY149" s="29" t="n"/>
      <c r="AZ149" s="29" t="n"/>
      <c r="BA149" s="29" t="n"/>
    </row>
  </sheetData>
  <mergeCells count="2">
    <mergeCell ref="D2:L2"/>
    <mergeCell ref="D1:L1"/>
  </mergeCells>
  <conditionalFormatting sqref="D3:D74">
    <cfRule type="containsText" priority="1" operator="containsText" dxfId="1" stopIfTrue="1" text="No matches found">
      <formula>NOT(ISERROR(SEARCH("No matches found",D3)))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R77"/>
  <sheetViews>
    <sheetView zoomScale="138" workbookViewId="0">
      <selection activeCell="C6" sqref="C6"/>
    </sheetView>
  </sheetViews>
  <sheetFormatPr baseColWidth="10" defaultColWidth="11" defaultRowHeight="16"/>
  <cols>
    <col width="14.5" bestFit="1" customWidth="1" min="1" max="1"/>
    <col width="30.33203125" bestFit="1" customWidth="1" min="2" max="2"/>
    <col width="18.33203125" bestFit="1" customWidth="1" min="3" max="3"/>
    <col width="22.6640625" bestFit="1" customWidth="1" min="4" max="4"/>
    <col width="34.6640625" bestFit="1" customWidth="1" min="5" max="13"/>
    <col width="38" bestFit="1" customWidth="1" min="14" max="14"/>
  </cols>
  <sheetData>
    <row r="1">
      <c r="A1" s="47" t="inlineStr">
        <is>
          <t>Archetype Code</t>
        </is>
      </c>
      <c r="B1" s="47" t="inlineStr">
        <is>
          <t>Multiple Exterior Wall defenitions?</t>
        </is>
      </c>
      <c r="C1" s="47" t="inlineStr">
        <is>
          <t>Roof Element</t>
        </is>
      </c>
      <c r="D1" s="47" t="inlineStr">
        <is>
          <t>Top Floor Element</t>
        </is>
      </c>
      <c r="E1" s="47" t="inlineStr">
        <is>
          <t>Intermediate Floor Element</t>
        </is>
      </c>
      <c r="F1" s="47" t="inlineStr">
        <is>
          <t>Ground Floor Element</t>
        </is>
      </c>
      <c r="G1" s="47" t="inlineStr">
        <is>
          <t>Basement Floor Element</t>
        </is>
      </c>
      <c r="H1" s="47" t="inlineStr">
        <is>
          <t>Exterior Wall Element</t>
        </is>
      </c>
      <c r="I1" s="47" t="inlineStr">
        <is>
          <t>Exterior Wall Low Element</t>
        </is>
      </c>
      <c r="J1" s="47" t="inlineStr">
        <is>
          <t>Exterior Wall Medium Element</t>
        </is>
      </c>
      <c r="K1" s="47" t="inlineStr">
        <is>
          <t>Exterior Wall High Element</t>
        </is>
      </c>
      <c r="L1" s="47" t="inlineStr">
        <is>
          <t>Basement Wall Element</t>
        </is>
      </c>
      <c r="M1" s="47" t="inlineStr">
        <is>
          <t>Interior Wall Loadbearing Element</t>
        </is>
      </c>
      <c r="N1" s="47" t="inlineStr">
        <is>
          <t>Interior Wall Non Loadbearing Element</t>
        </is>
      </c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I1" s="29" t="n"/>
      <c r="AJ1" s="29" t="n"/>
      <c r="AK1" s="29" t="n"/>
      <c r="AL1" s="29" t="n"/>
      <c r="AM1" s="29" t="n"/>
      <c r="AN1" s="29" t="n"/>
      <c r="AO1" s="29" t="n"/>
      <c r="AP1" s="29" t="n"/>
      <c r="AQ1" s="29" t="n"/>
      <c r="AR1" s="29" t="n"/>
    </row>
    <row r="2" ht="51" customHeight="1">
      <c r="A2" s="58" t="inlineStr">
        <is>
          <t>Code for the the archteype</t>
        </is>
      </c>
      <c r="B2" s="58" t="inlineStr">
        <is>
          <t>Yes if the archetype should a have exterior wall defenitions based on no. floors</t>
        </is>
      </c>
      <c r="C2" s="58" t="inlineStr">
        <is>
          <t>The roof element that should be used for th archetype</t>
        </is>
      </c>
      <c r="D2" s="58" t="inlineStr">
        <is>
          <t>The top floor element that should be used for th archetype</t>
        </is>
      </c>
      <c r="E2" s="58" t="inlineStr">
        <is>
          <t>The intermediate floor element that should be used for th archetype</t>
        </is>
      </c>
      <c r="F2" s="58" t="inlineStr">
        <is>
          <t>The ground floor element that should be used for th archetype</t>
        </is>
      </c>
      <c r="G2" s="59" t="inlineStr">
        <is>
          <t>The basement floor element that should be used for th archetype</t>
        </is>
      </c>
      <c r="H2" s="59" t="inlineStr">
        <is>
          <t>The exterior wall element that should be used for the archetype</t>
        </is>
      </c>
      <c r="I2" s="59" t="inlineStr">
        <is>
          <t>The exterior wall element that should be used for the archetype</t>
        </is>
      </c>
      <c r="J2" s="59" t="inlineStr">
        <is>
          <t>The exterior wall element that should be used for the archetype</t>
        </is>
      </c>
      <c r="K2" s="59" t="inlineStr">
        <is>
          <t>The exterior wall element that should be used for the archetype</t>
        </is>
      </c>
      <c r="L2" s="59" t="inlineStr">
        <is>
          <t>The basement wall element that should be used for th archetype</t>
        </is>
      </c>
      <c r="M2" s="59" t="inlineStr">
        <is>
          <t>The interior wall loadbearing element that should be used for th archetype</t>
        </is>
      </c>
      <c r="N2" s="59" t="inlineStr">
        <is>
          <t>The interior wall non loadbearing element that should be used for th archetype</t>
        </is>
      </c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  <c r="AH2" s="29" t="n"/>
      <c r="AI2" s="29" t="n"/>
      <c r="AJ2" s="29" t="n"/>
      <c r="AK2" s="29" t="n"/>
      <c r="AL2" s="29" t="n"/>
      <c r="AM2" s="29" t="n"/>
      <c r="AN2" s="29" t="n"/>
      <c r="AO2" s="29" t="n"/>
      <c r="AP2" s="29" t="n"/>
      <c r="AQ2" s="29" t="n"/>
      <c r="AR2" s="29" t="n"/>
    </row>
    <row r="3">
      <c r="A3" s="1" t="inlineStr">
        <is>
          <t>CMF_1940_1</t>
        </is>
      </c>
      <c r="B3" s="65" t="inlineStr">
        <is>
          <t>No</t>
        </is>
      </c>
      <c r="C3" s="76">
        <f t="array" ref="C3">IF(
COUNTIFS(Elements!$A$3:$A$300,"*"&amp;Building!A3&amp;"*",Elements!$B$3:$B$300,"ROOF",Elements!$D$3:$D$300,"No matches found")&gt;0,
"No components assigned to this element",
IFERROR(
_xlfn._xlws.FILTER(Elements!$A$3:$A$300,(ISNUMBER(SEARCH(Building!A3,Elements!$A$3:$A$300)))*(Elements!$B$3:$B$300="ROOF")),
"No match"
))</f>
        <v/>
      </c>
      <c r="D3" s="76">
        <f t="array" ref="D3">IF(
COUNTIFS(Elements!$A$3:$A$300,"*"&amp;Building!A3&amp;"*",Elements!$B$3:$B$300,"TOP_FLOOR",Elements!$D$3:$D$300,"No matches found")&gt;0,
"No components assigned to this element",
IFERROR(
_xlfn._xlws.FILTER(Elements!$A$3:$A$300,(ISNUMBER(SEARCH(Building!A3,Elements!$A$3:$A$300)))*(Elements!$B$3:$B$300="TOP_FLOOR")),
"No match"
))</f>
        <v/>
      </c>
      <c r="E3" s="76">
        <f t="array" ref="E3">IF(
COUNTIFS(Elements!$A$3:$A$300,"*"&amp;Building!A3&amp;"*",Elements!$B$3:$B$300,"INTERMEDIATE_FLOOR",Elements!$D$3:$D$300,"No matches found")&gt;0,
"No components assigned to this element",
IFERROR(
_xlfn._xlws.FILTER(Elements!$A$3:$A$300,(ISNUMBER(SEARCH(Building!A3,Elements!$A$3:$A$300)))*(Elements!$B$3:$B$300="INTERMEDIATE_FLOOR")),
"No match"
))</f>
        <v/>
      </c>
      <c r="F3" s="76">
        <f t="array" ref="F3">IF(
COUNTIFS(Elements!$A$3:$A$300,"*"&amp;Building!A3&amp;"*",Elements!$B$3:$B$300,"GROUND_FLOOR",Elements!$D$3:$D$300,"No matches found")&gt;0,
"No components assigned to this element",
IFERROR(
_xlfn._xlws.FILTER(Elements!$A$3:$A$300,(ISNUMBER(SEARCH(Building!A3,Elements!$A$3:$A$300)))*(Elements!$B$3:$B$300="GROUND_FLOOR")),
"No match"
))</f>
        <v/>
      </c>
      <c r="G3" s="76">
        <f t="array" ref="G3">IF(
COUNTIFS(Elements!$A$3:$A$300,"*"&amp;Building!A3&amp;"*",Elements!$B$3:$B$300,"BASEMENT_FLOOR",Elements!$D$3:$D$300,"No matches found")&gt;0,
"No components assigned to this element",
IFERROR(
_xlfn._xlws.FILTER(Elements!$A$3:$A$300,(ISNUMBER(SEARCH(Building!A3,Elements!$A$3:$A$300)))*(Elements!$B$3:$B$300="BASEMENT_FLOOR")),
"No match"
))</f>
        <v/>
      </c>
      <c r="H3" s="76">
        <f t="array" ref="H3">_xlfn.LET(
_xlpm.x,
IF(
COUNTIFS(Elements!$A$3:$A$300,"*"&amp;Building!A3&amp;"*",Elements!$B$3:$B$300,"EXT_WALL",Elements!$D$3:$D$300,"No matches found")&gt;0,
"No components assigned to this element",
IFERROR(
_xlfn._xlws.FILTER(Elements!$A$3:$A$300,(ISNUMBER(SEARCH(Building!A3,Elements!$A$3:$A$300)))*(Elements!$B$3:$B$300="EXT_WALL")),
"No match"
)
),
IF((_xlpm.x="No components assigned to this element")*(B3="Yes"),"Not required",_xlpm.x)
)</f>
        <v/>
      </c>
      <c r="I3" s="76">
        <f t="array" ref="I3">_xlfn.LET(
_xlpm.x,
IF(
COUNTIFS(Elements!$A$3:$A$300,"*"&amp;Building!A3&amp;"*",Elements!$B$3:$B$300,"EXT_WALL_LOW",Elements!$D$3:$D$300,"No matches found")&gt;0,
"No components assigned to this element",
IFERROR(
_xlfn._xlws.FILTER(Elements!$A$3:$A$300,(ISNUMBER(SEARCH(Building!A3,Elements!$A$3:$A$300)))*(Elements!$B$3:$B$300="EXT_WALL_LOW")),
"No match"
)
),
IF((_xlpm.x="No components assigned to this element")*(B3="No"),"Not required",_xlpm.x)
)</f>
        <v/>
      </c>
      <c r="J3" s="76">
        <f t="array" ref="J3">_xlfn.LET(
_xlpm.x,
IF(
COUNTIFS(Elements!$A$3:$A$300,"*"&amp;Building!A3&amp;"*",Elements!$B$3:$B$300,"EXT_WALL_MEDIUM",Elements!$D$3:$D$300,"No matches found")&gt;0,
"No components assigned to this element",
IFERROR(
_xlfn._xlws.FILTER(Elements!$A$3:$A$300,(ISNUMBER(SEARCH(Building!A3,Elements!$A$3:$A$300)))*(Elements!$B$3:$B$300="EXT_WALL_MEDIUM")),
"No match"
)
),
IF((_xlpm.x="No components assigned to this element")*(B3="No"),"Not required",_xlpm.x))</f>
        <v/>
      </c>
      <c r="K3" s="76">
        <f t="array" ref="K3">_xlfn.LET(
_xlpm.x,
IF(
COUNTIFS(Elements!$A$3:$A$300,"*"&amp;Building!A3&amp;"*",Elements!$B$3:$B$300,"EXT_WALL_HIGH",Elements!$D$3:$D$300,"No matches found")&gt;0,
"No components assigned to this element",
IFERROR(
_xlfn._xlws.FILTER(Elements!$A$3:$A$300,(ISNUMBER(SEARCH(Building!A3,Elements!$A$3:$A$300)))*(Elements!$B$3:$B$300="EXT_WALL_HIGH")),
"No match"
)
),
IF((_xlpm.x="No components assigned to this element")*(B3="No"),"Not required",_xlpm.x))</f>
        <v/>
      </c>
      <c r="L3" s="76">
        <f t="array" ref="L3">IF(
COUNTIFS(Elements!$A$3:$A$300,"*"&amp;Building!A3&amp;"*",Elements!$B$3:$B$300,"BASEMENT_WALL",Elements!$D$3:$D$300,"No matches found")&gt;0,
"No components assigned to this element",
IFERROR(
_xlfn._xlws.FILTER(Elements!$A$3:$A$300,(ISNUMBER(SEARCH(Building!A3,Elements!$A$3:$A$300)))*(Elements!$B$3:$B$300="BASEMENT_WALL")),
"No match"
))</f>
        <v/>
      </c>
      <c r="M3" s="76">
        <f t="array" ref="M3">IF(
COUNTIFS(Elements!$A$3:$A$300,"*"&amp;Building!A3&amp;"*",Elements!$B$3:$B$300,"INT_WALL_LOADBEARING",Elements!$D$3:$D$300,"No matches found")&gt;0,
"No components assigned to this element",
IFERROR(
_xlfn._xlws.FILTER(Elements!$A$3:$A$300,(ISNUMBER(SEARCH(Building!A3,Elements!$A$3:$A$300)))*(Elements!$B$3:$B$300="INT_WALL_LOADBEARING")),
"No match"
))</f>
        <v/>
      </c>
      <c r="N3" s="76">
        <f t="array" ref="N3">IF(
COUNTIFS(Elements!$A$3:$A$300,"*"&amp;Building!A3&amp;"*",Elements!$B$3:$B$300,"INT_WALL_NONLOADBEARING",Elements!$D$3:$D$300,"No matches found")&gt;0,
"No components assigned to this element",
IFERROR(
_xlfn._xlws.FILTER(Elements!$A$3:$A$300,(ISNUMBER(SEARCH(Building!A3,Elements!$A$3:$A$300)))*(Elements!$B$3:$B$300="INT_WALL_NONLOADBEARING")),
"No match"
))</f>
        <v/>
      </c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</row>
    <row r="4">
      <c r="A4" s="1" t="inlineStr">
        <is>
          <t>CMF_1950</t>
        </is>
      </c>
      <c r="B4" s="65" t="inlineStr">
        <is>
          <t>Yes</t>
        </is>
      </c>
      <c r="C4" s="76">
        <f t="array" ref="C4">IF(
COUNTIFS(Elements!$A$3:$A$300,"*"&amp;Building!A4&amp;"*",Elements!$B$3:$B$300,"ROOF",Elements!$D$3:$D$300,"No matches found")&gt;0,
"No components assigned to this element",
IFERROR(
_xlfn._xlws.FILTER(Elements!$A$3:$A$300,(ISNUMBER(SEARCH(Building!A4,Elements!$A$3:$A$300)))*(Elements!$B$3:$B$300="ROOF")),
"No match"
))</f>
        <v/>
      </c>
      <c r="D4" s="76">
        <f t="array" ref="D4">IF(
COUNTIFS(Elements!$A$3:$A$300,"*"&amp;Building!A4&amp;"*",Elements!$B$3:$B$300,"TOP_FLOOR",Elements!$D$3:$D$300,"No matches found")&gt;0,
"No components assigned to this element",
IFERROR(
_xlfn._xlws.FILTER(Elements!$A$3:$A$300,(ISNUMBER(SEARCH(Building!A4,Elements!$A$3:$A$300)))*(Elements!$B$3:$B$300="TOP_FLOOR")),
"No match"
))</f>
        <v/>
      </c>
      <c r="E4" s="76">
        <f t="array" ref="E4">IF(
COUNTIFS(Elements!$A$3:$A$300,"*"&amp;Building!A4&amp;"*",Elements!$B$3:$B$300,"INTERMEDIATE_FLOOR",Elements!$D$3:$D$300,"No matches found")&gt;0,
"No components assigned to this element",
IFERROR(
_xlfn._xlws.FILTER(Elements!$A$3:$A$300,(ISNUMBER(SEARCH(Building!A4,Elements!$A$3:$A$300)))*(Elements!$B$3:$B$300="INTERMEDIATE_FLOOR")),
"No match"
))</f>
        <v/>
      </c>
      <c r="F4" s="76">
        <f t="array" ref="F4">IF(
COUNTIFS(Elements!$A$3:$A$300,"*"&amp;Building!A4&amp;"*",Elements!$B$3:$B$300,"GROUND_FLOOR",Elements!$D$3:$D$300,"No matches found")&gt;0,
"No components assigned to this element",
IFERROR(
_xlfn._xlws.FILTER(Elements!$A$3:$A$300,(ISNUMBER(SEARCH(Building!A4,Elements!$A$3:$A$300)))*(Elements!$B$3:$B$300="GROUND_FLOOR")),
"No match"
))</f>
        <v/>
      </c>
      <c r="G4" s="76">
        <f t="array" ref="G4">IF(
COUNTIFS(Elements!$A$3:$A$300,"*"&amp;Building!A4&amp;"*",Elements!$B$3:$B$300,"BASEMENT_FLOOR",Elements!$D$3:$D$300,"No matches found")&gt;0,
"No components assigned to this element",
IFERROR(
_xlfn._xlws.FILTER(Elements!$A$3:$A$300,(ISNUMBER(SEARCH(Building!A4,Elements!$A$3:$A$300)))*(Elements!$B$3:$B$300="BASEMENT_FLOOR")),
"No match"
))</f>
        <v/>
      </c>
      <c r="H4" s="76">
        <f t="array" ref="H4">_xlfn.LET(
_xlpm.x,
IF(
COUNTIFS(Elements!$A$3:$A$300,"*"&amp;Building!A4&amp;"*",Elements!$B$3:$B$300,"EXT_WALL",Elements!$D$3:$D$300,"No matches found")&gt;0,
"No components assigned to this element",
IFERROR(
_xlfn._xlws.FILTER(Elements!$A$3:$A$300,(ISNUMBER(SEARCH(Building!A4,Elements!$A$3:$A$300)))*(Elements!$B$3:$B$300="EXT_WALL")),
"No match"
)
),
IF((_xlpm.x="No components assigned to this element")*(B4="Yes"),"Not required",_xlpm.x)
)</f>
        <v/>
      </c>
      <c r="I4" s="76">
        <f t="array" ref="I4">_xlfn.LET(
_xlpm.x,
IF(
COUNTIFS(Elements!$A$3:$A$300,"*"&amp;Building!A4&amp;"*",Elements!$B$3:$B$300,"EXT_WALL_LOW",Elements!$D$3:$D$300,"No matches found")&gt;0,
"No components assigned to this element",
IFERROR(
_xlfn._xlws.FILTER(Elements!$A$3:$A$300,(ISNUMBER(SEARCH(Building!A4,Elements!$A$3:$A$300)))*(Elements!$B$3:$B$300="EXT_WALL_LOW")),
"No match"
)
),
IF((_xlpm.x="No components assigned to this element")*(B4="No"),"Not required",_xlpm.x)
)</f>
        <v/>
      </c>
      <c r="J4" s="76">
        <f t="array" ref="J4">_xlfn.LET(
_xlpm.x,
IF(
COUNTIFS(Elements!$A$3:$A$300,"*"&amp;Building!A4&amp;"*",Elements!$B$3:$B$300,"EXT_WALL_MEDIUM",Elements!$D$3:$D$300,"No matches found")&gt;0,
"No components assigned to this element",
IFERROR(
_xlfn._xlws.FILTER(Elements!$A$3:$A$300,(ISNUMBER(SEARCH(Building!A4,Elements!$A$3:$A$300)))*(Elements!$B$3:$B$300="EXT_WALL_MEDIUM")),
"No match"
)
),
IF((_xlpm.x="No components assigned to this element")*(B4="No"),"Not required",_xlpm.x))</f>
        <v/>
      </c>
      <c r="K4" s="76">
        <f t="array" ref="K4">_xlfn.LET(
_xlpm.x,
IF(
COUNTIFS(Elements!$A$3:$A$300,"*"&amp;Building!A4&amp;"*",Elements!$B$3:$B$300,"EXT_WALL_HIGH",Elements!$D$3:$D$300,"No matches found")&gt;0,
"No components assigned to this element",
IFERROR(
_xlfn._xlws.FILTER(Elements!$A$3:$A$300,(ISNUMBER(SEARCH(Building!A4,Elements!$A$3:$A$300)))*(Elements!$B$3:$B$300="EXT_WALL_HIGH")),
"No match"
)
),
IF((_xlpm.x="No components assigned to this element")*(B4="No"),"Not required",_xlpm.x))</f>
        <v/>
      </c>
      <c r="L4" s="76">
        <f t="array" ref="L4">IF(
COUNTIFS(Elements!$A$3:$A$300,"*"&amp;Building!A4&amp;"*",Elements!$B$3:$B$300,"BASEMENT_WALL",Elements!$D$3:$D$300,"No matches found")&gt;0,
"No components assigned to this element",
IFERROR(
_xlfn._xlws.FILTER(Elements!$A$3:$A$300,(ISNUMBER(SEARCH(Building!A4,Elements!$A$3:$A$300)))*(Elements!$B$3:$B$300="BASEMENT_WALL")),
"No match"
))</f>
        <v/>
      </c>
      <c r="M4" s="76">
        <f t="array" ref="M4">IF(
COUNTIFS(Elements!$A$3:$A$300,"*"&amp;Building!A4&amp;"*",Elements!$B$3:$B$300,"INT_WALL_LOADBEARING",Elements!$D$3:$D$300,"No matches found")&gt;0,
"No components assigned to this element",
IFERROR(
_xlfn._xlws.FILTER(Elements!$A$3:$A$300,(ISNUMBER(SEARCH(Building!A4,Elements!$A$3:$A$300)))*(Elements!$B$3:$B$300="INT_WALL_LOADBEARING")),
"No match"
))</f>
        <v/>
      </c>
      <c r="N4" s="76">
        <f t="array" ref="N4">IF(
COUNTIFS(Elements!$A$3:$A$300,"*"&amp;Building!A4&amp;"*",Elements!$B$3:$B$300,"INT_WALL_NONLOADBEARING",Elements!$D$3:$D$300,"No matches found")&gt;0,
"No components assigned to this element",
IFERROR(
_xlfn._xlws.FILTER(Elements!$A$3:$A$300,(ISNUMBER(SEARCH(Building!A4,Elements!$A$3:$A$300)))*(Elements!$B$3:$B$300="INT_WALL_NONLOADBEARING")),
"No match"
))</f>
        <v/>
      </c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</row>
    <row r="5">
      <c r="A5" s="1" t="inlineStr">
        <is>
          <t>CMF_1960_1</t>
        </is>
      </c>
      <c r="B5" s="65" t="inlineStr">
        <is>
          <t>No</t>
        </is>
      </c>
      <c r="C5" s="76">
        <f t="array" ref="C5">IF(
COUNTIFS(Elements!$A$3:$A$300,"*"&amp;Building!A5&amp;"*",Elements!$B$3:$B$300,"ROOF",Elements!$D$3:$D$300,"No matches found")&gt;0,
"No components assigned to this element",
IFERROR(
_xlfn._xlws.FILTER(Elements!$A$3:$A$300,(ISNUMBER(SEARCH(Building!A5,Elements!$A$3:$A$300)))*(Elements!$B$3:$B$300="ROOF")),
"No match"
))</f>
        <v/>
      </c>
      <c r="D5" s="76">
        <f t="array" ref="D5">IF(
COUNTIFS(Elements!$A$3:$A$300,"*"&amp;Building!A5&amp;"*",Elements!$B$3:$B$300,"TOP_FLOOR",Elements!$D$3:$D$300,"No matches found")&gt;0,
"No components assigned to this element",
IFERROR(
_xlfn._xlws.FILTER(Elements!$A$3:$A$300,(ISNUMBER(SEARCH(Building!A5,Elements!$A$3:$A$300)))*(Elements!$B$3:$B$300="TOP_FLOOR")),
"No match"
))</f>
        <v/>
      </c>
      <c r="E5" s="76">
        <f t="array" ref="E5">IF(
COUNTIFS(Elements!$A$3:$A$300,"*"&amp;Building!A5&amp;"*",Elements!$B$3:$B$300,"INTERMEDIATE_FLOOR",Elements!$D$3:$D$300,"No matches found")&gt;0,
"No components assigned to this element",
IFERROR(
_xlfn._xlws.FILTER(Elements!$A$3:$A$300,(ISNUMBER(SEARCH(Building!A5,Elements!$A$3:$A$300)))*(Elements!$B$3:$B$300="INTERMEDIATE_FLOOR")),
"No match"
))</f>
        <v/>
      </c>
      <c r="F5" s="76">
        <f t="array" ref="F5">IF(
COUNTIFS(Elements!$A$3:$A$300,"*"&amp;Building!A5&amp;"*",Elements!$B$3:$B$300,"GROUND_FLOOR",Elements!$D$3:$D$300,"No matches found")&gt;0,
"No components assigned to this element",
IFERROR(
_xlfn._xlws.FILTER(Elements!$A$3:$A$300,(ISNUMBER(SEARCH(Building!A5,Elements!$A$3:$A$300)))*(Elements!$B$3:$B$300="GROUND_FLOOR")),
"No match"
))</f>
        <v/>
      </c>
      <c r="G5" s="76">
        <f t="array" ref="G5">IF(
COUNTIFS(Elements!$A$3:$A$300,"*"&amp;Building!A5&amp;"*",Elements!$B$3:$B$300,"BASEMENT_FLOOR",Elements!$D$3:$D$300,"No matches found")&gt;0,
"No components assigned to this element",
IFERROR(
_xlfn._xlws.FILTER(Elements!$A$3:$A$300,(ISNUMBER(SEARCH(Building!A5,Elements!$A$3:$A$300)))*(Elements!$B$3:$B$300="BASEMENT_FLOOR")),
"No match"
))</f>
        <v/>
      </c>
      <c r="H5" s="76">
        <f t="array" ref="H5">_xlfn.LET(
_xlpm.x,
IF(
COUNTIFS(Elements!$A$3:$A$300,"*"&amp;Building!A5&amp;"*",Elements!$B$3:$B$300,"EXT_WALL",Elements!$D$3:$D$300,"No matches found")&gt;0,
"No components assigned to this element",
IFERROR(
_xlfn._xlws.FILTER(Elements!$A$3:$A$300,(ISNUMBER(SEARCH(Building!A5,Elements!$A$3:$A$300)))*(Elements!$B$3:$B$300="EXT_WALL")),
"No match"
)
),
IF((_xlpm.x="No components assigned to this element")*(B5="Yes"),"Not required",_xlpm.x)
)</f>
        <v/>
      </c>
      <c r="I5" s="76">
        <f t="array" ref="I5">_xlfn.LET(
_xlpm.x,
IF(
COUNTIFS(Elements!$A$3:$A$300,"*"&amp;Building!A5&amp;"*",Elements!$B$3:$B$300,"EXT_WALL_LOW",Elements!$D$3:$D$300,"No matches found")&gt;0,
"No components assigned to this element",
IFERROR(
_xlfn._xlws.FILTER(Elements!$A$3:$A$300,(ISNUMBER(SEARCH(Building!A5,Elements!$A$3:$A$300)))*(Elements!$B$3:$B$300="EXT_WALL_LOW")),
"No match"
)
),
IF((_xlpm.x="No components assigned to this element")*(B5="No"),"Not required",_xlpm.x)
)</f>
        <v/>
      </c>
      <c r="J5" s="76">
        <f t="array" ref="J5">_xlfn.LET(
_xlpm.x,
IF(
COUNTIFS(Elements!$A$3:$A$300,"*"&amp;Building!A5&amp;"*",Elements!$B$3:$B$300,"EXT_WALL_MEDIUM",Elements!$D$3:$D$300,"No matches found")&gt;0,
"No components assigned to this element",
IFERROR(
_xlfn._xlws.FILTER(Elements!$A$3:$A$300,(ISNUMBER(SEARCH(Building!A5,Elements!$A$3:$A$300)))*(Elements!$B$3:$B$300="EXT_WALL_MEDIUM")),
"No match"
)
),
IF((_xlpm.x="No components assigned to this element")*(B5="No"),"Not required",_xlpm.x))</f>
        <v/>
      </c>
      <c r="K5" s="76">
        <f t="array" ref="K5">_xlfn.LET(
_xlpm.x,
IF(
COUNTIFS(Elements!$A$3:$A$300,"*"&amp;Building!A5&amp;"*",Elements!$B$3:$B$300,"EXT_WALL_HIGH",Elements!$D$3:$D$300,"No matches found")&gt;0,
"No components assigned to this element",
IFERROR(
_xlfn._xlws.FILTER(Elements!$A$3:$A$300,(ISNUMBER(SEARCH(Building!A5,Elements!$A$3:$A$300)))*(Elements!$B$3:$B$300="EXT_WALL_HIGH")),
"No match"
)
),
IF((_xlpm.x="No components assigned to this element")*(B5="No"),"Not required",_xlpm.x))</f>
        <v/>
      </c>
      <c r="L5" s="76">
        <f t="array" ref="L5">IF(
COUNTIFS(Elements!$A$3:$A$300,"*"&amp;Building!A5&amp;"*",Elements!$B$3:$B$300,"BASEMENT_WALL",Elements!$D$3:$D$300,"No matches found")&gt;0,
"No components assigned to this element",
IFERROR(
_xlfn._xlws.FILTER(Elements!$A$3:$A$300,(ISNUMBER(SEARCH(Building!A5,Elements!$A$3:$A$300)))*(Elements!$B$3:$B$300="BASEMENT_WALL")),
"No match"
))</f>
        <v/>
      </c>
      <c r="M5" s="76">
        <f t="array" ref="M5">IF(
COUNTIFS(Elements!$A$3:$A$300,"*"&amp;Building!A5&amp;"*",Elements!$B$3:$B$300,"INT_WALL_LOADBEARING",Elements!$D$3:$D$300,"No matches found")&gt;0,
"No components assigned to this element",
IFERROR(
_xlfn._xlws.FILTER(Elements!$A$3:$A$300,(ISNUMBER(SEARCH(Building!A5,Elements!$A$3:$A$300)))*(Elements!$B$3:$B$300="INT_WALL_LOADBEARING")),
"No match"
))</f>
        <v/>
      </c>
      <c r="N5" s="76">
        <f t="array" ref="N5">IF(
COUNTIFS(Elements!$A$3:$A$300,"*"&amp;Building!A5&amp;"*",Elements!$B$3:$B$300,"INT_WALL_NONLOADBEARING",Elements!$D$3:$D$300,"No matches found")&gt;0,
"No components assigned to this element",
IFERROR(
_xlfn._xlws.FILTER(Elements!$A$3:$A$300,(ISNUMBER(SEARCH(Building!A5,Elements!$A$3:$A$300)))*(Elements!$B$3:$B$300="INT_WALL_NONLOADBEARING")),
"No match"
))</f>
        <v/>
      </c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</row>
    <row r="6">
      <c r="A6" s="1" t="inlineStr">
        <is>
          <t>CMF_1960_2</t>
        </is>
      </c>
      <c r="B6" s="65" t="inlineStr">
        <is>
          <t>No</t>
        </is>
      </c>
      <c r="C6" s="76">
        <f t="array" ref="C6">IF(
COUNTIFS(Elements!$A$3:$A$300,"*"&amp;Building!A6&amp;"*",Elements!$B$3:$B$300,"ROOF",Elements!$D$3:$D$300,"No matches found")&gt;0,
"No components assigned to this element",
IFERROR(
_xlfn._xlws.FILTER(Elements!$A$3:$A$300,(ISNUMBER(SEARCH(Building!A6,Elements!$A$3:$A$300)))*(Elements!$B$3:$B$300="ROOF")),
"No match"
))</f>
        <v/>
      </c>
      <c r="D6" s="76">
        <f t="array" ref="D6">IF(
COUNTIFS(Elements!$A$3:$A$300,"*"&amp;Building!A6&amp;"*",Elements!$B$3:$B$300,"TOP_FLOOR",Elements!$D$3:$D$300,"No matches found")&gt;0,
"No components assigned to this element",
IFERROR(
_xlfn._xlws.FILTER(Elements!$A$3:$A$300,(ISNUMBER(SEARCH(Building!A6,Elements!$A$3:$A$300)))*(Elements!$B$3:$B$300="TOP_FLOOR")),
"No match"
))</f>
        <v/>
      </c>
      <c r="E6" s="76">
        <f t="array" ref="E6">IF(
COUNTIFS(Elements!$A$3:$A$300,"*"&amp;Building!A6&amp;"*",Elements!$B$3:$B$300,"INTERMEDIATE_FLOOR",Elements!$D$3:$D$300,"No matches found")&gt;0,
"No components assigned to this element",
IFERROR(
_xlfn._xlws.FILTER(Elements!$A$3:$A$300,(ISNUMBER(SEARCH(Building!A6,Elements!$A$3:$A$300)))*(Elements!$B$3:$B$300="INTERMEDIATE_FLOOR")),
"No match"
))</f>
        <v/>
      </c>
      <c r="F6" s="76">
        <f t="array" ref="F6">IF(
COUNTIFS(Elements!$A$3:$A$300,"*"&amp;Building!A6&amp;"*",Elements!$B$3:$B$300,"GROUND_FLOOR",Elements!$D$3:$D$300,"No matches found")&gt;0,
"No components assigned to this element",
IFERROR(
_xlfn._xlws.FILTER(Elements!$A$3:$A$300,(ISNUMBER(SEARCH(Building!A6,Elements!$A$3:$A$300)))*(Elements!$B$3:$B$300="GROUND_FLOOR")),
"No match"
))</f>
        <v/>
      </c>
      <c r="G6" s="76">
        <f t="array" ref="G6">IF(
COUNTIFS(Elements!$A$3:$A$300,"*"&amp;Building!A6&amp;"*",Elements!$B$3:$B$300,"BASEMENT_FLOOR",Elements!$D$3:$D$300,"No matches found")&gt;0,
"No components assigned to this element",
IFERROR(
_xlfn._xlws.FILTER(Elements!$A$3:$A$300,(ISNUMBER(SEARCH(Building!A6,Elements!$A$3:$A$300)))*(Elements!$B$3:$B$300="BASEMENT_FLOOR")),
"No match"
))</f>
        <v/>
      </c>
      <c r="H6" s="76">
        <f t="array" ref="H6">_xlfn.LET(
_xlpm.x,
IF(
COUNTIFS(Elements!$A$3:$A$300,"*"&amp;Building!A6&amp;"*",Elements!$B$3:$B$300,"EXT_WALL",Elements!$D$3:$D$300,"No matches found")&gt;0,
"No components assigned to this element",
IFERROR(
_xlfn._xlws.FILTER(Elements!$A$3:$A$300,(ISNUMBER(SEARCH(Building!A6,Elements!$A$3:$A$300)))*(Elements!$B$3:$B$300="EXT_WALL")),
"No match"
)
),
IF((_xlpm.x="No components assigned to this element")*(B6="Yes"),"Not required",_xlpm.x)
)</f>
        <v/>
      </c>
      <c r="I6" s="76">
        <f t="array" ref="I6">_xlfn.LET(
_xlpm.x,
IF(
COUNTIFS(Elements!$A$3:$A$300,"*"&amp;Building!A6&amp;"*",Elements!$B$3:$B$300,"EXT_WALL_LOW",Elements!$D$3:$D$300,"No matches found")&gt;0,
"No components assigned to this element",
IFERROR(
_xlfn._xlws.FILTER(Elements!$A$3:$A$300,(ISNUMBER(SEARCH(Building!A6,Elements!$A$3:$A$300)))*(Elements!$B$3:$B$300="EXT_WALL_LOW")),
"No match"
)
),
IF((_xlpm.x="No components assigned to this element")*(B6="No"),"Not required",_xlpm.x)
)</f>
        <v/>
      </c>
      <c r="J6" s="76">
        <f t="array" ref="J6">_xlfn.LET(
_xlpm.x,
IF(
COUNTIFS(Elements!$A$3:$A$300,"*"&amp;Building!A6&amp;"*",Elements!$B$3:$B$300,"EXT_WALL_MEDIUM",Elements!$D$3:$D$300,"No matches found")&gt;0,
"No components assigned to this element",
IFERROR(
_xlfn._xlws.FILTER(Elements!$A$3:$A$300,(ISNUMBER(SEARCH(Building!A6,Elements!$A$3:$A$300)))*(Elements!$B$3:$B$300="EXT_WALL_MEDIUM")),
"No match"
)
),
IF((_xlpm.x="No components assigned to this element")*(B6="No"),"Not required",_xlpm.x))</f>
        <v/>
      </c>
      <c r="K6" s="76">
        <f t="array" ref="K6">_xlfn.LET(
_xlpm.x,
IF(
COUNTIFS(Elements!$A$3:$A$300,"*"&amp;Building!A6&amp;"*",Elements!$B$3:$B$300,"EXT_WALL_HIGH",Elements!$D$3:$D$300,"No matches found")&gt;0,
"No components assigned to this element",
IFERROR(
_xlfn._xlws.FILTER(Elements!$A$3:$A$300,(ISNUMBER(SEARCH(Building!A6,Elements!$A$3:$A$300)))*(Elements!$B$3:$B$300="EXT_WALL_HIGH")),
"No match"
)
),
IF((_xlpm.x="No components assigned to this element")*(B6="No"),"Not required",_xlpm.x))</f>
        <v/>
      </c>
      <c r="L6" s="76">
        <f t="array" ref="L6">IF(
COUNTIFS(Elements!$A$3:$A$300,"*"&amp;Building!A6&amp;"*",Elements!$B$3:$B$300,"BASEMENT_WALL",Elements!$D$3:$D$300,"No matches found")&gt;0,
"No components assigned to this element",
IFERROR(
_xlfn._xlws.FILTER(Elements!$A$3:$A$300,(ISNUMBER(SEARCH(Building!A6,Elements!$A$3:$A$300)))*(Elements!$B$3:$B$300="BASEMENT_WALL")),
"No match"
))</f>
        <v/>
      </c>
      <c r="M6" s="76">
        <f t="array" ref="M6">IF(
COUNTIFS(Elements!$A$3:$A$300,"*"&amp;Building!A6&amp;"*",Elements!$B$3:$B$300,"INT_WALL_LOADBEARING",Elements!$D$3:$D$300,"No matches found")&gt;0,
"No components assigned to this element",
IFERROR(
_xlfn._xlws.FILTER(Elements!$A$3:$A$300,(ISNUMBER(SEARCH(Building!A6,Elements!$A$3:$A$300)))*(Elements!$B$3:$B$300="INT_WALL_LOADBEARING")),
"No match"
))</f>
        <v/>
      </c>
      <c r="N6" s="76">
        <f t="array" ref="N6">IF(
COUNTIFS(Elements!$A$3:$A$300,"*"&amp;Building!A6&amp;"*",Elements!$B$3:$B$300,"INT_WALL_NONLOADBEARING",Elements!$D$3:$D$300,"No matches found")&gt;0,
"No components assigned to this element",
IFERROR(
_xlfn._xlws.FILTER(Elements!$A$3:$A$300,(ISNUMBER(SEARCH(Building!A6,Elements!$A$3:$A$300)))*(Elements!$B$3:$B$300="INT_WALL_NONLOADBEARING")),
"No match"
))</f>
        <v/>
      </c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</row>
    <row r="7">
      <c r="A7" s="33" t="inlineStr">
        <is>
          <t>CMF_1970</t>
        </is>
      </c>
      <c r="B7" s="65" t="inlineStr">
        <is>
          <t>No</t>
        </is>
      </c>
      <c r="C7" s="76">
        <f t="array" ref="C7">IF(
COUNTIFS(Elements!$A$3:$A$300,"*"&amp;Building!A7&amp;"*",Elements!$B$3:$B$300,"ROOF",Elements!$D$3:$D$300,"No matches found")&gt;0,
"No components assigned to this element",
IFERROR(
_xlfn._xlws.FILTER(Elements!$A$3:$A$300,(ISNUMBER(SEARCH(Building!A7,Elements!$A$3:$A$300)))*(Elements!$B$3:$B$300="ROOF")),
"No match"
))</f>
        <v/>
      </c>
      <c r="D7" s="76">
        <f t="array" ref="D7">IF(
COUNTIFS(Elements!$A$3:$A$300,"*"&amp;Building!A7&amp;"*",Elements!$B$3:$B$300,"TOP_FLOOR",Elements!$D$3:$D$300,"No matches found")&gt;0,
"No components assigned to this element",
IFERROR(
_xlfn._xlws.FILTER(Elements!$A$3:$A$300,(ISNUMBER(SEARCH(Building!A7,Elements!$A$3:$A$300)))*(Elements!$B$3:$B$300="TOP_FLOOR")),
"No match"
))</f>
        <v/>
      </c>
      <c r="E7" s="76">
        <f t="array" ref="E7">IF(
COUNTIFS(Elements!$A$3:$A$300,"*"&amp;Building!A7&amp;"*",Elements!$B$3:$B$300,"INTERMEDIATE_FLOOR",Elements!$D$3:$D$300,"No matches found")&gt;0,
"No components assigned to this element",
IFERROR(
_xlfn._xlws.FILTER(Elements!$A$3:$A$300,(ISNUMBER(SEARCH(Building!A7,Elements!$A$3:$A$300)))*(Elements!$B$3:$B$300="INTERMEDIATE_FLOOR")),
"No match"
))</f>
        <v/>
      </c>
      <c r="F7" s="76">
        <f t="array" ref="F7">IF(
COUNTIFS(Elements!$A$3:$A$300,"*"&amp;Building!A7&amp;"*",Elements!$B$3:$B$300,"GROUND_FLOOR",Elements!$D$3:$D$300,"No matches found")&gt;0,
"No components assigned to this element",
IFERROR(
_xlfn._xlws.FILTER(Elements!$A$3:$A$300,(ISNUMBER(SEARCH(Building!A7,Elements!$A$3:$A$300)))*(Elements!$B$3:$B$300="GROUND_FLOOR")),
"No match"
))</f>
        <v/>
      </c>
      <c r="G7" s="76">
        <f t="array" ref="G7">IF(
COUNTIFS(Elements!$A$3:$A$300,"*"&amp;Building!A7&amp;"*",Elements!$B$3:$B$300,"BASEMENT_FLOOR",Elements!$D$3:$D$300,"No matches found")&gt;0,
"No components assigned to this element",
IFERROR(
_xlfn._xlws.FILTER(Elements!$A$3:$A$300,(ISNUMBER(SEARCH(Building!A7,Elements!$A$3:$A$300)))*(Elements!$B$3:$B$300="BASEMENT_FLOOR")),
"No match"
))</f>
        <v/>
      </c>
      <c r="H7" s="76">
        <f t="array" ref="H7">_xlfn.LET(
_xlpm.x,
IF(
COUNTIFS(Elements!$A$3:$A$300,"*"&amp;Building!A7&amp;"*",Elements!$B$3:$B$300,"EXT_WALL",Elements!$D$3:$D$300,"No matches found")&gt;0,
"No components assigned to this element",
IFERROR(
_xlfn._xlws.FILTER(Elements!$A$3:$A$300,(ISNUMBER(SEARCH(Building!A7,Elements!$A$3:$A$300)))*(Elements!$B$3:$B$300="EXT_WALL")),
"No match"
)
),
IF((_xlpm.x="No components assigned to this element")*(B7="Yes"),"Not required",_xlpm.x)
)</f>
        <v/>
      </c>
      <c r="I7" s="76">
        <f t="array" ref="I7">_xlfn.LET(
_xlpm.x,
IF(
COUNTIFS(Elements!$A$3:$A$300,"*"&amp;Building!A7&amp;"*",Elements!$B$3:$B$300,"EXT_WALL_LOW",Elements!$D$3:$D$300,"No matches found")&gt;0,
"No components assigned to this element",
IFERROR(
_xlfn._xlws.FILTER(Elements!$A$3:$A$300,(ISNUMBER(SEARCH(Building!A7,Elements!$A$3:$A$300)))*(Elements!$B$3:$B$300="EXT_WALL_LOW")),
"No match"
)
),
IF((_xlpm.x="No components assigned to this element")*(B7="No"),"Not required",_xlpm.x)
)</f>
        <v/>
      </c>
      <c r="J7" s="76">
        <f t="array" ref="J7">_xlfn.LET(
_xlpm.x,
IF(
COUNTIFS(Elements!$A$3:$A$300,"*"&amp;Building!A7&amp;"*",Elements!$B$3:$B$300,"EXT_WALL_MEDIUM",Elements!$D$3:$D$300,"No matches found")&gt;0,
"No components assigned to this element",
IFERROR(
_xlfn._xlws.FILTER(Elements!$A$3:$A$300,(ISNUMBER(SEARCH(Building!A7,Elements!$A$3:$A$300)))*(Elements!$B$3:$B$300="EXT_WALL_MEDIUM")),
"No match"
)
),
IF((_xlpm.x="No components assigned to this element")*(B7="No"),"Not required",_xlpm.x))</f>
        <v/>
      </c>
      <c r="K7" s="76">
        <f t="array" ref="K7">_xlfn.LET(
_xlpm.x,
IF(
COUNTIFS(Elements!$A$3:$A$300,"*"&amp;Building!A7&amp;"*",Elements!$B$3:$B$300,"EXT_WALL_HIGH",Elements!$D$3:$D$300,"No matches found")&gt;0,
"No components assigned to this element",
IFERROR(
_xlfn._xlws.FILTER(Elements!$A$3:$A$300,(ISNUMBER(SEARCH(Building!A7,Elements!$A$3:$A$300)))*(Elements!$B$3:$B$300="EXT_WALL_HIGH")),
"No match"
)
),
IF((_xlpm.x="No components assigned to this element")*(B7="No"),"Not required",_xlpm.x))</f>
        <v/>
      </c>
      <c r="L7" s="76">
        <f t="array" ref="L7">IF(
COUNTIFS(Elements!$A$3:$A$300,"*"&amp;Building!A7&amp;"*",Elements!$B$3:$B$300,"BASEMENT_WALL",Elements!$D$3:$D$300,"No matches found")&gt;0,
"No components assigned to this element",
IFERROR(
_xlfn._xlws.FILTER(Elements!$A$3:$A$300,(ISNUMBER(SEARCH(Building!A7,Elements!$A$3:$A$300)))*(Elements!$B$3:$B$300="BASEMENT_WALL")),
"No match"
))</f>
        <v/>
      </c>
      <c r="M7" s="76">
        <f t="array" ref="M7">IF(
COUNTIFS(Elements!$A$3:$A$300,"*"&amp;Building!A7&amp;"*",Elements!$B$3:$B$300,"INT_WALL_LOADBEARING",Elements!$D$3:$D$300,"No matches found")&gt;0,
"No components assigned to this element",
IFERROR(
_xlfn._xlws.FILTER(Elements!$A$3:$A$300,(ISNUMBER(SEARCH(Building!A7,Elements!$A$3:$A$300)))*(Elements!$B$3:$B$300="INT_WALL_LOADBEARING")),
"No match"
))</f>
        <v/>
      </c>
      <c r="N7" s="76">
        <f t="array" ref="N7">IF(
COUNTIFS(Elements!$A$3:$A$300,"*"&amp;Building!A7&amp;"*",Elements!$B$3:$B$300,"INT_WALL_NONLOADBEARING",Elements!$D$3:$D$300,"No matches found")&gt;0,
"No components assigned to this element",
IFERROR(
_xlfn._xlws.FILTER(Elements!$A$3:$A$300,(ISNUMBER(SEARCH(Building!A7,Elements!$A$3:$A$300)))*(Elements!$B$3:$B$300="INT_WALL_NONLOADBEARING")),
"No match"
))</f>
        <v/>
      </c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</row>
    <row r="8">
      <c r="A8" s="33" t="inlineStr">
        <is>
          <t>CMF_1980</t>
        </is>
      </c>
      <c r="B8" s="65" t="inlineStr">
        <is>
          <t>No</t>
        </is>
      </c>
      <c r="C8" s="76">
        <f t="array" ref="C8">IF(
COUNTIFS(Elements!$A$3:$A$300,"*"&amp;Building!A8&amp;"*",Elements!$B$3:$B$300,"ROOF",Elements!$D$3:$D$300,"No matches found")&gt;0,
"No components assigned to this element",
IFERROR(
_xlfn._xlws.FILTER(Elements!$A$3:$A$300,(ISNUMBER(SEARCH(Building!A8,Elements!$A$3:$A$300)))*(Elements!$B$3:$B$300="ROOF")),
"No match"
))</f>
        <v/>
      </c>
      <c r="D8" s="76">
        <f t="array" ref="D8">IF(
COUNTIFS(Elements!$A$3:$A$300,"*"&amp;Building!A8&amp;"*",Elements!$B$3:$B$300,"TOP_FLOOR",Elements!$D$3:$D$300,"No matches found")&gt;0,
"No components assigned to this element",
IFERROR(
_xlfn._xlws.FILTER(Elements!$A$3:$A$300,(ISNUMBER(SEARCH(Building!A8,Elements!$A$3:$A$300)))*(Elements!$B$3:$B$300="TOP_FLOOR")),
"No match"
))</f>
        <v/>
      </c>
      <c r="E8" s="76">
        <f t="array" ref="E8">IF(
COUNTIFS(Elements!$A$3:$A$300,"*"&amp;Building!A8&amp;"*",Elements!$B$3:$B$300,"INTERMEDIATE_FLOOR",Elements!$D$3:$D$300,"No matches found")&gt;0,
"No components assigned to this element",
IFERROR(
_xlfn._xlws.FILTER(Elements!$A$3:$A$300,(ISNUMBER(SEARCH(Building!A8,Elements!$A$3:$A$300)))*(Elements!$B$3:$B$300="INTERMEDIATE_FLOOR")),
"No match"
))</f>
        <v/>
      </c>
      <c r="F8" s="76">
        <f t="array" ref="F8">IF(
COUNTIFS(Elements!$A$3:$A$300,"*"&amp;Building!A8&amp;"*",Elements!$B$3:$B$300,"GROUND_FLOOR",Elements!$D$3:$D$300,"No matches found")&gt;0,
"No components assigned to this element",
IFERROR(
_xlfn._xlws.FILTER(Elements!$A$3:$A$300,(ISNUMBER(SEARCH(Building!A8,Elements!$A$3:$A$300)))*(Elements!$B$3:$B$300="GROUND_FLOOR")),
"No match"
))</f>
        <v/>
      </c>
      <c r="G8" s="76">
        <f t="array" ref="G8">IF(
COUNTIFS(Elements!$A$3:$A$300,"*"&amp;Building!A8&amp;"*",Elements!$B$3:$B$300,"BASEMENT_FLOOR",Elements!$D$3:$D$300,"No matches found")&gt;0,
"No components assigned to this element",
IFERROR(
_xlfn._xlws.FILTER(Elements!$A$3:$A$300,(ISNUMBER(SEARCH(Building!A8,Elements!$A$3:$A$300)))*(Elements!$B$3:$B$300="BASEMENT_FLOOR")),
"No match"
))</f>
        <v/>
      </c>
      <c r="H8" s="76">
        <f t="array" ref="H8">_xlfn.LET(
_xlpm.x,
IF(
COUNTIFS(Elements!$A$3:$A$300,"*"&amp;Building!A8&amp;"*",Elements!$B$3:$B$300,"EXT_WALL",Elements!$D$3:$D$300,"No matches found")&gt;0,
"No components assigned to this element",
IFERROR(
_xlfn._xlws.FILTER(Elements!$A$3:$A$300,(ISNUMBER(SEARCH(Building!A8,Elements!$A$3:$A$300)))*(Elements!$B$3:$B$300="EXT_WALL")),
"No match"
)
),
IF((_xlpm.x="No components assigned to this element")*(B8="Yes"),"Not required",_xlpm.x)
)</f>
        <v/>
      </c>
      <c r="I8" s="76">
        <f t="array" ref="I8">_xlfn.LET(
_xlpm.x,
IF(
COUNTIFS(Elements!$A$3:$A$300,"*"&amp;Building!A8&amp;"*",Elements!$B$3:$B$300,"EXT_WALL_LOW",Elements!$D$3:$D$300,"No matches found")&gt;0,
"No components assigned to this element",
IFERROR(
_xlfn._xlws.FILTER(Elements!$A$3:$A$300,(ISNUMBER(SEARCH(Building!A8,Elements!$A$3:$A$300)))*(Elements!$B$3:$B$300="EXT_WALL_LOW")),
"No match"
)
),
IF((_xlpm.x="No components assigned to this element")*(B8="No"),"Not required",_xlpm.x)
)</f>
        <v/>
      </c>
      <c r="J8" s="76">
        <f t="array" ref="J8">_xlfn.LET(
_xlpm.x,
IF(
COUNTIFS(Elements!$A$3:$A$300,"*"&amp;Building!A8&amp;"*",Elements!$B$3:$B$300,"EXT_WALL_MEDIUM",Elements!$D$3:$D$300,"No matches found")&gt;0,
"No components assigned to this element",
IFERROR(
_xlfn._xlws.FILTER(Elements!$A$3:$A$300,(ISNUMBER(SEARCH(Building!A8,Elements!$A$3:$A$300)))*(Elements!$B$3:$B$300="EXT_WALL_MEDIUM")),
"No match"
)
),
IF((_xlpm.x="No components assigned to this element")*(B8="No"),"Not required",_xlpm.x))</f>
        <v/>
      </c>
      <c r="K8" s="76">
        <f t="array" ref="K8">_xlfn.LET(
_xlpm.x,
IF(
COUNTIFS(Elements!$A$3:$A$300,"*"&amp;Building!A8&amp;"*",Elements!$B$3:$B$300,"EXT_WALL_HIGH",Elements!$D$3:$D$300,"No matches found")&gt;0,
"No components assigned to this element",
IFERROR(
_xlfn._xlws.FILTER(Elements!$A$3:$A$300,(ISNUMBER(SEARCH(Building!A8,Elements!$A$3:$A$300)))*(Elements!$B$3:$B$300="EXT_WALL_HIGH")),
"No match"
)
),
IF((_xlpm.x="No components assigned to this element")*(B8="No"),"Not required",_xlpm.x))</f>
        <v/>
      </c>
      <c r="L8" s="76">
        <f t="array" ref="L8">IF(
COUNTIFS(Elements!$A$3:$A$300,"*"&amp;Building!A8&amp;"*",Elements!$B$3:$B$300,"BASEMENT_WALL",Elements!$D$3:$D$300,"No matches found")&gt;0,
"No components assigned to this element",
IFERROR(
_xlfn._xlws.FILTER(Elements!$A$3:$A$300,(ISNUMBER(SEARCH(Building!A8,Elements!$A$3:$A$300)))*(Elements!$B$3:$B$300="BASEMENT_WALL")),
"No match"
))</f>
        <v/>
      </c>
      <c r="M8" s="76">
        <f t="array" ref="M8">IF(
COUNTIFS(Elements!$A$3:$A$300,"*"&amp;Building!A8&amp;"*",Elements!$B$3:$B$300,"INT_WALL_LOADBEARING",Elements!$D$3:$D$300,"No matches found")&gt;0,
"No components assigned to this element",
IFERROR(
_xlfn._xlws.FILTER(Elements!$A$3:$A$300,(ISNUMBER(SEARCH(Building!A8,Elements!$A$3:$A$300)))*(Elements!$B$3:$B$300="INT_WALL_LOADBEARING")),
"No match"
))</f>
        <v/>
      </c>
      <c r="N8" s="76">
        <f t="array" ref="N8">IF(
COUNTIFS(Elements!$A$3:$A$300,"*"&amp;Building!A8&amp;"*",Elements!$B$3:$B$300,"INT_WALL_NONLOADBEARING",Elements!$D$3:$D$300,"No matches found")&gt;0,
"No components assigned to this element",
IFERROR(
_xlfn._xlws.FILTER(Elements!$A$3:$A$300,(ISNUMBER(SEARCH(Building!A8,Elements!$A$3:$A$300)))*(Elements!$B$3:$B$300="INT_WALL_NONLOADBEARING")),
"No match"
))</f>
        <v/>
      </c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</row>
    <row r="9">
      <c r="A9" s="29" t="n"/>
      <c r="B9" s="29" t="n"/>
      <c r="C9" s="29" t="n"/>
      <c r="D9" s="29" t="n"/>
      <c r="E9" s="60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</row>
    <row r="10">
      <c r="A10" s="29" t="n"/>
      <c r="B10" s="29" t="n"/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</row>
    <row r="11">
      <c r="A11" s="29" t="n"/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</row>
    <row r="12">
      <c r="A12" s="29" t="n"/>
      <c r="B12" s="29" t="n"/>
      <c r="C12" s="29" t="n"/>
      <c r="D12" s="29" t="n"/>
      <c r="E12" s="60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</row>
    <row r="13">
      <c r="A13" s="29" t="n"/>
      <c r="B13" s="29" t="n"/>
      <c r="C13" s="29" t="n"/>
      <c r="D13" s="29" t="n"/>
      <c r="E13" s="60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</row>
    <row r="14">
      <c r="A14" s="29" t="n"/>
      <c r="B14" s="29" t="n"/>
      <c r="C14" s="29" t="n"/>
      <c r="D14" s="29" t="n"/>
      <c r="E14" s="60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</row>
    <row r="15">
      <c r="A15" s="29" t="n"/>
      <c r="B15" s="29" t="n"/>
      <c r="C15" s="29" t="n"/>
      <c r="D15" s="29" t="n"/>
      <c r="E15" s="60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</row>
    <row r="16">
      <c r="A16" s="29" t="n"/>
      <c r="B16" s="29" t="n"/>
      <c r="C16" s="29" t="n"/>
      <c r="D16" s="29" t="n"/>
      <c r="E16" s="60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</row>
    <row r="17">
      <c r="A17" s="29" t="n"/>
      <c r="B17" s="29" t="n"/>
      <c r="C17" s="29" t="n"/>
      <c r="D17" s="29" t="n"/>
      <c r="E17" s="60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</row>
    <row r="18">
      <c r="A18" s="29" t="n"/>
      <c r="B18" s="29" t="n"/>
      <c r="C18" s="29" t="n"/>
      <c r="D18" s="29" t="n"/>
      <c r="E18" s="60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</row>
    <row r="19">
      <c r="A19" s="29" t="n"/>
      <c r="B19" s="29" t="n"/>
      <c r="C19" s="29" t="n"/>
      <c r="D19" s="29" t="n"/>
      <c r="E19" s="60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</row>
    <row r="20">
      <c r="A20" s="29" t="n"/>
      <c r="B20" s="29" t="n"/>
      <c r="C20" s="29" t="n"/>
      <c r="D20" s="29" t="n"/>
      <c r="E20" s="60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</row>
    <row r="21">
      <c r="A21" s="29" t="n"/>
      <c r="B21" s="29" t="n"/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</row>
    <row r="22">
      <c r="A22" s="29" t="n"/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</row>
    <row r="23">
      <c r="A23" s="29" t="n"/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</row>
    <row r="24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</row>
    <row r="25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</row>
    <row r="2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</row>
    <row r="27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</row>
    <row r="28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</row>
    <row r="29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</row>
    <row r="30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</row>
    <row r="31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</row>
    <row r="32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</row>
    <row r="33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</row>
    <row r="34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</row>
    <row r="35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</row>
    <row r="3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</row>
    <row r="37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</row>
    <row r="38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</row>
    <row r="39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</row>
    <row r="40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</row>
    <row r="41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</row>
    <row r="42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</row>
    <row r="43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  <c r="AB43" s="29" t="n"/>
      <c r="AC43" s="29" t="n"/>
      <c r="AD43" s="29" t="n"/>
      <c r="AE43" s="29" t="n"/>
      <c r="AF43" s="29" t="n"/>
      <c r="AG43" s="29" t="n"/>
      <c r="AH43" s="29" t="n"/>
      <c r="AI43" s="29" t="n"/>
      <c r="AJ43" s="29" t="n"/>
      <c r="AK43" s="29" t="n"/>
      <c r="AL43" s="29" t="n"/>
      <c r="AM43" s="29" t="n"/>
      <c r="AN43" s="29" t="n"/>
      <c r="AO43" s="29" t="n"/>
      <c r="AP43" s="29" t="n"/>
      <c r="AQ43" s="29" t="n"/>
      <c r="AR43" s="29" t="n"/>
    </row>
    <row r="44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  <c r="AB44" s="29" t="n"/>
      <c r="AC44" s="29" t="n"/>
      <c r="AD44" s="29" t="n"/>
      <c r="AE44" s="29" t="n"/>
      <c r="AF44" s="29" t="n"/>
      <c r="AG44" s="29" t="n"/>
      <c r="AH44" s="29" t="n"/>
      <c r="AI44" s="29" t="n"/>
      <c r="AJ44" s="29" t="n"/>
      <c r="AK44" s="29" t="n"/>
      <c r="AL44" s="29" t="n"/>
      <c r="AM44" s="29" t="n"/>
      <c r="AN44" s="29" t="n"/>
      <c r="AO44" s="29" t="n"/>
      <c r="AP44" s="29" t="n"/>
      <c r="AQ44" s="29" t="n"/>
      <c r="AR44" s="29" t="n"/>
    </row>
    <row r="45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  <c r="AB45" s="29" t="n"/>
      <c r="AC45" s="29" t="n"/>
      <c r="AD45" s="29" t="n"/>
      <c r="AE45" s="29" t="n"/>
      <c r="AF45" s="29" t="n"/>
      <c r="AG45" s="29" t="n"/>
      <c r="AH45" s="29" t="n"/>
      <c r="AI45" s="29" t="n"/>
      <c r="AJ45" s="29" t="n"/>
      <c r="AK45" s="29" t="n"/>
      <c r="AL45" s="29" t="n"/>
      <c r="AM45" s="29" t="n"/>
      <c r="AN45" s="29" t="n"/>
      <c r="AO45" s="29" t="n"/>
      <c r="AP45" s="29" t="n"/>
      <c r="AQ45" s="29" t="n"/>
      <c r="AR45" s="29" t="n"/>
    </row>
    <row r="4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  <c r="AB46" s="29" t="n"/>
      <c r="AC46" s="29" t="n"/>
      <c r="AD46" s="29" t="n"/>
      <c r="AE46" s="29" t="n"/>
      <c r="AF46" s="29" t="n"/>
      <c r="AG46" s="29" t="n"/>
      <c r="AH46" s="29" t="n"/>
      <c r="AI46" s="29" t="n"/>
      <c r="AJ46" s="29" t="n"/>
      <c r="AK46" s="29" t="n"/>
      <c r="AL46" s="29" t="n"/>
      <c r="AM46" s="29" t="n"/>
      <c r="AN46" s="29" t="n"/>
      <c r="AO46" s="29" t="n"/>
      <c r="AP46" s="29" t="n"/>
      <c r="AQ46" s="29" t="n"/>
      <c r="AR46" s="29" t="n"/>
    </row>
    <row r="47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  <c r="AB47" s="29" t="n"/>
      <c r="AC47" s="29" t="n"/>
      <c r="AD47" s="29" t="n"/>
      <c r="AE47" s="29" t="n"/>
      <c r="AF47" s="29" t="n"/>
      <c r="AG47" s="29" t="n"/>
      <c r="AH47" s="29" t="n"/>
      <c r="AI47" s="29" t="n"/>
      <c r="AJ47" s="29" t="n"/>
      <c r="AK47" s="29" t="n"/>
      <c r="AL47" s="29" t="n"/>
      <c r="AM47" s="29" t="n"/>
      <c r="AN47" s="29" t="n"/>
      <c r="AO47" s="29" t="n"/>
      <c r="AP47" s="29" t="n"/>
      <c r="AQ47" s="29" t="n"/>
      <c r="AR47" s="29" t="n"/>
    </row>
    <row r="48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  <c r="AB48" s="29" t="n"/>
      <c r="AC48" s="29" t="n"/>
      <c r="AD48" s="29" t="n"/>
      <c r="AE48" s="29" t="n"/>
      <c r="AF48" s="29" t="n"/>
      <c r="AG48" s="29" t="n"/>
      <c r="AH48" s="29" t="n"/>
      <c r="AI48" s="29" t="n"/>
      <c r="AJ48" s="29" t="n"/>
      <c r="AK48" s="29" t="n"/>
      <c r="AL48" s="29" t="n"/>
      <c r="AM48" s="29" t="n"/>
      <c r="AN48" s="29" t="n"/>
      <c r="AO48" s="29" t="n"/>
      <c r="AP48" s="29" t="n"/>
      <c r="AQ48" s="29" t="n"/>
      <c r="AR48" s="29" t="n"/>
    </row>
    <row r="49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  <c r="AB49" s="29" t="n"/>
      <c r="AC49" s="29" t="n"/>
      <c r="AD49" s="29" t="n"/>
      <c r="AE49" s="29" t="n"/>
      <c r="AF49" s="29" t="n"/>
      <c r="AG49" s="29" t="n"/>
      <c r="AH49" s="29" t="n"/>
      <c r="AI49" s="29" t="n"/>
      <c r="AJ49" s="29" t="n"/>
      <c r="AK49" s="29" t="n"/>
      <c r="AL49" s="29" t="n"/>
      <c r="AM49" s="29" t="n"/>
      <c r="AN49" s="29" t="n"/>
      <c r="AO49" s="29" t="n"/>
      <c r="AP49" s="29" t="n"/>
      <c r="AQ49" s="29" t="n"/>
      <c r="AR49" s="29" t="n"/>
    </row>
    <row r="50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  <c r="AB50" s="29" t="n"/>
      <c r="AC50" s="29" t="n"/>
      <c r="AD50" s="29" t="n"/>
      <c r="AE50" s="29" t="n"/>
      <c r="AF50" s="29" t="n"/>
      <c r="AG50" s="29" t="n"/>
      <c r="AH50" s="29" t="n"/>
      <c r="AI50" s="29" t="n"/>
      <c r="AJ50" s="29" t="n"/>
      <c r="AK50" s="29" t="n"/>
      <c r="AL50" s="29" t="n"/>
      <c r="AM50" s="29" t="n"/>
      <c r="AN50" s="29" t="n"/>
      <c r="AO50" s="29" t="n"/>
      <c r="AP50" s="29" t="n"/>
      <c r="AQ50" s="29" t="n"/>
      <c r="AR50" s="29" t="n"/>
    </row>
    <row r="51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  <c r="AB51" s="29" t="n"/>
      <c r="AC51" s="29" t="n"/>
      <c r="AD51" s="29" t="n"/>
      <c r="AE51" s="29" t="n"/>
      <c r="AF51" s="29" t="n"/>
      <c r="AG51" s="29" t="n"/>
      <c r="AH51" s="29" t="n"/>
      <c r="AI51" s="29" t="n"/>
      <c r="AJ51" s="29" t="n"/>
      <c r="AK51" s="29" t="n"/>
      <c r="AL51" s="29" t="n"/>
      <c r="AM51" s="29" t="n"/>
      <c r="AN51" s="29" t="n"/>
      <c r="AO51" s="29" t="n"/>
      <c r="AP51" s="29" t="n"/>
      <c r="AQ51" s="29" t="n"/>
      <c r="AR51" s="29" t="n"/>
    </row>
    <row r="52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  <c r="AB52" s="29" t="n"/>
      <c r="AC52" s="29" t="n"/>
      <c r="AD52" s="29" t="n"/>
      <c r="AE52" s="29" t="n"/>
      <c r="AF52" s="29" t="n"/>
      <c r="AG52" s="29" t="n"/>
      <c r="AH52" s="29" t="n"/>
      <c r="AI52" s="29" t="n"/>
      <c r="AJ52" s="29" t="n"/>
      <c r="AK52" s="29" t="n"/>
      <c r="AL52" s="29" t="n"/>
      <c r="AM52" s="29" t="n"/>
      <c r="AN52" s="29" t="n"/>
      <c r="AO52" s="29" t="n"/>
      <c r="AP52" s="29" t="n"/>
      <c r="AQ52" s="29" t="n"/>
      <c r="AR52" s="29" t="n"/>
    </row>
    <row r="53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  <c r="AB53" s="29" t="n"/>
      <c r="AC53" s="29" t="n"/>
      <c r="AD53" s="29" t="n"/>
      <c r="AE53" s="29" t="n"/>
      <c r="AF53" s="29" t="n"/>
      <c r="AG53" s="29" t="n"/>
      <c r="AH53" s="29" t="n"/>
      <c r="AI53" s="29" t="n"/>
      <c r="AJ53" s="29" t="n"/>
      <c r="AK53" s="29" t="n"/>
      <c r="AL53" s="29" t="n"/>
      <c r="AM53" s="29" t="n"/>
      <c r="AN53" s="29" t="n"/>
      <c r="AO53" s="29" t="n"/>
      <c r="AP53" s="29" t="n"/>
      <c r="AQ53" s="29" t="n"/>
      <c r="AR53" s="29" t="n"/>
    </row>
    <row r="54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  <c r="AB54" s="29" t="n"/>
      <c r="AC54" s="29" t="n"/>
      <c r="AD54" s="29" t="n"/>
      <c r="AE54" s="29" t="n"/>
      <c r="AF54" s="29" t="n"/>
      <c r="AG54" s="29" t="n"/>
      <c r="AH54" s="29" t="n"/>
      <c r="AI54" s="29" t="n"/>
      <c r="AJ54" s="29" t="n"/>
      <c r="AK54" s="29" t="n"/>
      <c r="AL54" s="29" t="n"/>
      <c r="AM54" s="29" t="n"/>
      <c r="AN54" s="29" t="n"/>
      <c r="AO54" s="29" t="n"/>
      <c r="AP54" s="29" t="n"/>
      <c r="AQ54" s="29" t="n"/>
      <c r="AR54" s="29" t="n"/>
    </row>
    <row r="55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  <c r="AB55" s="29" t="n"/>
      <c r="AC55" s="29" t="n"/>
      <c r="AD55" s="29" t="n"/>
      <c r="AE55" s="29" t="n"/>
      <c r="AF55" s="29" t="n"/>
      <c r="AG55" s="29" t="n"/>
      <c r="AH55" s="29" t="n"/>
      <c r="AI55" s="29" t="n"/>
      <c r="AJ55" s="29" t="n"/>
      <c r="AK55" s="29" t="n"/>
      <c r="AL55" s="29" t="n"/>
      <c r="AM55" s="29" t="n"/>
      <c r="AN55" s="29" t="n"/>
      <c r="AO55" s="29" t="n"/>
      <c r="AP55" s="29" t="n"/>
      <c r="AQ55" s="29" t="n"/>
      <c r="AR55" s="29" t="n"/>
    </row>
    <row r="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  <c r="AB56" s="29" t="n"/>
      <c r="AC56" s="29" t="n"/>
      <c r="AD56" s="29" t="n"/>
      <c r="AE56" s="29" t="n"/>
      <c r="AF56" s="29" t="n"/>
      <c r="AG56" s="29" t="n"/>
      <c r="AH56" s="29" t="n"/>
      <c r="AI56" s="29" t="n"/>
      <c r="AJ56" s="29" t="n"/>
      <c r="AK56" s="29" t="n"/>
      <c r="AL56" s="29" t="n"/>
      <c r="AM56" s="29" t="n"/>
      <c r="AN56" s="29" t="n"/>
      <c r="AO56" s="29" t="n"/>
      <c r="AP56" s="29" t="n"/>
      <c r="AQ56" s="29" t="n"/>
      <c r="AR56" s="29" t="n"/>
    </row>
    <row r="57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  <c r="AB57" s="29" t="n"/>
      <c r="AC57" s="29" t="n"/>
      <c r="AD57" s="29" t="n"/>
      <c r="AE57" s="29" t="n"/>
      <c r="AF57" s="29" t="n"/>
      <c r="AG57" s="29" t="n"/>
      <c r="AH57" s="29" t="n"/>
      <c r="AI57" s="29" t="n"/>
      <c r="AJ57" s="29" t="n"/>
      <c r="AK57" s="29" t="n"/>
      <c r="AL57" s="29" t="n"/>
      <c r="AM57" s="29" t="n"/>
      <c r="AN57" s="29" t="n"/>
      <c r="AO57" s="29" t="n"/>
      <c r="AP57" s="29" t="n"/>
      <c r="AQ57" s="29" t="n"/>
      <c r="AR57" s="29" t="n"/>
    </row>
    <row r="58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  <c r="AB58" s="29" t="n"/>
      <c r="AC58" s="29" t="n"/>
      <c r="AD58" s="29" t="n"/>
      <c r="AE58" s="29" t="n"/>
      <c r="AF58" s="29" t="n"/>
      <c r="AG58" s="29" t="n"/>
      <c r="AH58" s="29" t="n"/>
      <c r="AI58" s="29" t="n"/>
      <c r="AJ58" s="29" t="n"/>
      <c r="AK58" s="29" t="n"/>
      <c r="AL58" s="29" t="n"/>
      <c r="AM58" s="29" t="n"/>
      <c r="AN58" s="29" t="n"/>
      <c r="AO58" s="29" t="n"/>
      <c r="AP58" s="29" t="n"/>
      <c r="AQ58" s="29" t="n"/>
      <c r="AR58" s="29" t="n"/>
    </row>
    <row r="59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  <c r="AB59" s="29" t="n"/>
      <c r="AC59" s="29" t="n"/>
      <c r="AD59" s="29" t="n"/>
      <c r="AE59" s="29" t="n"/>
      <c r="AF59" s="29" t="n"/>
      <c r="AG59" s="29" t="n"/>
      <c r="AH59" s="29" t="n"/>
      <c r="AI59" s="29" t="n"/>
      <c r="AJ59" s="29" t="n"/>
      <c r="AK59" s="29" t="n"/>
      <c r="AL59" s="29" t="n"/>
      <c r="AM59" s="29" t="n"/>
      <c r="AN59" s="29" t="n"/>
      <c r="AO59" s="29" t="n"/>
      <c r="AP59" s="29" t="n"/>
      <c r="AQ59" s="29" t="n"/>
      <c r="AR59" s="29" t="n"/>
    </row>
    <row r="60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  <c r="AB60" s="29" t="n"/>
      <c r="AC60" s="29" t="n"/>
      <c r="AD60" s="29" t="n"/>
      <c r="AE60" s="29" t="n"/>
      <c r="AF60" s="29" t="n"/>
      <c r="AG60" s="29" t="n"/>
      <c r="AH60" s="29" t="n"/>
      <c r="AI60" s="29" t="n"/>
      <c r="AJ60" s="29" t="n"/>
      <c r="AK60" s="29" t="n"/>
      <c r="AL60" s="29" t="n"/>
      <c r="AM60" s="29" t="n"/>
      <c r="AN60" s="29" t="n"/>
      <c r="AO60" s="29" t="n"/>
      <c r="AP60" s="29" t="n"/>
      <c r="AQ60" s="29" t="n"/>
      <c r="AR60" s="29" t="n"/>
    </row>
    <row r="61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  <c r="AB61" s="29" t="n"/>
      <c r="AC61" s="29" t="n"/>
      <c r="AD61" s="29" t="n"/>
      <c r="AE61" s="29" t="n"/>
      <c r="AF61" s="29" t="n"/>
      <c r="AG61" s="29" t="n"/>
      <c r="AH61" s="29" t="n"/>
      <c r="AI61" s="29" t="n"/>
      <c r="AJ61" s="29" t="n"/>
      <c r="AK61" s="29" t="n"/>
      <c r="AL61" s="29" t="n"/>
      <c r="AM61" s="29" t="n"/>
      <c r="AN61" s="29" t="n"/>
      <c r="AO61" s="29" t="n"/>
      <c r="AP61" s="29" t="n"/>
      <c r="AQ61" s="29" t="n"/>
      <c r="AR61" s="29" t="n"/>
    </row>
    <row r="62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  <c r="AB62" s="29" t="n"/>
      <c r="AC62" s="29" t="n"/>
      <c r="AD62" s="29" t="n"/>
      <c r="AE62" s="29" t="n"/>
      <c r="AF62" s="29" t="n"/>
      <c r="AG62" s="29" t="n"/>
      <c r="AH62" s="29" t="n"/>
      <c r="AI62" s="29" t="n"/>
      <c r="AJ62" s="29" t="n"/>
      <c r="AK62" s="29" t="n"/>
      <c r="AL62" s="29" t="n"/>
      <c r="AM62" s="29" t="n"/>
      <c r="AN62" s="29" t="n"/>
      <c r="AO62" s="29" t="n"/>
      <c r="AP62" s="29" t="n"/>
      <c r="AQ62" s="29" t="n"/>
      <c r="AR62" s="29" t="n"/>
    </row>
    <row r="63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  <c r="AB63" s="29" t="n"/>
      <c r="AC63" s="29" t="n"/>
      <c r="AD63" s="29" t="n"/>
      <c r="AE63" s="29" t="n"/>
      <c r="AF63" s="29" t="n"/>
      <c r="AG63" s="29" t="n"/>
      <c r="AH63" s="29" t="n"/>
      <c r="AI63" s="29" t="n"/>
      <c r="AJ63" s="29" t="n"/>
      <c r="AK63" s="29" t="n"/>
      <c r="AL63" s="29" t="n"/>
      <c r="AM63" s="29" t="n"/>
      <c r="AN63" s="29" t="n"/>
      <c r="AO63" s="29" t="n"/>
      <c r="AP63" s="29" t="n"/>
      <c r="AQ63" s="29" t="n"/>
      <c r="AR63" s="29" t="n"/>
    </row>
    <row r="64">
      <c r="A64" s="29" t="n"/>
      <c r="B64" s="29" t="n"/>
      <c r="C64" s="29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  <c r="AB64" s="29" t="n"/>
      <c r="AC64" s="29" t="n"/>
      <c r="AD64" s="29" t="n"/>
      <c r="AE64" s="29" t="n"/>
      <c r="AF64" s="29" t="n"/>
      <c r="AG64" s="29" t="n"/>
      <c r="AH64" s="29" t="n"/>
      <c r="AI64" s="29" t="n"/>
      <c r="AJ64" s="29" t="n"/>
      <c r="AK64" s="29" t="n"/>
      <c r="AL64" s="29" t="n"/>
      <c r="AM64" s="29" t="n"/>
      <c r="AN64" s="29" t="n"/>
      <c r="AO64" s="29" t="n"/>
      <c r="AP64" s="29" t="n"/>
      <c r="AQ64" s="29" t="n"/>
      <c r="AR64" s="29" t="n"/>
    </row>
    <row r="65">
      <c r="A65" s="29" t="n"/>
      <c r="B65" s="29" t="n"/>
      <c r="C65" s="29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  <c r="AB65" s="29" t="n"/>
      <c r="AC65" s="29" t="n"/>
      <c r="AD65" s="29" t="n"/>
      <c r="AE65" s="29" t="n"/>
      <c r="AF65" s="29" t="n"/>
      <c r="AG65" s="29" t="n"/>
      <c r="AH65" s="29" t="n"/>
      <c r="AI65" s="29" t="n"/>
      <c r="AJ65" s="29" t="n"/>
      <c r="AK65" s="29" t="n"/>
      <c r="AL65" s="29" t="n"/>
      <c r="AM65" s="29" t="n"/>
      <c r="AN65" s="29" t="n"/>
      <c r="AO65" s="29" t="n"/>
      <c r="AP65" s="29" t="n"/>
      <c r="AQ65" s="29" t="n"/>
      <c r="AR65" s="29" t="n"/>
    </row>
    <row r="66">
      <c r="A66" s="29" t="n"/>
      <c r="B66" s="29" t="n"/>
      <c r="C66" s="29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  <c r="AB66" s="29" t="n"/>
      <c r="AC66" s="29" t="n"/>
      <c r="AD66" s="29" t="n"/>
      <c r="AE66" s="29" t="n"/>
      <c r="AF66" s="29" t="n"/>
      <c r="AG66" s="29" t="n"/>
      <c r="AH66" s="29" t="n"/>
      <c r="AI66" s="29" t="n"/>
      <c r="AJ66" s="29" t="n"/>
      <c r="AK66" s="29" t="n"/>
      <c r="AL66" s="29" t="n"/>
      <c r="AM66" s="29" t="n"/>
      <c r="AN66" s="29" t="n"/>
      <c r="AO66" s="29" t="n"/>
      <c r="AP66" s="29" t="n"/>
      <c r="AQ66" s="29" t="n"/>
      <c r="AR66" s="29" t="n"/>
    </row>
    <row r="67">
      <c r="A67" s="29" t="n"/>
      <c r="B67" s="29" t="n"/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  <c r="AB67" s="29" t="n"/>
      <c r="AC67" s="29" t="n"/>
      <c r="AD67" s="29" t="n"/>
      <c r="AE67" s="29" t="n"/>
      <c r="AF67" s="29" t="n"/>
      <c r="AG67" s="29" t="n"/>
      <c r="AH67" s="29" t="n"/>
      <c r="AI67" s="29" t="n"/>
      <c r="AJ67" s="29" t="n"/>
      <c r="AK67" s="29" t="n"/>
      <c r="AL67" s="29" t="n"/>
      <c r="AM67" s="29" t="n"/>
      <c r="AN67" s="29" t="n"/>
      <c r="AO67" s="29" t="n"/>
      <c r="AP67" s="29" t="n"/>
      <c r="AQ67" s="29" t="n"/>
      <c r="AR67" s="29" t="n"/>
    </row>
    <row r="68">
      <c r="A68" s="29" t="n"/>
      <c r="B68" s="29" t="n"/>
      <c r="C68" s="29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9" t="n"/>
      <c r="AF68" s="29" t="n"/>
      <c r="AG68" s="29" t="n"/>
      <c r="AH68" s="29" t="n"/>
      <c r="AI68" s="29" t="n"/>
      <c r="AJ68" s="29" t="n"/>
      <c r="AK68" s="29" t="n"/>
      <c r="AL68" s="29" t="n"/>
      <c r="AM68" s="29" t="n"/>
      <c r="AN68" s="29" t="n"/>
      <c r="AO68" s="29" t="n"/>
      <c r="AP68" s="29" t="n"/>
      <c r="AQ68" s="29" t="n"/>
      <c r="AR68" s="29" t="n"/>
    </row>
    <row r="69">
      <c r="A69" s="29" t="n"/>
      <c r="B69" s="29" t="n"/>
      <c r="C69" s="29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  <c r="AB69" s="29" t="n"/>
      <c r="AC69" s="29" t="n"/>
      <c r="AD69" s="29" t="n"/>
      <c r="AE69" s="29" t="n"/>
      <c r="AF69" s="29" t="n"/>
      <c r="AG69" s="29" t="n"/>
      <c r="AH69" s="29" t="n"/>
      <c r="AI69" s="29" t="n"/>
      <c r="AJ69" s="29" t="n"/>
      <c r="AK69" s="29" t="n"/>
      <c r="AL69" s="29" t="n"/>
      <c r="AM69" s="29" t="n"/>
      <c r="AN69" s="29" t="n"/>
      <c r="AO69" s="29" t="n"/>
      <c r="AP69" s="29" t="n"/>
      <c r="AQ69" s="29" t="n"/>
      <c r="AR69" s="29" t="n"/>
    </row>
    <row r="70">
      <c r="A70" s="29" t="n"/>
      <c r="B70" s="29" t="n"/>
      <c r="C70" s="29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  <c r="AB70" s="29" t="n"/>
      <c r="AC70" s="29" t="n"/>
      <c r="AD70" s="29" t="n"/>
      <c r="AE70" s="29" t="n"/>
      <c r="AF70" s="29" t="n"/>
      <c r="AG70" s="29" t="n"/>
      <c r="AH70" s="29" t="n"/>
      <c r="AI70" s="29" t="n"/>
      <c r="AJ70" s="29" t="n"/>
      <c r="AK70" s="29" t="n"/>
      <c r="AL70" s="29" t="n"/>
      <c r="AM70" s="29" t="n"/>
      <c r="AN70" s="29" t="n"/>
      <c r="AO70" s="29" t="n"/>
      <c r="AP70" s="29" t="n"/>
      <c r="AQ70" s="29" t="n"/>
      <c r="AR70" s="29" t="n"/>
    </row>
    <row r="71">
      <c r="A71" s="29" t="n"/>
      <c r="B71" s="29" t="n"/>
      <c r="C71" s="29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  <c r="AB71" s="29" t="n"/>
      <c r="AC71" s="29" t="n"/>
      <c r="AD71" s="29" t="n"/>
      <c r="AE71" s="29" t="n"/>
      <c r="AF71" s="29" t="n"/>
      <c r="AG71" s="29" t="n"/>
      <c r="AH71" s="29" t="n"/>
      <c r="AI71" s="29" t="n"/>
      <c r="AJ71" s="29" t="n"/>
      <c r="AK71" s="29" t="n"/>
      <c r="AL71" s="29" t="n"/>
      <c r="AM71" s="29" t="n"/>
      <c r="AN71" s="29" t="n"/>
      <c r="AO71" s="29" t="n"/>
      <c r="AP71" s="29" t="n"/>
      <c r="AQ71" s="29" t="n"/>
      <c r="AR71" s="29" t="n"/>
    </row>
    <row r="72">
      <c r="A72" s="29" t="n"/>
      <c r="B72" s="29" t="n"/>
      <c r="C72" s="29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  <c r="AB72" s="29" t="n"/>
      <c r="AC72" s="29" t="n"/>
      <c r="AD72" s="29" t="n"/>
      <c r="AE72" s="29" t="n"/>
      <c r="AF72" s="29" t="n"/>
      <c r="AG72" s="29" t="n"/>
      <c r="AH72" s="29" t="n"/>
      <c r="AI72" s="29" t="n"/>
      <c r="AJ72" s="29" t="n"/>
      <c r="AK72" s="29" t="n"/>
      <c r="AL72" s="29" t="n"/>
      <c r="AM72" s="29" t="n"/>
      <c r="AN72" s="29" t="n"/>
      <c r="AO72" s="29" t="n"/>
      <c r="AP72" s="29" t="n"/>
      <c r="AQ72" s="29" t="n"/>
      <c r="AR72" s="29" t="n"/>
    </row>
    <row r="73">
      <c r="A73" s="29" t="n"/>
      <c r="B73" s="29" t="n"/>
      <c r="C73" s="29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  <c r="AB73" s="29" t="n"/>
      <c r="AC73" s="29" t="n"/>
      <c r="AD73" s="29" t="n"/>
      <c r="AE73" s="29" t="n"/>
      <c r="AF73" s="29" t="n"/>
      <c r="AG73" s="29" t="n"/>
      <c r="AH73" s="29" t="n"/>
      <c r="AI73" s="29" t="n"/>
      <c r="AJ73" s="29" t="n"/>
      <c r="AK73" s="29" t="n"/>
      <c r="AL73" s="29" t="n"/>
      <c r="AM73" s="29" t="n"/>
      <c r="AN73" s="29" t="n"/>
      <c r="AO73" s="29" t="n"/>
      <c r="AP73" s="29" t="n"/>
      <c r="AQ73" s="29" t="n"/>
      <c r="AR73" s="29" t="n"/>
    </row>
    <row r="74">
      <c r="A74" s="29" t="n"/>
      <c r="B74" s="29" t="n"/>
      <c r="C74" s="29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  <c r="AB74" s="29" t="n"/>
      <c r="AC74" s="29" t="n"/>
      <c r="AD74" s="29" t="n"/>
      <c r="AE74" s="29" t="n"/>
      <c r="AF74" s="29" t="n"/>
      <c r="AG74" s="29" t="n"/>
      <c r="AH74" s="29" t="n"/>
      <c r="AI74" s="29" t="n"/>
      <c r="AJ74" s="29" t="n"/>
      <c r="AK74" s="29" t="n"/>
      <c r="AL74" s="29" t="n"/>
      <c r="AM74" s="29" t="n"/>
      <c r="AN74" s="29" t="n"/>
      <c r="AO74" s="29" t="n"/>
      <c r="AP74" s="29" t="n"/>
      <c r="AQ74" s="29" t="n"/>
      <c r="AR74" s="29" t="n"/>
    </row>
    <row r="75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  <c r="AB75" s="29" t="n"/>
      <c r="AC75" s="29" t="n"/>
      <c r="AD75" s="29" t="n"/>
      <c r="AE75" s="29" t="n"/>
      <c r="AF75" s="29" t="n"/>
      <c r="AG75" s="29" t="n"/>
      <c r="AH75" s="29" t="n"/>
      <c r="AI75" s="29" t="n"/>
      <c r="AJ75" s="29" t="n"/>
      <c r="AK75" s="29" t="n"/>
      <c r="AL75" s="29" t="n"/>
      <c r="AM75" s="29" t="n"/>
      <c r="AN75" s="29" t="n"/>
      <c r="AO75" s="29" t="n"/>
      <c r="AP75" s="29" t="n"/>
      <c r="AQ75" s="29" t="n"/>
      <c r="AR75" s="29" t="n"/>
    </row>
    <row r="76">
      <c r="A76" s="29" t="n"/>
      <c r="B76" s="29" t="n"/>
      <c r="C76" s="29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  <c r="AB76" s="29" t="n"/>
      <c r="AC76" s="29" t="n"/>
      <c r="AD76" s="29" t="n"/>
      <c r="AE76" s="29" t="n"/>
      <c r="AF76" s="29" t="n"/>
      <c r="AG76" s="29" t="n"/>
      <c r="AH76" s="29" t="n"/>
      <c r="AI76" s="29" t="n"/>
      <c r="AJ76" s="29" t="n"/>
      <c r="AK76" s="29" t="n"/>
      <c r="AL76" s="29" t="n"/>
      <c r="AM76" s="29" t="n"/>
      <c r="AN76" s="29" t="n"/>
      <c r="AO76" s="29" t="n"/>
      <c r="AP76" s="29" t="n"/>
      <c r="AQ76" s="29" t="n"/>
      <c r="AR76" s="29" t="n"/>
    </row>
    <row r="77">
      <c r="A77" s="29" t="n"/>
      <c r="B77" s="29" t="n"/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</row>
  </sheetData>
  <conditionalFormatting sqref="C3:N8">
    <cfRule type="containsText" priority="1" operator="containsText" dxfId="1" text="No match">
      <formula>NOT(ISERROR(SEARCH("No match",C3)))</formula>
    </cfRule>
    <cfRule type="containsText" priority="3" operator="containsText" dxfId="1" text="No components assigned to this element">
      <formula>NOT(ISERROR(SEARCH("No components assigned to this element",C3)))</formula>
    </cfRule>
  </conditionalFormatting>
  <conditionalFormatting sqref="H3:K8">
    <cfRule type="containsText" priority="2" operator="containsText" dxfId="0" text="Not required">
      <formula>NOT(ISERROR(SEARCH("Not required",H3)))</formula>
    </cfRule>
  </conditionalFormatting>
  <dataValidations count="1">
    <dataValidation sqref="B3:B8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theme="3" tint="0.8999908444471572"/>
    <outlinePr summaryBelow="1" summaryRight="1"/>
    <pageSetUpPr/>
  </sheetPr>
  <dimension ref="B1:G14"/>
  <sheetViews>
    <sheetView workbookViewId="0">
      <selection activeCell="B3" sqref="B3:B14"/>
    </sheetView>
  </sheetViews>
  <sheetFormatPr baseColWidth="10" defaultColWidth="11" defaultRowHeight="16"/>
  <sheetData>
    <row r="1">
      <c r="B1" t="inlineStr">
        <is>
          <t>Application</t>
        </is>
      </c>
      <c r="E1" t="inlineStr">
        <is>
          <t>Shearing Layers</t>
        </is>
      </c>
      <c r="G1" t="inlineStr">
        <is>
          <t>Archetypes</t>
        </is>
      </c>
    </row>
    <row r="3">
      <c r="B3" t="inlineStr">
        <is>
          <t>ROOF</t>
        </is>
      </c>
      <c r="E3" t="inlineStr">
        <is>
          <t>SKIN</t>
        </is>
      </c>
      <c r="G3" t="inlineStr">
        <is>
          <t>CMF_1940_1</t>
        </is>
      </c>
    </row>
    <row r="4">
      <c r="B4" t="inlineStr">
        <is>
          <t>TOP_FLOOR</t>
        </is>
      </c>
      <c r="E4" t="inlineStr">
        <is>
          <t>STRUCTURE</t>
        </is>
      </c>
      <c r="G4" t="inlineStr">
        <is>
          <t>CMF_1950</t>
        </is>
      </c>
    </row>
    <row r="5">
      <c r="B5" t="inlineStr">
        <is>
          <t>INTERMEDIATE_FLOOR</t>
        </is>
      </c>
      <c r="E5" t="inlineStr">
        <is>
          <t>SPACE</t>
        </is>
      </c>
      <c r="G5" t="inlineStr">
        <is>
          <t>CMF_1960_1</t>
        </is>
      </c>
    </row>
    <row r="6">
      <c r="B6" t="inlineStr">
        <is>
          <t>GROUND_FLOOR</t>
        </is>
      </c>
      <c r="G6" t="inlineStr">
        <is>
          <t>CMF_1960_2</t>
        </is>
      </c>
    </row>
    <row r="7">
      <c r="B7" t="inlineStr">
        <is>
          <t>BASEMENT_FLOOR</t>
        </is>
      </c>
      <c r="G7" t="inlineStr">
        <is>
          <t>CMF_1970</t>
        </is>
      </c>
    </row>
    <row r="8">
      <c r="B8" t="inlineStr">
        <is>
          <t>EXT_WALL_LOW</t>
        </is>
      </c>
      <c r="G8" t="inlineStr">
        <is>
          <t>CMF_1980</t>
        </is>
      </c>
    </row>
    <row r="9">
      <c r="B9" t="inlineStr">
        <is>
          <t>EXT_WALL_MEDIUM</t>
        </is>
      </c>
    </row>
    <row r="10">
      <c r="B10" t="inlineStr">
        <is>
          <t>EXT_WALL_HIGH</t>
        </is>
      </c>
    </row>
    <row r="11">
      <c r="B11" t="inlineStr">
        <is>
          <t>BASEMENT_WALL</t>
        </is>
      </c>
    </row>
    <row r="12">
      <c r="B12" t="inlineStr">
        <is>
          <t>INT_WALL_LOADBEARING</t>
        </is>
      </c>
    </row>
    <row r="13">
      <c r="B13" t="inlineStr">
        <is>
          <t>INT_WALL_NONLOADBEARING</t>
        </is>
      </c>
    </row>
    <row r="14">
      <c r="B14" t="inlineStr">
        <is>
          <t>EXT_WALL</t>
        </is>
      </c>
    </row>
  </sheetData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Johan Blomsterberg</dc:creator>
  <dcterms:created xsi:type="dcterms:W3CDTF">2025-12-03T09:11:53Z</dcterms:created>
  <dcterms:modified xsi:type="dcterms:W3CDTF">2026-04-17T04:43:41Z</dcterms:modified>
  <cp:lastModifiedBy>Sanjay Somanath</cp:lastModifiedBy>
</cp:coreProperties>
</file>