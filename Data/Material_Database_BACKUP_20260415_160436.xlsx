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sanjay/GitHub/EPSM_data/Data/"/>
    </mc:Choice>
  </mc:AlternateContent>
  <xr:revisionPtr revIDLastSave="0" documentId="13_ncr:1_{B7250B9F-F588-CD43-9068-E592D85C2C70}" xr6:coauthVersionLast="47" xr6:coauthVersionMax="47" xr10:uidLastSave="{00000000-0000-0000-0000-000000000000}"/>
  <bookViews>
    <workbookView xWindow="0" yWindow="660" windowWidth="34200" windowHeight="20100" firstSheet="2" activeTab="4" xr2:uid="{674BB936-5EA3-D94C-A89F-A01CB7CEE187}"/>
  </bookViews>
  <sheets>
    <sheet name="Progress Notes" sheetId="5" r:id="rId1"/>
    <sheet name="Legend" sheetId="9" r:id="rId2"/>
    <sheet name="Opaque_Materials" sheetId="1" r:id="rId3"/>
    <sheet name="Window_Materials" sheetId="2" r:id="rId4"/>
    <sheet name="Layers" sheetId="4" r:id="rId5"/>
    <sheet name="Components" sheetId="3" r:id="rId6"/>
    <sheet name="Elements" sheetId="6" r:id="rId7"/>
    <sheet name="Building" sheetId="7" r:id="rId8"/>
    <sheet name="Dropdowns" sheetId="8" r:id="rId9"/>
  </sheets>
  <externalReferences>
    <externalReference r:id="rId10"/>
  </externalReferences>
  <definedNames>
    <definedName name="building_layer">[1]Dropdowns!$D$5:$D$7</definedName>
    <definedName name="Densities">[1]Densities!$A$4:$E$410</definedName>
    <definedName name="dimension_calc">[1]Dropdowns!$T$5:$T$8</definedName>
    <definedName name="Level1_matcat">[1]Material_classif_dropdowns!$B$5:$B$14</definedName>
    <definedName name="Material_categories">'[1]Crossmatch material classific.'!$A$1:$Z$491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" i="3" l="1"/>
  <c r="A175" i="3"/>
  <c r="A176" i="3"/>
  <c r="A177" i="3"/>
  <c r="A178" i="3"/>
  <c r="A179" i="3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A173" i="3"/>
  <c r="A172" i="3"/>
  <c r="A171" i="3"/>
  <c r="A170" i="3"/>
  <c r="A169" i="3"/>
  <c r="D73" i="6" s="1" a="1"/>
  <c r="A168" i="3"/>
  <c r="A167" i="3"/>
  <c r="A166" i="3"/>
  <c r="A165" i="3"/>
  <c r="A164" i="3"/>
  <c r="A163" i="3"/>
  <c r="A162" i="3"/>
  <c r="A161" i="3"/>
  <c r="A160" i="3"/>
  <c r="A159" i="3"/>
  <c r="D74" i="6" s="1" a="1"/>
  <c r="A158" i="3"/>
  <c r="A157" i="3"/>
  <c r="A156" i="3"/>
  <c r="A155" i="3"/>
  <c r="A154" i="3"/>
  <c r="A153" i="3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 s="1"/>
  <c r="H150" i="3" a="1"/>
  <c r="H150" i="3" s="1"/>
  <c r="H151" i="3" a="1"/>
  <c r="H151" i="3" s="1"/>
  <c r="H152" i="3" a="1"/>
  <c r="H152" i="3" s="1"/>
  <c r="A150" i="3"/>
  <c r="D59" i="6" s="1" a="1"/>
  <c r="A151" i="3"/>
  <c r="A152" i="3"/>
  <c r="A149" i="3"/>
  <c r="A145" i="3"/>
  <c r="A146" i="3"/>
  <c r="A147" i="3"/>
  <c r="A148" i="3"/>
  <c r="D61" i="6" s="1" a="1"/>
  <c r="A132" i="3"/>
  <c r="D51" i="6" s="1" a="1"/>
  <c r="A133" i="3"/>
  <c r="A134" i="3"/>
  <c r="D52" i="6" s="1" a="1"/>
  <c r="A135" i="3"/>
  <c r="A136" i="3"/>
  <c r="D53" i="6" s="1" a="1"/>
  <c r="A137" i="3"/>
  <c r="A138" i="3"/>
  <c r="A139" i="3"/>
  <c r="A140" i="3"/>
  <c r="A141" i="3"/>
  <c r="A142" i="3"/>
  <c r="D54" i="6" s="1" a="1"/>
  <c r="A143" i="3"/>
  <c r="A144" i="3"/>
  <c r="M79" i="4"/>
  <c r="M80" i="4"/>
  <c r="M81" i="4"/>
  <c r="M82" i="4"/>
  <c r="A82" i="4"/>
  <c r="A81" i="4"/>
  <c r="G60" i="1"/>
  <c r="A80" i="4"/>
  <c r="A79" i="4"/>
  <c r="G59" i="1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D55" i="6" a="1"/>
  <c r="D56" i="6" a="1"/>
  <c r="D56" i="6" s="1"/>
  <c r="D57" i="6" a="1"/>
  <c r="D57" i="6" s="1"/>
  <c r="D58" i="6" a="1"/>
  <c r="D58" i="6" s="1"/>
  <c r="K7" i="7" s="1" a="1"/>
  <c r="K7" i="7" s="1"/>
  <c r="D60" i="6" a="1"/>
  <c r="D62" i="6" a="1"/>
  <c r="D63" i="6" a="1"/>
  <c r="D64" i="6" a="1"/>
  <c r="D65" i="6" a="1"/>
  <c r="D66" i="6" a="1"/>
  <c r="D67" i="6" a="1"/>
  <c r="D68" i="6" a="1"/>
  <c r="D68" i="6" s="1"/>
  <c r="I8" i="7" s="1" a="1"/>
  <c r="I8" i="7" s="1"/>
  <c r="D69" i="6" a="1"/>
  <c r="D69" i="6" s="1"/>
  <c r="J8" i="7" s="1" a="1"/>
  <c r="J8" i="7" s="1"/>
  <c r="D70" i="6" a="1"/>
  <c r="D70" i="6" s="1"/>
  <c r="D71" i="6" a="1"/>
  <c r="D72" i="6" a="1"/>
  <c r="D72" i="6" s="1"/>
  <c r="A130" i="3"/>
  <c r="D49" i="6" s="1" a="1"/>
  <c r="A131" i="3"/>
  <c r="A129" i="3"/>
  <c r="D47" i="6" s="1" a="1"/>
  <c r="A124" i="3"/>
  <c r="D43" i="6" s="1" a="1"/>
  <c r="A125" i="3"/>
  <c r="A126" i="3"/>
  <c r="A127" i="3"/>
  <c r="A128" i="3"/>
  <c r="G58" i="1"/>
  <c r="G57" i="1"/>
  <c r="A119" i="3"/>
  <c r="D42" i="6" s="1" a="1"/>
  <c r="A120" i="3"/>
  <c r="A121" i="3"/>
  <c r="A122" i="3"/>
  <c r="A123" i="3"/>
  <c r="A114" i="3"/>
  <c r="D41" i="6" s="1" a="1"/>
  <c r="A115" i="3"/>
  <c r="A116" i="3"/>
  <c r="A117" i="3"/>
  <c r="A118" i="3"/>
  <c r="G56" i="1"/>
  <c r="A72" i="4"/>
  <c r="A109" i="3"/>
  <c r="D19" i="6" s="1" a="1"/>
  <c r="A110" i="3"/>
  <c r="A111" i="3"/>
  <c r="A112" i="3"/>
  <c r="D23" i="6" s="1" a="1"/>
  <c r="A113" i="3"/>
  <c r="D12" i="6" s="1" a="1"/>
  <c r="A70" i="4"/>
  <c r="A71" i="4"/>
  <c r="A73" i="4"/>
  <c r="L73" i="4" s="1"/>
  <c r="A74" i="4"/>
  <c r="L74" i="4" s="1"/>
  <c r="A75" i="4"/>
  <c r="L75" i="4" s="1"/>
  <c r="A76" i="4"/>
  <c r="L76" i="4" s="1"/>
  <c r="A77" i="4"/>
  <c r="A78" i="4"/>
  <c r="L78" i="4" s="1"/>
  <c r="L70" i="4"/>
  <c r="G55" i="1"/>
  <c r="A69" i="4"/>
  <c r="M69" i="4" s="1"/>
  <c r="A108" i="3"/>
  <c r="D7" i="6" s="1" a="1"/>
  <c r="D7" i="6" s="1"/>
  <c r="G4" i="7" s="1" a="1"/>
  <c r="G4" i="7" s="1"/>
  <c r="A68" i="4"/>
  <c r="L68" i="4" s="1"/>
  <c r="A107" i="3"/>
  <c r="A105" i="3"/>
  <c r="A106" i="3"/>
  <c r="A67" i="4"/>
  <c r="L67" i="4" s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3" i="4"/>
  <c r="G8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D6" i="6" s="1" a="1"/>
  <c r="D6" i="6" s="1"/>
  <c r="F4" i="7" s="1" a="1"/>
  <c r="F4" i="7" s="1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3" i="3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3" i="6"/>
  <c r="D40" i="6" a="1"/>
  <c r="D44" i="6" a="1"/>
  <c r="D45" i="6" a="1"/>
  <c r="D46" i="6" a="1"/>
  <c r="D48" i="6" a="1"/>
  <c r="D13" i="6" a="1"/>
  <c r="D14" i="6" a="1"/>
  <c r="D15" i="6" a="1"/>
  <c r="D16" i="6" a="1"/>
  <c r="D17" i="6" a="1"/>
  <c r="D18" i="6" a="1"/>
  <c r="D20" i="6" a="1"/>
  <c r="D21" i="6" a="1"/>
  <c r="D22" i="6" a="1"/>
  <c r="D24" i="6" a="1"/>
  <c r="D25" i="6" a="1"/>
  <c r="D26" i="6" a="1"/>
  <c r="D27" i="6" a="1"/>
  <c r="D28" i="6" a="1"/>
  <c r="D29" i="6" a="1"/>
  <c r="D30" i="6" a="1"/>
  <c r="D31" i="6" a="1"/>
  <c r="D32" i="6" a="1"/>
  <c r="D33" i="6" a="1"/>
  <c r="D34" i="6" a="1"/>
  <c r="D35" i="6" a="1"/>
  <c r="D36" i="6" a="1"/>
  <c r="D37" i="6" a="1"/>
  <c r="D38" i="6" a="1"/>
  <c r="D39" i="6" a="1"/>
  <c r="D3" i="6" a="1"/>
  <c r="G52" i="1"/>
  <c r="G53" i="1"/>
  <c r="G54" i="1"/>
  <c r="G27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H161" i="3" l="1" a="1"/>
  <c r="H161" i="3" s="1"/>
  <c r="H133" i="3" a="1"/>
  <c r="H133" i="3" s="1"/>
  <c r="H141" i="3" a="1"/>
  <c r="H141" i="3" s="1"/>
  <c r="H162" i="3" a="1"/>
  <c r="H162" i="3" s="1"/>
  <c r="H163" i="3" a="1"/>
  <c r="H163" i="3" s="1"/>
  <c r="H156" i="3" a="1"/>
  <c r="H156" i="3" s="1"/>
  <c r="H159" i="3" a="1"/>
  <c r="H159" i="3" s="1"/>
  <c r="H160" i="3" a="1"/>
  <c r="H160" i="3" s="1"/>
  <c r="H158" i="3" a="1"/>
  <c r="H158" i="3" s="1"/>
  <c r="H157" i="3" a="1"/>
  <c r="H157" i="3" s="1"/>
  <c r="H155" i="3" a="1"/>
  <c r="H155" i="3" s="1"/>
  <c r="H174" i="3" a="1"/>
  <c r="H174" i="3" s="1"/>
  <c r="H164" i="3" a="1"/>
  <c r="H164" i="3" s="1"/>
  <c r="H132" i="3" a="1"/>
  <c r="H132" i="3" s="1"/>
  <c r="H153" i="3" a="1"/>
  <c r="H153" i="3" s="1"/>
  <c r="H179" i="3" a="1"/>
  <c r="H179" i="3" s="1"/>
  <c r="H178" i="3" a="1"/>
  <c r="H178" i="3" s="1"/>
  <c r="H175" i="3" a="1"/>
  <c r="H175" i="3" s="1"/>
  <c r="H177" i="3" a="1"/>
  <c r="H177" i="3" s="1"/>
  <c r="H154" i="3" a="1"/>
  <c r="H154" i="3" s="1"/>
  <c r="H176" i="3" a="1"/>
  <c r="H176" i="3" s="1"/>
  <c r="H173" i="3" a="1"/>
  <c r="H173" i="3" s="1"/>
  <c r="D5" i="6" a="1"/>
  <c r="D5" i="6" s="1"/>
  <c r="D50" i="6" a="1"/>
  <c r="J7" i="7" a="1"/>
  <c r="J7" i="7" s="1"/>
  <c r="E4" i="7" a="1"/>
  <c r="E4" i="7" s="1"/>
  <c r="I7" i="7" a="1"/>
  <c r="I7" i="7" s="1"/>
  <c r="M8" i="7" a="1"/>
  <c r="M8" i="7" s="1"/>
  <c r="K8" i="7" a="1"/>
  <c r="K8" i="7" s="1"/>
  <c r="D3" i="6"/>
  <c r="C4" i="7" s="1" a="1"/>
  <c r="C4" i="7" s="1"/>
  <c r="D71" i="6"/>
  <c r="L8" i="7" s="1" a="1"/>
  <c r="L8" i="7" s="1"/>
  <c r="D73" i="6"/>
  <c r="N8" i="7" s="1" a="1"/>
  <c r="N8" i="7" s="1"/>
  <c r="D67" i="6"/>
  <c r="G8" i="7" s="1" a="1"/>
  <c r="G8" i="7" s="1"/>
  <c r="D66" i="6"/>
  <c r="F8" i="7" s="1" a="1"/>
  <c r="F8" i="7" s="1"/>
  <c r="D74" i="6"/>
  <c r="H8" i="7" s="1" a="1"/>
  <c r="H8" i="7" s="1"/>
  <c r="D65" i="6"/>
  <c r="E8" i="7" s="1" a="1"/>
  <c r="E8" i="7" s="1"/>
  <c r="D64" i="6"/>
  <c r="D8" i="7" s="1" a="1"/>
  <c r="D8" i="7" s="1"/>
  <c r="D63" i="6"/>
  <c r="C8" i="7" s="1" a="1"/>
  <c r="C8" i="7" s="1"/>
  <c r="D60" i="6"/>
  <c r="M7" i="7" s="1" a="1"/>
  <c r="M7" i="7" s="1"/>
  <c r="D59" i="6"/>
  <c r="L7" i="7" s="1" a="1"/>
  <c r="L7" i="7" s="1"/>
  <c r="D61" i="6"/>
  <c r="N7" i="7" s="1" a="1"/>
  <c r="N7" i="7" s="1"/>
  <c r="D55" i="6"/>
  <c r="G7" i="7" s="1" a="1"/>
  <c r="G7" i="7" s="1"/>
  <c r="D54" i="6"/>
  <c r="F7" i="7" s="1" a="1"/>
  <c r="F7" i="7" s="1"/>
  <c r="D62" i="6"/>
  <c r="H7" i="7" s="1" a="1"/>
  <c r="H7" i="7" s="1"/>
  <c r="D53" i="6"/>
  <c r="E7" i="7" s="1" a="1"/>
  <c r="E7" i="7" s="1"/>
  <c r="D52" i="6"/>
  <c r="D7" i="7" s="1" a="1"/>
  <c r="D7" i="7" s="1"/>
  <c r="D51" i="6"/>
  <c r="C7" i="7" s="1" a="1"/>
  <c r="C7" i="7" s="1"/>
  <c r="M70" i="4"/>
  <c r="H122" i="3" a="1"/>
  <c r="H122" i="3" s="1"/>
  <c r="H123" i="3" a="1"/>
  <c r="H123" i="3" s="1"/>
  <c r="H128" i="3" a="1"/>
  <c r="H128" i="3" s="1"/>
  <c r="H129" i="3" a="1"/>
  <c r="H129" i="3" s="1"/>
  <c r="H124" i="3" a="1"/>
  <c r="H124" i="3" s="1"/>
  <c r="H126" i="3" a="1"/>
  <c r="H126" i="3" s="1"/>
  <c r="H130" i="3" a="1"/>
  <c r="H130" i="3" s="1"/>
  <c r="H125" i="3" a="1"/>
  <c r="H125" i="3" s="1"/>
  <c r="H127" i="3" a="1"/>
  <c r="H127" i="3" s="1"/>
  <c r="H131" i="3" a="1"/>
  <c r="H131" i="3" s="1"/>
  <c r="H120" i="3" a="1"/>
  <c r="H120" i="3" s="1"/>
  <c r="H121" i="3" a="1"/>
  <c r="H121" i="3" s="1"/>
  <c r="H118" i="3" a="1"/>
  <c r="H118" i="3" s="1"/>
  <c r="H119" i="3" a="1"/>
  <c r="H119" i="3" s="1"/>
  <c r="H116" i="3" a="1"/>
  <c r="H116" i="3" s="1"/>
  <c r="H117" i="3" a="1"/>
  <c r="H117" i="3" s="1"/>
  <c r="L77" i="4"/>
  <c r="H114" i="3" a="1"/>
  <c r="H114" i="3" s="1"/>
  <c r="H115" i="3" a="1"/>
  <c r="H115" i="3" s="1"/>
  <c r="H3" i="3" a="1"/>
  <c r="H3" i="3" s="1"/>
  <c r="L71" i="4"/>
  <c r="M71" i="4"/>
  <c r="H112" i="3" a="1"/>
  <c r="H112" i="3" s="1"/>
  <c r="M72" i="4"/>
  <c r="M73" i="4"/>
  <c r="M74" i="4"/>
  <c r="M75" i="4"/>
  <c r="M76" i="4"/>
  <c r="M77" i="4"/>
  <c r="M78" i="4"/>
  <c r="L72" i="4"/>
  <c r="H111" i="3" a="1"/>
  <c r="H111" i="3" s="1"/>
  <c r="H110" i="3" a="1"/>
  <c r="H110" i="3" s="1"/>
  <c r="H113" i="3" a="1"/>
  <c r="H113" i="3" s="1"/>
  <c r="H109" i="3" a="1"/>
  <c r="H109" i="3" s="1"/>
  <c r="D4" i="6" a="1"/>
  <c r="D4" i="6" s="1"/>
  <c r="D4" i="7" s="1" a="1"/>
  <c r="D4" i="7" s="1"/>
  <c r="D8" i="6" a="1"/>
  <c r="D8" i="6" s="1"/>
  <c r="I4" i="7" s="1" a="1"/>
  <c r="I4" i="7" s="1"/>
  <c r="D9" i="6" a="1"/>
  <c r="D9" i="6" s="1"/>
  <c r="J4" i="7" s="1" a="1"/>
  <c r="J4" i="7" s="1"/>
  <c r="D10" i="6" a="1"/>
  <c r="D10" i="6" s="1"/>
  <c r="K4" i="7" s="1" a="1"/>
  <c r="K4" i="7" s="1"/>
  <c r="D11" i="6" a="1"/>
  <c r="D11" i="6" s="1"/>
  <c r="L4" i="7" s="1" a="1"/>
  <c r="L4" i="7" s="1"/>
  <c r="M45" i="4"/>
  <c r="M66" i="4"/>
  <c r="M46" i="4"/>
  <c r="M47" i="4"/>
  <c r="M48" i="4"/>
  <c r="L69" i="4"/>
  <c r="M67" i="4"/>
  <c r="M68" i="4"/>
  <c r="H105" i="3" a="1"/>
  <c r="H105" i="3" s="1"/>
  <c r="H107" i="3" a="1"/>
  <c r="H107" i="3" s="1"/>
  <c r="H106" i="3" a="1"/>
  <c r="H106" i="3" s="1"/>
  <c r="H108" i="3" a="1"/>
  <c r="H108" i="3" s="1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L31" i="4"/>
  <c r="M31" i="4"/>
  <c r="L32" i="4"/>
  <c r="M32" i="4"/>
  <c r="L33" i="4"/>
  <c r="M33" i="4"/>
  <c r="L34" i="4"/>
  <c r="M34" i="4"/>
  <c r="L35" i="4"/>
  <c r="M35" i="4"/>
  <c r="L36" i="4"/>
  <c r="M36" i="4"/>
  <c r="L37" i="4"/>
  <c r="M37" i="4"/>
  <c r="L38" i="4"/>
  <c r="M38" i="4"/>
  <c r="L39" i="4"/>
  <c r="M39" i="4"/>
  <c r="L40" i="4"/>
  <c r="M40" i="4"/>
  <c r="L41" i="4"/>
  <c r="M41" i="4"/>
  <c r="L42" i="4"/>
  <c r="M42" i="4"/>
  <c r="L43" i="4"/>
  <c r="M43" i="4"/>
  <c r="L44" i="4"/>
  <c r="M44" i="4"/>
  <c r="L49" i="4"/>
  <c r="M49" i="4"/>
  <c r="L50" i="4"/>
  <c r="M50" i="4"/>
  <c r="L51" i="4"/>
  <c r="M51" i="4"/>
  <c r="L52" i="4"/>
  <c r="M52" i="4"/>
  <c r="L53" i="4"/>
  <c r="M53" i="4"/>
  <c r="L54" i="4"/>
  <c r="M54" i="4"/>
  <c r="L55" i="4"/>
  <c r="M55" i="4"/>
  <c r="L56" i="4"/>
  <c r="M56" i="4"/>
  <c r="L57" i="4"/>
  <c r="M57" i="4"/>
  <c r="L58" i="4"/>
  <c r="M58" i="4"/>
  <c r="L59" i="4"/>
  <c r="M59" i="4"/>
  <c r="L60" i="4"/>
  <c r="M60" i="4"/>
  <c r="L61" i="4"/>
  <c r="M61" i="4"/>
  <c r="L62" i="4"/>
  <c r="M62" i="4"/>
  <c r="L63" i="4"/>
  <c r="M63" i="4"/>
  <c r="L64" i="4"/>
  <c r="M64" i="4"/>
  <c r="L65" i="4"/>
  <c r="M65" i="4"/>
  <c r="L3" i="4"/>
  <c r="M3" i="4"/>
  <c r="L45" i="4"/>
  <c r="H91" i="3" a="1"/>
  <c r="H91" i="3" s="1"/>
  <c r="H92" i="3" a="1"/>
  <c r="H92" i="3" s="1"/>
  <c r="H90" i="3" a="1"/>
  <c r="H90" i="3" s="1"/>
  <c r="H93" i="3" a="1"/>
  <c r="H93" i="3" s="1"/>
  <c r="H74" i="3" a="1"/>
  <c r="H74" i="3" s="1"/>
  <c r="H73" i="3" a="1"/>
  <c r="H73" i="3" s="1"/>
  <c r="H75" i="3" a="1"/>
  <c r="H75" i="3" s="1"/>
  <c r="L46" i="4"/>
  <c r="H95" i="3" a="1"/>
  <c r="H95" i="3" s="1"/>
  <c r="H94" i="3" a="1"/>
  <c r="H94" i="3" s="1"/>
  <c r="H96" i="3" a="1"/>
  <c r="H96" i="3" s="1"/>
  <c r="H97" i="3" a="1"/>
  <c r="H97" i="3" s="1"/>
  <c r="L47" i="4"/>
  <c r="H100" i="3" a="1"/>
  <c r="H100" i="3" s="1"/>
  <c r="H102" i="3" a="1"/>
  <c r="H102" i="3" s="1"/>
  <c r="H101" i="3" a="1"/>
  <c r="H101" i="3" s="1"/>
  <c r="H99" i="3" a="1"/>
  <c r="H99" i="3" s="1"/>
  <c r="H103" i="3" a="1"/>
  <c r="H103" i="3" s="1"/>
  <c r="H98" i="3" a="1"/>
  <c r="H98" i="3" s="1"/>
  <c r="L48" i="4"/>
  <c r="H104" i="3" a="1"/>
  <c r="H104" i="3" s="1"/>
  <c r="H40" i="3" a="1"/>
  <c r="H40" i="3" s="1"/>
  <c r="H37" i="3" a="1"/>
  <c r="H37" i="3" s="1"/>
  <c r="H36" i="3" a="1"/>
  <c r="H36" i="3" s="1"/>
  <c r="H68" i="3" a="1"/>
  <c r="H68" i="3" s="1"/>
  <c r="H65" i="3" a="1"/>
  <c r="H65" i="3" s="1"/>
  <c r="H63" i="3" a="1"/>
  <c r="H63" i="3" s="1"/>
  <c r="H32" i="3" a="1"/>
  <c r="H32" i="3" s="1"/>
  <c r="H38" i="3" a="1"/>
  <c r="H38" i="3" s="1"/>
  <c r="H43" i="3" a="1"/>
  <c r="H43" i="3" s="1"/>
  <c r="H46" i="3" a="1"/>
  <c r="H46" i="3" s="1"/>
  <c r="H50" i="3" a="1"/>
  <c r="H50" i="3" s="1"/>
  <c r="H53" i="3" a="1"/>
  <c r="H53" i="3" s="1"/>
  <c r="H56" i="3" a="1"/>
  <c r="H56" i="3" s="1"/>
  <c r="H59" i="3" a="1"/>
  <c r="H59" i="3" s="1"/>
  <c r="H62" i="3" a="1"/>
  <c r="H62" i="3" s="1"/>
  <c r="H66" i="3" a="1"/>
  <c r="H66" i="3" s="1"/>
  <c r="H69" i="3" a="1"/>
  <c r="H69" i="3" s="1"/>
  <c r="H72" i="3" a="1"/>
  <c r="H72" i="3" s="1"/>
  <c r="H35" i="3" a="1"/>
  <c r="H35" i="3" s="1"/>
  <c r="H33" i="3" a="1"/>
  <c r="H33" i="3" s="1"/>
  <c r="H60" i="3" a="1"/>
  <c r="H60" i="3" s="1"/>
  <c r="H57" i="3" a="1"/>
  <c r="H57" i="3" s="1"/>
  <c r="H54" i="3" a="1"/>
  <c r="H54" i="3" s="1"/>
  <c r="H41" i="3" a="1"/>
  <c r="H41" i="3" s="1"/>
  <c r="H42" i="3" a="1"/>
  <c r="H42" i="3" s="1"/>
  <c r="H45" i="3" a="1"/>
  <c r="H45" i="3" s="1"/>
  <c r="H48" i="3" a="1"/>
  <c r="H48" i="3" s="1"/>
  <c r="H52" i="3" a="1"/>
  <c r="H52" i="3" s="1"/>
  <c r="H55" i="3" a="1"/>
  <c r="H55" i="3" s="1"/>
  <c r="H58" i="3" a="1"/>
  <c r="H58" i="3" s="1"/>
  <c r="H61" i="3" a="1"/>
  <c r="H61" i="3" s="1"/>
  <c r="H64" i="3" a="1"/>
  <c r="H64" i="3" s="1"/>
  <c r="H67" i="3" a="1"/>
  <c r="H67" i="3" s="1"/>
  <c r="H70" i="3" a="1"/>
  <c r="H70" i="3" s="1"/>
  <c r="H31" i="3" a="1"/>
  <c r="H31" i="3" s="1"/>
  <c r="H30" i="3" a="1"/>
  <c r="H30" i="3" s="1"/>
  <c r="H51" i="3" a="1"/>
  <c r="H51" i="3" s="1"/>
  <c r="H47" i="3" a="1"/>
  <c r="H47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8" i="3" a="1"/>
  <c r="H88" i="3" s="1"/>
  <c r="H89" i="3" a="1"/>
  <c r="H89" i="3" s="1"/>
  <c r="H29" i="3" a="1"/>
  <c r="H29" i="3" s="1"/>
  <c r="H44" i="3" a="1"/>
  <c r="H44" i="3" s="1"/>
  <c r="H39" i="3" a="1"/>
  <c r="H39" i="3" s="1"/>
  <c r="H71" i="3" a="1"/>
  <c r="H71" i="3" s="1"/>
  <c r="H87" i="3" a="1"/>
  <c r="H87" i="3" s="1"/>
  <c r="H49" i="3" a="1"/>
  <c r="H49" i="3" s="1"/>
  <c r="H22" i="3" a="1"/>
  <c r="H22" i="3" s="1"/>
  <c r="H27" i="3" a="1"/>
  <c r="H27" i="3" s="1"/>
  <c r="H25" i="3" a="1"/>
  <c r="H25" i="3" s="1"/>
  <c r="H23" i="3" a="1"/>
  <c r="H23" i="3" s="1"/>
  <c r="H21" i="3" a="1"/>
  <c r="H21" i="3" s="1"/>
  <c r="H28" i="3" a="1"/>
  <c r="H28" i="3" s="1"/>
  <c r="H26" i="3" a="1"/>
  <c r="H26" i="3" s="1"/>
  <c r="H24" i="3" a="1"/>
  <c r="H24" i="3" s="1"/>
  <c r="H20" i="3" a="1"/>
  <c r="H20" i="3" s="1"/>
  <c r="H14" i="3" a="1"/>
  <c r="H14" i="3" s="1"/>
  <c r="H15" i="3" a="1"/>
  <c r="H15" i="3" s="1"/>
  <c r="L66" i="4"/>
  <c r="H16" i="3" a="1"/>
  <c r="H16" i="3" s="1"/>
  <c r="H18" i="3" a="1"/>
  <c r="H18" i="3" s="1"/>
  <c r="H17" i="3" a="1"/>
  <c r="H17" i="3" s="1"/>
  <c r="H19" i="3" a="1"/>
  <c r="H19" i="3" s="1"/>
  <c r="H8" i="3" a="1"/>
  <c r="H8" i="3" s="1"/>
  <c r="H7" i="3" a="1"/>
  <c r="H7" i="3" s="1"/>
  <c r="H9" i="3" a="1"/>
  <c r="H9" i="3" s="1"/>
  <c r="H10" i="3" a="1"/>
  <c r="H10" i="3" s="1"/>
  <c r="H12" i="3" a="1"/>
  <c r="H12" i="3" s="1"/>
  <c r="H11" i="3" a="1"/>
  <c r="H11" i="3" s="1"/>
  <c r="H13" i="3" a="1"/>
  <c r="H13" i="3" s="1"/>
  <c r="H34" i="3" a="1"/>
  <c r="H34" i="3" s="1"/>
  <c r="H5" i="3" a="1"/>
  <c r="H5" i="3" s="1"/>
  <c r="H6" i="3" a="1"/>
  <c r="H6" i="3" s="1"/>
  <c r="H4" i="3" a="1"/>
  <c r="H4" i="3" s="1"/>
  <c r="D40" i="6"/>
  <c r="D6" i="7" s="1" a="1"/>
  <c r="D6" i="7" s="1"/>
  <c r="D45" i="6"/>
  <c r="J6" i="7" s="1" a="1"/>
  <c r="J6" i="7" s="1"/>
  <c r="D49" i="6"/>
  <c r="N6" i="7" s="1" a="1"/>
  <c r="N6" i="7" s="1"/>
  <c r="D50" i="6"/>
  <c r="H6" i="7" s="1" a="1"/>
  <c r="H6" i="7" s="1"/>
  <c r="D47" i="6"/>
  <c r="L6" i="7" s="1" a="1"/>
  <c r="L6" i="7" s="1"/>
  <c r="D43" i="6"/>
  <c r="G6" i="7" s="1" a="1"/>
  <c r="G6" i="7" s="1"/>
  <c r="D42" i="6"/>
  <c r="F6" i="7" s="1" a="1"/>
  <c r="F6" i="7" s="1"/>
  <c r="D48" i="6"/>
  <c r="M6" i="7" s="1" a="1"/>
  <c r="M6" i="7" s="1"/>
  <c r="D41" i="6"/>
  <c r="E6" i="7" s="1" a="1"/>
  <c r="E6" i="7" s="1"/>
  <c r="D46" i="6"/>
  <c r="K6" i="7" s="1" a="1"/>
  <c r="K6" i="7" s="1"/>
  <c r="D44" i="6"/>
  <c r="I6" i="7" s="1" a="1"/>
  <c r="I6" i="7" s="1"/>
  <c r="D39" i="6"/>
  <c r="C6" i="7" s="1" a="1"/>
  <c r="C6" i="7" s="1"/>
  <c r="D38" i="6"/>
  <c r="H5" i="7" s="1" a="1"/>
  <c r="H5" i="7" s="1"/>
  <c r="D37" i="6"/>
  <c r="N5" i="7" s="1" a="1"/>
  <c r="N5" i="7" s="1"/>
  <c r="D36" i="6"/>
  <c r="M5" i="7" s="1" a="1"/>
  <c r="M5" i="7" s="1"/>
  <c r="D35" i="6"/>
  <c r="L5" i="7" s="1" a="1"/>
  <c r="L5" i="7" s="1"/>
  <c r="D34" i="6"/>
  <c r="K5" i="7" s="1" a="1"/>
  <c r="K5" i="7" s="1"/>
  <c r="D33" i="6"/>
  <c r="J5" i="7" s="1" a="1"/>
  <c r="J5" i="7" s="1"/>
  <c r="D32" i="6"/>
  <c r="I5" i="7" s="1" a="1"/>
  <c r="I5" i="7" s="1"/>
  <c r="D31" i="6"/>
  <c r="G5" i="7" s="1" a="1"/>
  <c r="G5" i="7" s="1"/>
  <c r="D30" i="6"/>
  <c r="F5" i="7" s="1" a="1"/>
  <c r="F5" i="7" s="1"/>
  <c r="D29" i="6"/>
  <c r="E5" i="7" s="1" a="1"/>
  <c r="E5" i="7" s="1"/>
  <c r="D28" i="6"/>
  <c r="D5" i="7" s="1" a="1"/>
  <c r="D5" i="7" s="1"/>
  <c r="D27" i="6"/>
  <c r="C5" i="7" s="1" a="1"/>
  <c r="D26" i="6"/>
  <c r="H3" i="7" s="1" a="1"/>
  <c r="H3" i="7" s="1"/>
  <c r="D25" i="6"/>
  <c r="N3" i="7" s="1" a="1"/>
  <c r="N3" i="7" s="1"/>
  <c r="D24" i="6"/>
  <c r="M3" i="7" s="1" a="1"/>
  <c r="M3" i="7" s="1"/>
  <c r="D23" i="6"/>
  <c r="L3" i="7" s="1" a="1"/>
  <c r="L3" i="7" s="1"/>
  <c r="D22" i="6"/>
  <c r="K3" i="7" s="1" a="1"/>
  <c r="K3" i="7" s="1"/>
  <c r="D21" i="6"/>
  <c r="J3" i="7" s="1" a="1"/>
  <c r="J3" i="7" s="1"/>
  <c r="D20" i="6"/>
  <c r="I3" i="7" s="1" a="1"/>
  <c r="I3" i="7" s="1"/>
  <c r="D19" i="6"/>
  <c r="G3" i="7" s="1" a="1"/>
  <c r="G3" i="7" s="1"/>
  <c r="D18" i="6"/>
  <c r="F3" i="7" s="1" a="1"/>
  <c r="F3" i="7" s="1"/>
  <c r="D17" i="6"/>
  <c r="E3" i="7" s="1" a="1"/>
  <c r="E3" i="7" s="1"/>
  <c r="D16" i="6"/>
  <c r="D3" i="7" s="1" a="1"/>
  <c r="D3" i="7" s="1"/>
  <c r="D15" i="6"/>
  <c r="C3" i="7" s="1" a="1"/>
  <c r="C3" i="7" s="1"/>
  <c r="D14" i="6"/>
  <c r="H4" i="7" s="1" a="1"/>
  <c r="H4" i="7" s="1"/>
  <c r="D13" i="6"/>
  <c r="N4" i="7" s="1" a="1"/>
  <c r="N4" i="7" s="1"/>
  <c r="D12" i="6"/>
  <c r="M4" i="7" s="1" a="1"/>
  <c r="M4" i="7" s="1"/>
  <c r="C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tc={8439B3D6-0357-4A6E-80B6-477BF215D2E5}</author>
    <author>tc={689D4A60-BC3A-41A6-AA8F-BA2A7AEBD92B}</author>
    <author>tc={60C3ACBD-11DC-4E5A-8982-39BFA6357055}</author>
    <author>tc={8F93866A-2C69-401A-B5E9-6F6FA0AF0850}</author>
    <author>tc={3F381634-6307-4424-B783-0C4926A2DF31}</author>
    <author>tc={608D6777-6203-4086-81E3-C934DD338A03}</author>
    <author>tc={16A35377-F5F2-4E6F-82E5-2DF2A821E7E3}</author>
    <author>tc={F9EADB23-C9C2-47F2-B208-9F107D1A5685}</author>
    <author>tc={EB9FE550-60E5-4066-BCC4-4940DDC57986}</author>
    <author>tc={FDA11E03-8216-4E14-8C68-2985D889CD2B}</author>
    <author>tc={E189236B-29BC-4FBF-BD55-703BF6F65310}</author>
    <author>tc={CAB819BC-D558-4B8A-A5D7-E254FCFA2940}</author>
    <author>tc={A91CFF9D-24C2-7D4C-8A5A-C821F4603BE6}</author>
    <author>tc={A45BF46D-A674-4AFE-A07B-BD8000C38B3B}</author>
    <author>tc={A558980E-4EF2-47AE-91AE-26814F535930}</author>
    <author>tc={771EC7A8-7E98-4EE3-8CE0-60E4413EA58F}</author>
    <author>tc={C61FC947-7DA0-4235-A80A-13B7BD0E353A}</author>
    <author>tc={8C113791-4B3B-447A-8F5D-935712584495}</author>
    <author>tc={A7EACFDF-ACCB-4ECC-8971-4AAD9B42085D}</author>
    <author>tc={FAB73CF7-871D-4384-AEC7-0887DEEF16D9}</author>
    <author>tc={844ECA2B-5CB8-4251-A8E2-BA9F6656CA8C}</author>
    <author>tc={46D977AB-0BAF-4E50-A809-0CB94616908B}</author>
    <author>tc={A8C4AFD0-50F0-4B78-AD99-A5F6948A2166}</author>
    <author>tc={822F3731-5822-4B05-B777-D6D2CA87D0AF}</author>
    <author>tc={E848021D-A0CC-42E2-8B38-0B790B69E9E4}</author>
    <author>tc={0DFD5378-53CB-47EA-931C-0752AF90F40F}</author>
    <author>tc={A0D69824-8F68-4FEE-AD67-E8178752B0A7}</author>
    <author>tc={38704AB3-8439-4169-ABE3-0AD3200C839F}</author>
  </authors>
  <commentList>
    <comment ref="E7" authorId="0" shapeId="0" xr:uid="{8439B3D6-0357-4A6E-80B6-477BF215D2E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https://www.metalsupermarkets.co.uk/product/mild-steel-sheet-galvanised/#:~:text=Framework,Thermal%20Expansion:%2012.06%20%C2%B5m/m%2Dk</t>
      </text>
    </comment>
    <comment ref="C8" authorId="1" shapeId="0" xr:uid="{689D4A60-BC3A-41A6-AA8F-BA2A7AEBD9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Restproducts that are sometimes used are similar</t>
      </text>
    </comment>
    <comment ref="E8" authorId="2" shapeId="0" xr:uid="{60C3ACBD-11DC-4E5A-8982-39BFA6357055}">
      <text>
        <t>[Threaded comment]
Your version of Excel allows you to read this threaded comment; however, any edits to it will get removed if the file is opened in a newer version of Excel. Learn more: https://go.microsoft.com/fwlink/?linkid=870924
Comment:
    SS-EN ISO 10456, Table 4</t>
      </text>
    </comment>
    <comment ref="E10" authorId="3" shapeId="0" xr:uid="{8F93866A-2C69-401A-B5E9-6F6FA0AF0850}">
      <text>
        <t>[Threaded comment]
Your version of Excel allows you to read this threaded comment; however, any edits to it will get removed if the file is opened in a newer version of Excel. Learn more: https://go.microsoft.com/fwlink/?linkid=870924
Comment:
    ISO Table 3</t>
      </text>
    </comment>
    <comment ref="E11" authorId="4" shapeId="0" xr:uid="{3F381634-6307-4424-B783-0C4926A2DF31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autoclaved concrete Table 4, SS-EN ISO 10456 </t>
      </text>
    </comment>
    <comment ref="E12" authorId="5" shapeId="0" xr:uid="{608D6777-6203-4086-81E3-C934DD338A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Conductivity might be low compared to others (cement, sand: Table 3)</t>
      </text>
    </comment>
    <comment ref="C16" authorId="6" shapeId="0" xr:uid="{16A35377-F5F2-4E6F-82E5-2DF2A821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 desc: Wood wool panels are made by mixing wood shavings with cement and lime as a binder and any paint.</t>
      </text>
    </comment>
    <comment ref="E16" authorId="7" shapeId="0" xr:uid="{F9EADB23-C9C2-47F2-B208-9F107D1A5685}">
      <text>
        <t>[Threaded comment]
Your version of Excel allows you to read this threaded comment; however, any edits to it will get removed if the file is opened in a newer version of Excel. Learn more: https://go.microsoft.com/fwlink/?linkid=870924
Comment:
    Cement bonded particle board, Table 3</t>
      </text>
    </comment>
    <comment ref="E17" authorId="8" shapeId="0" xr:uid="{EB9FE550-60E5-4066-BCC4-4940DDC5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when comparing values https://www.engineeringtoolbox.com/specific-heat-solids-d_154.html
https://www.engineeringtoolbox.com/thermal-conductivity-d_429.html</t>
      </text>
    </comment>
    <comment ref="C18" authorId="9" shapeId="0" xr:uid="{FDA11E03-8216-4E14-8C68-2985D889CD2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  <comment ref="E24" authorId="10" shapeId="0" xr:uid="{E189236B-29BC-4FBF-BD55-703BF6F653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C27" authorId="11" shapeId="0" xr:uid="{CAB819BC-D558-4B8A-A5D7-E254FCFA2940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without the asbestos</t>
      </text>
    </comment>
    <comment ref="E27" authorId="12" shapeId="0" xr:uid="{A91CFF9D-24C2-7D4C-8A5A-C821F4603BE6}">
      <text>
        <t>[Threaded comment]
Your version of Excel allows you to read this threaded comment; however, any edits to it will get removed if the file is opened in a newer version of Excel. Learn more: https://go.microsoft.com/fwlink/?linkid=870924
Comment:
    Cement bonded particle board, Table 3</t>
      </text>
    </comment>
    <comment ref="C28" authorId="13" shapeId="0" xr:uid="{A45BF46D-A674-4AFE-A07B-BD8000C38B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bitumen, otherwise 6000000140</t>
      </text>
    </comment>
    <comment ref="E28" authorId="14" shapeId="0" xr:uid="{A558980E-4EF2-47AE-91AE-26814F535930}">
      <text>
        <t>[Threaded comment]
Your version of Excel allows you to read this threaded comment; however, any edits to it will get removed if the file is opened in a newer version of Excel. Learn more: https://go.microsoft.com/fwlink/?linkid=870924
Comment:
    ISO, table 3 under bitumen</t>
      </text>
    </comment>
    <comment ref="C29" authorId="15" shapeId="0" xr:uid="{771EC7A8-7E98-4EE3-8CE0-60E4413EA5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plastic product</t>
      </text>
    </comment>
    <comment ref="E30" authorId="16" shapeId="0" xr:uid="{C61FC947-7DA0-4235-A80A-13B7BD0E353A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3, under wood-based panels</t>
      </text>
    </comment>
    <comment ref="C31" authorId="17" shapeId="0" xr:uid="{8C113791-4B3B-447A-8F5D-935712584495}">
      <text>
        <t>[Threaded comment]
Your version of Excel allows you to read this threaded comment; however, any edits to it will get removed if the file is opened in a newer version of Excel. Learn more: https://go.microsoft.com/fwlink/?linkid=870924
Comment:
    lättklinkerkulor</t>
      </text>
    </comment>
    <comment ref="E31" authorId="18" shapeId="0" xr:uid="{A7EACFDF-ACCB-4ECC-8971-4AAD9B42085D}">
      <text>
        <t>[Threaded comment]
Your version of Excel allows you to read this threaded comment; however, any edits to it will get removed if the file is opened in a newer version of Excel. Learn more: https://go.microsoft.com/fwlink/?linkid=870924
Comment:
    ISO 10456 Table 4, under insulation/masonry materials:
Loose-fill expanded clay,</t>
      </text>
    </comment>
    <comment ref="E36" authorId="19" shapeId="0" xr:uid="{FAB73CF7-871D-4384-AEC7-0887DEEF16D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47" authorId="20" shapeId="0" xr:uid="{844ECA2B-5CB8-4251-A8E2-BA9F6656CA8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Plastic product used as a vapor barrier</t>
      </text>
    </comment>
    <comment ref="A53" authorId="21" shapeId="0" xr:uid="{46D977AB-0BAF-4E50-A809-0CB9461690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ceramic tile</t>
      </text>
    </comment>
    <comment ref="A54" authorId="22" shapeId="0" xr:uid="{A8C4AFD0-50F0-4B78-AD99-A5F6948A2166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plastic mat</t>
      </text>
    </comment>
    <comment ref="A55" authorId="23" shapeId="0" xr:uid="{822F3731-5822-4B05-B777-D6D2CA87D0A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concrete mixed with sawdust, seems like a similar mix</t>
      </text>
    </comment>
    <comment ref="C56" authorId="24" shapeId="0" xr:uid="{E848021D-A0CC-42E2-8B38-0B790B69E9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necessarilly sand, but more like processed sand?</t>
      </text>
    </comment>
    <comment ref="C58" authorId="25" shapeId="0" xr:uid="{0DFD5378-53CB-47EA-931C-0752AF90F4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necessarilly sand, but more like processed sand?</t>
      </text>
    </comment>
    <comment ref="E58" authorId="26" shapeId="0" xr:uid="{A0D69824-8F68-4FEE-AD67-E8178752B0A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gravel</t>
      </text>
    </comment>
    <comment ref="C60" authorId="27" shapeId="0" xr:uid="{38704AB3-8439-4169-ABE3-0AD3200C83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to no impact (still transport accounted for)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tc={5E27E27F-F63F-4BB0-9353-68268EDCE23F}</author>
    <author>tc={3D9EF86A-3862-43DF-9C17-9C3FC6D289C0}</author>
    <author>tc={8AA6B5C5-6D41-445E-940F-A7B0C47D947F}</author>
  </authors>
  <commentList>
    <comment ref="B4" authorId="0" shapeId="0" xr:uid="{5E27E27F-F63F-4BB0-9353-68268EDC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6" authorId="1" shapeId="0" xr:uid="{3D9EF86A-3862-43DF-9C17-9C3FC6D2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7" authorId="2" shapeId="0" xr:uid="{8AA6B5C5-6D41-445E-940F-A7B0C47D9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F53D3-3D9E-4C6F-879F-2CBBC8B4AD54}" keepAlive="1" name="Query - Opaque_Materials" description="Connection to the 'Opaque_Materials' query in the workbook." type="5" refreshedVersion="0" background="1">
    <dbPr connection="Provider=Microsoft.Mashup.OleDb.1;Data Source=$Workbook$;Location=Opaque_Materials;Extended Properties=&quot;&quot;" command="SELECT * FROM [Opaque_Material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<sst xmlns="http://schemas.openxmlformats.org/spreadsheetml/2006/main" count="1580" uniqueCount="350">
  <si>
    <t>Date</t>
  </si>
  <si>
    <t>Sheet</t>
  </si>
  <si>
    <t>Note</t>
  </si>
  <si>
    <t>Status</t>
  </si>
  <si>
    <t>Reference (Så byggdes husen 1880 - 2020)</t>
  </si>
  <si>
    <t>Archetype</t>
  </si>
  <si>
    <t>ROOF</t>
  </si>
  <si>
    <t>TOP_FLOOR</t>
  </si>
  <si>
    <t>INTERMEDIATE_FLOOR</t>
  </si>
  <si>
    <t>GROUND_FLOOR</t>
  </si>
  <si>
    <t>BASEMENT_FLOOR</t>
  </si>
  <si>
    <t>EXT_WALL_LOW</t>
  </si>
  <si>
    <t>EXT_WALL_MEDIUM</t>
  </si>
  <si>
    <t>EXT_WALL_HIGH</t>
  </si>
  <si>
    <t>BASEMENT_WALL</t>
  </si>
  <si>
    <t>INT_WALL_LOADBEARING</t>
  </si>
  <si>
    <t>INT_WALL_NONLOADBEARING</t>
  </si>
  <si>
    <t>EXT_WALL</t>
  </si>
  <si>
    <t>Date of change/comment.</t>
  </si>
  <si>
    <t>The sheet that changes/comments concern</t>
  </si>
  <si>
    <t>Short description of content</t>
  </si>
  <si>
    <t>Completed/Pending</t>
  </si>
  <si>
    <t>Page 80 - 81</t>
  </si>
  <si>
    <t>CMF_1940_1</t>
  </si>
  <si>
    <t>x</t>
  </si>
  <si>
    <t>Opaque_Materials &amp; Window_Materials</t>
  </si>
  <si>
    <t>Complete adding the materials for the two archetypes</t>
  </si>
  <si>
    <t>Completed</t>
  </si>
  <si>
    <t>Page 94 - 95</t>
  </si>
  <si>
    <t>CMF_1950</t>
  </si>
  <si>
    <t>Confidence matching between Id's (create a new column for boverket and one for honeybee high-low confidence)</t>
  </si>
  <si>
    <t>CMF_1960_1</t>
  </si>
  <si>
    <t>Naming needs to be cleaned up; lowercase, no spaces no special characters...all similar and remove duplicates</t>
  </si>
  <si>
    <t>Page 98 - 99</t>
  </si>
  <si>
    <t>CMF_1960_2</t>
  </si>
  <si>
    <t>Double check that all of the honeybee materials are not of no mass type</t>
  </si>
  <si>
    <t>Pending</t>
  </si>
  <si>
    <t>Pages 112 - 113</t>
  </si>
  <si>
    <t>CMF_1970</t>
  </si>
  <si>
    <t>Layers</t>
  </si>
  <si>
    <t>split the layer names column into name and materials that its made up of</t>
  </si>
  <si>
    <t>CMF_1980</t>
  </si>
  <si>
    <t>Identify which layers need to have a composite u-value (need area fraction), add flag (column) that signifies if its a composite layer or not</t>
  </si>
  <si>
    <t>Friday, 5 December 2025</t>
  </si>
  <si>
    <t>add ignore column for red ones to keep track of not used materials</t>
  </si>
  <si>
    <t>All Sheets</t>
  </si>
  <si>
    <r>
      <rPr>
        <sz val="12"/>
        <color rgb="FF000000"/>
        <rFont val="Calibri"/>
        <family val="2"/>
      </rPr>
      <t xml:space="preserve">Documentation/logbok </t>
    </r>
    <r>
      <rPr>
        <b/>
        <sz val="12"/>
        <color rgb="FF000000"/>
        <rFont val="Calibri"/>
        <family val="2"/>
      </rPr>
      <t>when its finished</t>
    </r>
    <r>
      <rPr>
        <sz val="12"/>
        <color rgb="FF000000"/>
        <rFont val="Calibri"/>
        <family val="2"/>
      </rPr>
      <t xml:space="preserve"> to track process</t>
    </r>
  </si>
  <si>
    <t>Mark the lowconfidence w pink</t>
  </si>
  <si>
    <t>Thursday, 11 December 2025</t>
  </si>
  <si>
    <t>Window_Materials</t>
  </si>
  <si>
    <t>Complete exteral database mapping and specifically to simple glazing materials in the Honeybee library and do a confidence scoring for the materials</t>
  </si>
  <si>
    <t>Maculated</t>
  </si>
  <si>
    <t>For the current archetypes, identify components, layers and materials for internal structures from the BUD_MI data</t>
  </si>
  <si>
    <t>Components</t>
  </si>
  <si>
    <t>Add column or switch out Component Name for a code describing the components similar to the Layer codes. Also Switch out the Layer identifier for the layer code instead</t>
  </si>
  <si>
    <t>Elements</t>
  </si>
  <si>
    <t>Make a sheet for Elements that should be combinations of components. Make sure to add a column for area ratio of component relative the total area of overall element</t>
  </si>
  <si>
    <t>Syncronise components in Excel with Enums in Python script</t>
  </si>
  <si>
    <t>Add component codes for all components and clean up window components so that they refer back to layers using simple glazing materials</t>
  </si>
  <si>
    <t>Friday, 12 December 2025</t>
  </si>
  <si>
    <t>For tall buildings, move no. Floors to notes and categorize between low, mid, high</t>
  </si>
  <si>
    <t>Tuesday, 20 January 2026</t>
  </si>
  <si>
    <t>Layers, Components</t>
  </si>
  <si>
    <t>Add data for CMF_1940_1 bottom floor from BUD_MI</t>
  </si>
  <si>
    <t>Simulation workflow, what tests we have ran for sensitivty analysis. Why do we do these analysis? Cold attic, heating setpoints etc.</t>
  </si>
  <si>
    <t>Ask questions about renovation stratergies</t>
  </si>
  <si>
    <t>Formula (Only extend downwards when adding data)</t>
  </si>
  <si>
    <t>Optional Input</t>
  </si>
  <si>
    <t>Data Validation (Choose from dropdown list to ensure data is linked)</t>
  </si>
  <si>
    <t>Conditional Formatting</t>
  </si>
  <si>
    <t>Manual Input</t>
  </si>
  <si>
    <t>Material Name</t>
  </si>
  <si>
    <t>Ignore?</t>
  </si>
  <si>
    <t>Boverket ID</t>
  </si>
  <si>
    <t>Boverket Match Confidence</t>
  </si>
  <si>
    <t>Honeybee Identifier</t>
  </si>
  <si>
    <t>Honeybee Match Confidence</t>
  </si>
  <si>
    <t>Combined Match Confidence</t>
  </si>
  <si>
    <t>Human-readable material name for the matched materials.</t>
  </si>
  <si>
    <t>An X if the material should be ignored/not used</t>
  </si>
  <si>
    <t>Boverket ID to inherit environmental impact values</t>
  </si>
  <si>
    <t>A confidence score (1-10) for how good the match between BUD_MI and Boverket is.</t>
  </si>
  <si>
    <t>Honeybee Materal name (identifier) to inherit thermal material properties</t>
  </si>
  <si>
    <t>A confidence score (1-10) for how good the match between BUD_MI and Honeybee is.</t>
  </si>
  <si>
    <t>Average confidence score between BUD_MI and Boverket and BUD_MI and Honeybee.</t>
  </si>
  <si>
    <t>wooden_stud</t>
  </si>
  <si>
    <t>Std Wood 6 in.</t>
  </si>
  <si>
    <t>wooden_beam</t>
  </si>
  <si>
    <t>wooden_rafter</t>
  </si>
  <si>
    <t>wooden_panel</t>
  </si>
  <si>
    <t>galvanized_sheet_metal</t>
  </si>
  <si>
    <t>F08 Metal surface</t>
  </si>
  <si>
    <t>granulated_blast_furnace_slag</t>
  </si>
  <si>
    <t>M11 100mm lightweight concrete</t>
  </si>
  <si>
    <t>concrete</t>
  </si>
  <si>
    <t>100mm Normalweight concrete floor</t>
  </si>
  <si>
    <t>lime_plaster</t>
  </si>
  <si>
    <t>25mm Stucco</t>
  </si>
  <si>
    <t>lightweight_concrete</t>
  </si>
  <si>
    <t>terrasit_plaster</t>
  </si>
  <si>
    <t>mortar</t>
  </si>
  <si>
    <t>1IN Stucco</t>
  </si>
  <si>
    <t>plastic_mat</t>
  </si>
  <si>
    <t>Roof Membrane</t>
  </si>
  <si>
    <t>plaster</t>
  </si>
  <si>
    <t>concrete_mixed_with_sawdust</t>
  </si>
  <si>
    <t>Cement Bonded Particleboard (created)</t>
  </si>
  <si>
    <t>coke_ash</t>
  </si>
  <si>
    <t>1/2IN Gypsum</t>
  </si>
  <si>
    <t>metal_sheet</t>
  </si>
  <si>
    <t>Metal Surface</t>
  </si>
  <si>
    <t>battens_1</t>
  </si>
  <si>
    <t>battens_2</t>
  </si>
  <si>
    <t>roofing_felt</t>
  </si>
  <si>
    <t>brick</t>
  </si>
  <si>
    <t>M01 100mm brick</t>
  </si>
  <si>
    <t>mineral_wool</t>
  </si>
  <si>
    <t>stud</t>
  </si>
  <si>
    <t>plaster_board</t>
  </si>
  <si>
    <t>1/2 in. Gypsum Board</t>
  </si>
  <si>
    <t>eternit_board</t>
  </si>
  <si>
    <t>Dry Dust</t>
  </si>
  <si>
    <t>asphalt_board</t>
  </si>
  <si>
    <t>Asphalt Board (created)</t>
  </si>
  <si>
    <t>linoleum</t>
  </si>
  <si>
    <t>woodfiber_board</t>
  </si>
  <si>
    <t>Woodfiber Board (created)</t>
  </si>
  <si>
    <t>leca</t>
  </si>
  <si>
    <t>Leca (created)</t>
  </si>
  <si>
    <t>mineral_wool_blanket</t>
  </si>
  <si>
    <t>AtticFloor Insulation</t>
  </si>
  <si>
    <t>mineral_wool_carpet</t>
  </si>
  <si>
    <t>wooden_truss</t>
  </si>
  <si>
    <t>reinforced concrete: steel</t>
  </si>
  <si>
    <t>X</t>
  </si>
  <si>
    <t>asbestos_cement_board</t>
  </si>
  <si>
    <t>foil</t>
  </si>
  <si>
    <t>gypsum_board</t>
  </si>
  <si>
    <t>5/8 in. Gypsum Board</t>
  </si>
  <si>
    <t>wooden_frame</t>
  </si>
  <si>
    <t>lightweight_concrete_beam</t>
  </si>
  <si>
    <t>beam_plate</t>
  </si>
  <si>
    <t>battens</t>
  </si>
  <si>
    <t>ceramic_tile</t>
  </si>
  <si>
    <t>HW CONCRETE</t>
  </si>
  <si>
    <t>paper</t>
  </si>
  <si>
    <t>wood_shavings</t>
  </si>
  <si>
    <t>Wood Shavings (created)</t>
  </si>
  <si>
    <t>floorboard</t>
  </si>
  <si>
    <t>Wood Siding</t>
  </si>
  <si>
    <t>vinyl_flooring</t>
  </si>
  <si>
    <t>membrane</t>
  </si>
  <si>
    <t>wooden frame pane windows</t>
  </si>
  <si>
    <t>cardboard</t>
  </si>
  <si>
    <t>concrete_tile</t>
  </si>
  <si>
    <t>waterproof_membrane</t>
  </si>
  <si>
    <t>wood_wool_board</t>
  </si>
  <si>
    <t>sand</t>
  </si>
  <si>
    <t>Dry Sand</t>
  </si>
  <si>
    <t>cellular_plastic</t>
  </si>
  <si>
    <t>gravel</t>
  </si>
  <si>
    <t>Solid Rock</t>
  </si>
  <si>
    <t>plywood</t>
  </si>
  <si>
    <t>Plywood - 5/8 in. CBES</t>
  </si>
  <si>
    <t>air_gap</t>
  </si>
  <si>
    <t>Air Wall (created)</t>
  </si>
  <si>
    <t>EnergyPlus Identifier</t>
  </si>
  <si>
    <t>Wooden frame</t>
  </si>
  <si>
    <t>Glass</t>
  </si>
  <si>
    <t>CLEAR 3MM</t>
  </si>
  <si>
    <t>wooden frame double pane windows</t>
  </si>
  <si>
    <t>2 pane glass</t>
  </si>
  <si>
    <t>3 pane glass</t>
  </si>
  <si>
    <t>Window, wood, fixed, 3-glass</t>
  </si>
  <si>
    <t>Layer Code</t>
  </si>
  <si>
    <t>Layer Thickness</t>
  </si>
  <si>
    <t>Composite Layer?</t>
  </si>
  <si>
    <t>Material 1</t>
  </si>
  <si>
    <t>Material 1 Area Ratio</t>
  </si>
  <si>
    <t>Material 2</t>
  </si>
  <si>
    <t>Material 2 Area Ratio</t>
  </si>
  <si>
    <t>Material 3</t>
  </si>
  <si>
    <t>Material 3 Area Ratio</t>
  </si>
  <si>
    <r>
      <t xml:space="preserve">Notes from </t>
    </r>
    <r>
      <rPr>
        <b/>
        <i/>
        <sz val="12"/>
        <rFont val="Calibri"/>
        <family val="2"/>
      </rPr>
      <t>Så byggdes husen 1880-2010</t>
    </r>
  </si>
  <si>
    <t>Layer Use Intesity</t>
  </si>
  <si>
    <t>Duplicate Check</t>
  </si>
  <si>
    <t>Layer code Material1_Material2_Thickness_SingleOrComposite</t>
  </si>
  <si>
    <t>Thickness of the layer in m.</t>
  </si>
  <si>
    <t>S for single material layer and C for composite layer</t>
  </si>
  <si>
    <t>If Composite Layer = No, Only this material column should be filled</t>
  </si>
  <si>
    <t>If Composite Layer = Yes: In-plane area ratio of material 1 in layer.</t>
  </si>
  <si>
    <t>If Composite Layer = Yes, this column should consist of the second material in the layer</t>
  </si>
  <si>
    <t>If Composite Layer = Yes: In-plane area ratio of material 2 in layer.</t>
  </si>
  <si>
    <t>If Composite Layer = Yes, this column should consist of the third material in the layer (if it exists)</t>
  </si>
  <si>
    <t>If Composite Layer = Yes: In-plane area ratio of material 3 in layer.</t>
  </si>
  <si>
    <t>Qualitative information about the layers.</t>
  </si>
  <si>
    <t>An X if the layer should be ignored/not used</t>
  </si>
  <si>
    <t>Represents how many times a layer is being used in the components sheet</t>
  </si>
  <si>
    <t>Returns how many times each layer occurs in this sheet. Should be 1 to avoid duplicate defenitons</t>
  </si>
  <si>
    <t>S</t>
  </si>
  <si>
    <t>Spanning longside - long side</t>
  </si>
  <si>
    <t>Resting on top wooden beams with c-c 1,2 m</t>
  </si>
  <si>
    <t>Positioned directly under galvanized metal sheets</t>
  </si>
  <si>
    <t> </t>
  </si>
  <si>
    <t>Insulation layer</t>
  </si>
  <si>
    <t>C</t>
  </si>
  <si>
    <t>Sharing the same space as mortar 12,5 cm vertically</t>
  </si>
  <si>
    <t>Was not specified in BUD_MI but in the book (however measurement is assumed)</t>
  </si>
  <si>
    <t>Assumed in accordance with other lightweight concrete/mortar structures for this building.</t>
  </si>
  <si>
    <t>Assumed to be parallel vertically with studs and therefore has the same thickness, original thickness in BUD_MI was 5 cm</t>
  </si>
  <si>
    <t>Not sure about this measurement</t>
  </si>
  <si>
    <t>couldn't verify source</t>
  </si>
  <si>
    <t>0,8</t>
  </si>
  <si>
    <t>0,05</t>
  </si>
  <si>
    <t>Component Code</t>
  </si>
  <si>
    <t>Application</t>
  </si>
  <si>
    <t>Layer Index</t>
  </si>
  <si>
    <t>Shearing Layer</t>
  </si>
  <si>
    <t>Flag</t>
  </si>
  <si>
    <t>Component code Archetype_Application_ShearingLayer</t>
  </si>
  <si>
    <t>Order of layer from exterior to interior</t>
  </si>
  <si>
    <t>Element where component is applicable</t>
  </si>
  <si>
    <t>Index of layer, from exterior to interior where 0 is most exterior</t>
  </si>
  <si>
    <t>Shearing Layer as in Brand model</t>
  </si>
  <si>
    <t>Code for archetype inhertied from BUD_MI</t>
  </si>
  <si>
    <t>Qualitative information about the components.</t>
  </si>
  <si>
    <r>
      <t xml:space="preserve">Counts how many times a layer defined in this sheet exists in </t>
    </r>
    <r>
      <rPr>
        <sz val="12"/>
        <rFont val="Calibri"/>
        <family val="2"/>
      </rPr>
      <t>Layers sheet, if none, "No match"</t>
    </r>
  </si>
  <si>
    <t>GALVANIZED_SHEET_METAL_003_S</t>
  </si>
  <si>
    <t>SKIN</t>
  </si>
  <si>
    <t>Cold roof, no insulation as part of outermost structure</t>
  </si>
  <si>
    <t>WOODEN_PANEL_038_S</t>
  </si>
  <si>
    <t>WOODEN_RAFTER_1016_S</t>
  </si>
  <si>
    <t>STRUCTURE</t>
  </si>
  <si>
    <t>Minor impact on thermal performance of roof structure as they are not interupting any insulation layer.</t>
  </si>
  <si>
    <t>WOODEN_BEAM_1524_S</t>
  </si>
  <si>
    <t>CONCRETE_05_S</t>
  </si>
  <si>
    <t>SPACE</t>
  </si>
  <si>
    <t>Insulating "roof" structure</t>
  </si>
  <si>
    <t>GRANULATED_BLAST_FURNACE_SLAG_15_S</t>
  </si>
  <si>
    <t>CONCRETE_14_S</t>
  </si>
  <si>
    <t>TERRASIT_PLASTER_005_S</t>
  </si>
  <si>
    <t>LIGHTWEIGHT_CONCRETE_MORTAR_125_C</t>
  </si>
  <si>
    <t>MORTAR_005_S</t>
  </si>
  <si>
    <t>CONCRETE_15_S</t>
  </si>
  <si>
    <t>LIME_PLASTER_005_S</t>
  </si>
  <si>
    <t>LIGHTWEIGHT_CONCRETE_MORTAR_25_C</t>
  </si>
  <si>
    <t>Was missing from BUD_MI</t>
  </si>
  <si>
    <t>LIGHTWEIGHT_CONCRETE_MORTAR_2_C</t>
  </si>
  <si>
    <t>PLASTIC_MAT_01_S</t>
  </si>
  <si>
    <t>PLASTER_05_S</t>
  </si>
  <si>
    <t>CONCRETE_MIXED_WITH_SAWDUST_05_S</t>
  </si>
  <si>
    <t>COKE_ASH_08_S</t>
  </si>
  <si>
    <t>CONCRETE_16_S</t>
  </si>
  <si>
    <t>No souce found</t>
  </si>
  <si>
    <t>PLASTER_005_S</t>
  </si>
  <si>
    <t>METAL_SHEET_003_S</t>
  </si>
  <si>
    <t>BATTENS_1_023_S</t>
  </si>
  <si>
    <t>Double check in book</t>
  </si>
  <si>
    <t>BATTENS_2_023_S</t>
  </si>
  <si>
    <t>ROOFING_FELT_005_S</t>
  </si>
  <si>
    <t>WOODEN_PANEL_03_S</t>
  </si>
  <si>
    <t>BRICK_MORTAR_125_C</t>
  </si>
  <si>
    <t>MINERAL_WOOL_WOODEN_STUD_095_C</t>
  </si>
  <si>
    <t>Is the mineral wool here regarded as structure since its a composite layer?</t>
  </si>
  <si>
    <t>PLASTER_BOARD_013_S</t>
  </si>
  <si>
    <t>ASPHALT_BOARD_012_S</t>
  </si>
  <si>
    <t>LINOLEUM_01_S</t>
  </si>
  <si>
    <t>WOODFIBER_BOARD_013_S</t>
  </si>
  <si>
    <t>LECA_15_S</t>
  </si>
  <si>
    <t>What should shearing layer be here?</t>
  </si>
  <si>
    <t>CARDBOARD_005_S</t>
  </si>
  <si>
    <t>MINERAL_WOOL_BLANKET_03_S</t>
  </si>
  <si>
    <t>MINERAL_WOOL_CARPET_12_S</t>
  </si>
  <si>
    <t>GYPSUM_BOARD_013_S</t>
  </si>
  <si>
    <t>MINERAL_WOOL_WOODEN_STUD_07_C</t>
  </si>
  <si>
    <t>ROOFING_FELT_01_S</t>
  </si>
  <si>
    <t>WOODEN_TRUSS_05_S</t>
  </si>
  <si>
    <t>LIGHTWEIGHT_CONCRETE_MORTAR_15_C</t>
  </si>
  <si>
    <t>PLASTER_01_S</t>
  </si>
  <si>
    <t>ASBESTOS_CEMENT_BOARD_01_S</t>
  </si>
  <si>
    <t>ASPHALT_BOARD_01_S</t>
  </si>
  <si>
    <t>MINERAL_WOOL_WOODEN_STUD_05_C</t>
  </si>
  <si>
    <t>FOIL_001_S</t>
  </si>
  <si>
    <t>CONCRETE_TILE_03_S</t>
  </si>
  <si>
    <t>BATTENS_1_04_S</t>
  </si>
  <si>
    <t>BATTENS_2_04_S</t>
  </si>
  <si>
    <t>COKE_ASH_1_S</t>
  </si>
  <si>
    <t>WOOD_SHAVINGS_15_S</t>
  </si>
  <si>
    <t>STUD_05_S</t>
  </si>
  <si>
    <t>VINYL_FLOORING_04_S</t>
  </si>
  <si>
    <t>missing in BUD_MI</t>
  </si>
  <si>
    <t>over-concrete?</t>
  </si>
  <si>
    <t>slätputsad</t>
  </si>
  <si>
    <t>spritputsad</t>
  </si>
  <si>
    <t xml:space="preserve">Goes on both sides of structure, </t>
  </si>
  <si>
    <t>CONCRETE_2_S</t>
  </si>
  <si>
    <t>Couldn't verify this element</t>
  </si>
  <si>
    <t>CONCRETE_07_S</t>
  </si>
  <si>
    <t>LIGHTWEIGHT_CONCRETE_MORTAR_1_C</t>
  </si>
  <si>
    <t>CONCRETE_3_S</t>
  </si>
  <si>
    <t>CONCRETE_08_S</t>
  </si>
  <si>
    <t>CONCRETE_23_S</t>
  </si>
  <si>
    <t>WOOD_WOOL_BOARD_025_S</t>
  </si>
  <si>
    <t>SAND_05_S</t>
  </si>
  <si>
    <t>MINERAL_WOOL_CARPET_03_S</t>
  </si>
  <si>
    <t>CELLULAR_PLASTIC_06_S</t>
  </si>
  <si>
    <t>GRAVEL_15_S</t>
  </si>
  <si>
    <t>PLYWOOD_017_S</t>
  </si>
  <si>
    <t>MINERAL_WOOL_3_S</t>
  </si>
  <si>
    <t>CONCRETE_19_S</t>
  </si>
  <si>
    <t>LIGHTWEIGHT_CONCRETE_MORTAR_3_C</t>
  </si>
  <si>
    <t>AIR_GAP_WOODEN_RAFTER_05_C</t>
  </si>
  <si>
    <t>Element Code</t>
  </si>
  <si>
    <t>Element type</t>
  </si>
  <si>
    <t>A code for the element used as reference for the element in the Building sheet</t>
  </si>
  <si>
    <t>A finite list of elements to choose from to create a full building defenition</t>
  </si>
  <si>
    <t>The components used in each element</t>
  </si>
  <si>
    <t>Archetype Code</t>
  </si>
  <si>
    <t>Multiple Exterior Wall defenitions?</t>
  </si>
  <si>
    <t>Roof Element</t>
  </si>
  <si>
    <t>Top Floor Element</t>
  </si>
  <si>
    <t>Intermediate Floor Element</t>
  </si>
  <si>
    <t>Ground Floor Element</t>
  </si>
  <si>
    <t>Basement Floor Element</t>
  </si>
  <si>
    <t>Exterior Wall Element</t>
  </si>
  <si>
    <t>Exterior Wall Low Element</t>
  </si>
  <si>
    <t>Exterior Wall Medium Element</t>
  </si>
  <si>
    <t>Exterior Wall High Element</t>
  </si>
  <si>
    <t>Basement Wall Element</t>
  </si>
  <si>
    <t>Interior Wall Loadbearing Element</t>
  </si>
  <si>
    <t>Interior Wall Non Loadbearing Element</t>
  </si>
  <si>
    <t>Code for the the archteype</t>
  </si>
  <si>
    <t>Yes if the archetype should a have exterior wall defenitions based on no. floors</t>
  </si>
  <si>
    <t>The roof element that should be used for th archetype</t>
  </si>
  <si>
    <t>The top floor element that should be used for th archetype</t>
  </si>
  <si>
    <t>The intermediate floor element that should be used for th archetype</t>
  </si>
  <si>
    <t>The ground floor element that should be used for th archetype</t>
  </si>
  <si>
    <t>The basement floor element that should be used for th archetype</t>
  </si>
  <si>
    <t>The exterior wall element that should be used for the archetype</t>
  </si>
  <si>
    <t>The basement wall element that should be used for th archetype</t>
  </si>
  <si>
    <t>The interior wall loadbearing element that should be used for th archetype</t>
  </si>
  <si>
    <t>The interior wall non loadbearing element that should be used for th archetype</t>
  </si>
  <si>
    <t>No</t>
  </si>
  <si>
    <t>Yes</t>
  </si>
  <si>
    <t>Shearing Layers</t>
  </si>
  <si>
    <t>Archetypes</t>
  </si>
  <si>
    <t>Eternit Asbestos Cement Board (created)</t>
  </si>
  <si>
    <t>Wall Insulation [31]</t>
  </si>
  <si>
    <t>ETERNIT_BOARD_009_S</t>
  </si>
  <si>
    <t>MINERAL_WOOL_CARPET_2_S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</si>
</sst>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i/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434343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333333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D78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5" xfId="0" applyFont="1" applyBorder="1"/>
    <xf numFmtId="0" fontId="6" fillId="0" borderId="0" xfId="0" applyFont="1"/>
    <xf numFmtId="0" fontId="7" fillId="0" borderId="0" xfId="0" applyFont="1"/>
    <xf numFmtId="0" fontId="7" fillId="6" borderId="0" xfId="0" applyFont="1" applyFill="1"/>
    <xf numFmtId="0" fontId="3" fillId="0" borderId="3" xfId="0" applyFont="1" applyBorder="1"/>
    <xf numFmtId="0" fontId="3" fillId="0" borderId="6" xfId="0" applyFont="1" applyBorder="1"/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5" fillId="0" borderId="5" xfId="0" applyFont="1" applyBorder="1"/>
    <xf numFmtId="0" fontId="6" fillId="0" borderId="5" xfId="0" applyFont="1" applyBorder="1"/>
    <xf numFmtId="0" fontId="4" fillId="0" borderId="1" xfId="0" applyFont="1" applyBorder="1"/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164" fontId="0" fillId="9" borderId="1" xfId="0" applyNumberForma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164" fontId="0" fillId="10" borderId="1" xfId="0" applyNumberFormat="1" applyFill="1" applyBorder="1" applyAlignment="1">
      <alignment horizontal="left" vertical="center"/>
    </xf>
    <xf numFmtId="0" fontId="3" fillId="9" borderId="1" xfId="0" applyFont="1" applyFill="1" applyBorder="1" applyAlignment="1">
      <alignment wrapText="1"/>
    </xf>
    <xf numFmtId="0" fontId="0" fillId="10" borderId="1" xfId="0" applyFill="1" applyBorder="1" applyAlignment="1">
      <alignment horizontal="left" vertical="center" wrapText="1"/>
    </xf>
    <xf numFmtId="0" fontId="7" fillId="8" borderId="0" xfId="0" applyFont="1" applyFill="1"/>
    <xf numFmtId="0" fontId="0" fillId="8" borderId="0" xfId="0" applyFill="1"/>
    <xf numFmtId="0" fontId="3" fillId="8" borderId="0" xfId="0" applyFont="1" applyFill="1"/>
    <xf numFmtId="0" fontId="4" fillId="8" borderId="0" xfId="0" applyFont="1" applyFill="1"/>
    <xf numFmtId="16" fontId="7" fillId="8" borderId="0" xfId="0" applyNumberFormat="1" applyFont="1" applyFill="1"/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/>
    </xf>
    <xf numFmtId="0" fontId="0" fillId="12" borderId="1" xfId="0" applyFill="1" applyBorder="1"/>
    <xf numFmtId="0" fontId="0" fillId="0" borderId="1" xfId="0" applyBorder="1" applyAlignment="1">
      <alignment horizontal="left" vertical="center" wrapText="1"/>
    </xf>
    <xf numFmtId="0" fontId="7" fillId="0" borderId="5" xfId="0" applyFont="1" applyBorder="1"/>
    <xf numFmtId="0" fontId="8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/>
    <xf numFmtId="0" fontId="18" fillId="0" borderId="4" xfId="0" applyFont="1" applyBorder="1" applyAlignment="1">
      <alignment horizontal="right" vertical="center"/>
    </xf>
    <xf numFmtId="0" fontId="4" fillId="11" borderId="5" xfId="0" applyFont="1" applyFill="1" applyBorder="1" applyAlignment="1">
      <alignment horizontal="right"/>
    </xf>
    <xf numFmtId="0" fontId="0" fillId="8" borderId="4" xfId="0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13" fillId="12" borderId="1" xfId="0" applyFont="1" applyFill="1" applyBorder="1"/>
    <xf numFmtId="0" fontId="14" fillId="5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9" fillId="8" borderId="0" xfId="0" applyFont="1" applyFill="1"/>
    <xf numFmtId="164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 wrapText="1"/>
    </xf>
    <xf numFmtId="0" fontId="4" fillId="18" borderId="1" xfId="0" applyFont="1" applyFill="1" applyBorder="1"/>
    <xf numFmtId="0" fontId="0" fillId="19" borderId="1" xfId="0" applyFill="1" applyBorder="1"/>
    <xf numFmtId="0" fontId="4" fillId="19" borderId="1" xfId="0" applyFont="1" applyFill="1" applyBorder="1"/>
    <xf numFmtId="0" fontId="0" fillId="19" borderId="4" xfId="0" applyFill="1" applyBorder="1"/>
    <xf numFmtId="0" fontId="4" fillId="20" borderId="11" xfId="0" applyFont="1" applyFill="1" applyBorder="1"/>
    <xf numFmtId="0" fontId="4" fillId="20" borderId="5" xfId="0" applyFont="1" applyFill="1" applyBorder="1"/>
    <xf numFmtId="0" fontId="0" fillId="21" borderId="1" xfId="0" applyFill="1" applyBorder="1"/>
    <xf numFmtId="0" fontId="4" fillId="21" borderId="1" xfId="0" applyFont="1" applyFill="1" applyBorder="1"/>
    <xf numFmtId="0" fontId="0" fillId="21" borderId="4" xfId="0" applyFill="1" applyBorder="1"/>
    <xf numFmtId="0" fontId="4" fillId="19" borderId="10" xfId="0" applyFont="1" applyFill="1" applyBorder="1"/>
    <xf numFmtId="0" fontId="19" fillId="18" borderId="1" xfId="0" applyFont="1" applyFill="1" applyBorder="1"/>
    <xf numFmtId="0" fontId="19" fillId="19" borderId="1" xfId="0" applyFont="1" applyFill="1" applyBorder="1"/>
    <xf numFmtId="0" fontId="0" fillId="18" borderId="1" xfId="0" applyFill="1" applyBorder="1"/>
    <xf numFmtId="0" fontId="13" fillId="18" borderId="13" xfId="0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 vertical="center"/>
    </xf>
    <xf numFmtId="0" fontId="13" fillId="19" borderId="14" xfId="0" applyFont="1" applyFill="1" applyBorder="1" applyAlignment="1">
      <alignment horizontal="center" vertical="center"/>
    </xf>
    <xf numFmtId="0" fontId="13" fillId="22" borderId="14" xfId="0" applyFont="1" applyFill="1" applyBorder="1" applyAlignment="1">
      <alignment horizontal="center" vertical="center"/>
    </xf>
    <xf numFmtId="0" fontId="13" fillId="17" borderId="14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right" vertical="center"/>
    </xf>
    <xf numFmtId="0" fontId="4" fillId="23" borderId="11" xfId="0" applyFont="1" applyFill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8" borderId="10" xfId="0" applyFill="1" applyBorder="1"/>
    <xf numFmtId="0" fontId="4" fillId="8" borderId="16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0" fillId="8" borderId="3" xfId="0" applyFill="1" applyBorder="1"/>
    <xf numFmtId="0" fontId="4" fillId="8" borderId="9" xfId="0" applyFont="1" applyFill="1" applyBorder="1"/>
    <xf numFmtId="0" fontId="7" fillId="0" borderId="10" xfId="0" applyFont="1" applyBorder="1"/>
    <xf numFmtId="0" fontId="1" fillId="13" borderId="10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left" vertical="center" wrapText="1"/>
    </xf>
    <xf numFmtId="0" fontId="0" fillId="18" borderId="10" xfId="0" applyFill="1" applyBorder="1" applyAlignment="1">
      <alignment vertical="center"/>
    </xf>
    <xf numFmtId="0" fontId="4" fillId="0" borderId="10" xfId="0" applyFont="1" applyBorder="1"/>
    <xf numFmtId="0" fontId="4" fillId="20" borderId="10" xfId="0" applyFont="1" applyFill="1" applyBorder="1"/>
    <xf numFmtId="0" fontId="0" fillId="19" borderId="10" xfId="0" applyFill="1" applyBorder="1"/>
    <xf numFmtId="0" fontId="16" fillId="20" borderId="10" xfId="0" applyFont="1" applyFill="1" applyBorder="1"/>
    <xf numFmtId="0" fontId="4" fillId="19" borderId="16" xfId="0" applyFont="1" applyFill="1" applyBorder="1"/>
    <xf numFmtId="0" fontId="4" fillId="8" borderId="16" xfId="0" applyFont="1" applyFill="1" applyBorder="1"/>
    <xf numFmtId="0" fontId="3" fillId="8" borderId="10" xfId="0" applyFont="1" applyFill="1" applyBorder="1"/>
    <xf numFmtId="0" fontId="3" fillId="19" borderId="10" xfId="0" applyFont="1" applyFill="1" applyBorder="1"/>
    <xf numFmtId="0" fontId="3" fillId="8" borderId="10" xfId="0" applyFont="1" applyFill="1" applyBorder="1" applyAlignment="1">
      <alignment horizontal="left"/>
    </xf>
    <xf numFmtId="0" fontId="0" fillId="18" borderId="3" xfId="0" applyFill="1" applyBorder="1" applyAlignment="1">
      <alignment vertical="center"/>
    </xf>
    <xf numFmtId="0" fontId="0" fillId="19" borderId="3" xfId="0" applyFill="1" applyBorder="1"/>
    <xf numFmtId="0" fontId="3" fillId="8" borderId="3" xfId="0" applyFont="1" applyFill="1" applyBorder="1"/>
    <xf numFmtId="0" fontId="3" fillId="19" borderId="3" xfId="0" applyFont="1" applyFill="1" applyBorder="1"/>
    <xf numFmtId="0" fontId="3" fillId="8" borderId="3" xfId="0" applyFont="1" applyFill="1" applyBorder="1" applyAlignment="1">
      <alignment horizontal="left"/>
    </xf>
    <xf numFmtId="0" fontId="7" fillId="8" borderId="10" xfId="0" applyFont="1" applyFill="1" applyBorder="1"/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/>
    </xf>
    <xf numFmtId="0" fontId="0" fillId="18" borderId="1" xfId="0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1" xfId="0" applyBorder="1"/>
    <xf numFmtId="0" fontId="0" fillId="8" borderId="7" xfId="0" applyFill="1" applyBorder="1"/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8" borderId="10" xfId="0" applyFont="1" applyFill="1" applyBorder="1"/>
    <xf numFmtId="0" fontId="0" fillId="8" borderId="9" xfId="0" applyFill="1" applyBorder="1"/>
    <xf numFmtId="0" fontId="4" fillId="8" borderId="5" xfId="0" applyFont="1" applyFill="1" applyBorder="1"/>
    <xf numFmtId="0" fontId="19" fillId="0" borderId="5" xfId="0" applyFont="1" applyBorder="1"/>
    <xf numFmtId="0" fontId="19" fillId="0" borderId="11" xfId="0" applyFont="1" applyBorder="1"/>
    <xf numFmtId="0" fontId="0" fillId="0" borderId="18" xfId="0" applyBorder="1"/>
    <xf numFmtId="0" fontId="0" fillId="8" borderId="5" xfId="0" applyFill="1" applyBorder="1"/>
    <xf numFmtId="0" fontId="7" fillId="8" borderId="5" xfId="0" applyFont="1" applyFill="1" applyBorder="1"/>
    <xf numFmtId="0" fontId="19" fillId="8" borderId="5" xfId="0" applyFont="1" applyFill="1" applyBorder="1"/>
    <xf numFmtId="0" fontId="4" fillId="8" borderId="19" xfId="0" applyFont="1" applyFill="1" applyBorder="1"/>
    <xf numFmtId="0" fontId="4" fillId="0" borderId="19" xfId="0" applyFont="1" applyBorder="1"/>
    <xf numFmtId="0" fontId="4" fillId="8" borderId="18" xfId="0" applyFont="1" applyFill="1" applyBorder="1"/>
    <xf numFmtId="0" fontId="19" fillId="0" borderId="18" xfId="0" applyFont="1" applyBorder="1"/>
    <xf numFmtId="0" fontId="5" fillId="0" borderId="5" xfId="0" applyFont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D78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D78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D78"/>
      <color rgb="FFCACAF2"/>
      <color rgb="FFDBF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Relationship Id="rId1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ent"/>
      <sheetName val="Building information"/>
      <sheetName val="Scope &amp; Data"/>
      <sheetName val="Bill of material"/>
      <sheetName val="Search materials"/>
      <sheetName val="Rules of thumb"/>
      <sheetName val="Result summary"/>
      <sheetName val="Format bespoke MI"/>
      <sheetName val="Bespoke MI results"/>
      <sheetName val="Open MI database format"/>
      <sheetName val="Dropdowns"/>
      <sheetName val="Material_classif_dropdowns"/>
      <sheetName val="Densities"/>
      <sheetName val="Crossmatch material classific.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jamila Mamedova" id="{B4433DAF-B1B3-3C42-9739-78512C18A3E2}" userId="S::djamila@chalmers.se::bbcc061e-ef60-4d9e-9893-c35d5d2e02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7CBC2-061D-1B4E-B44D-391855C40F70}" name="Table1" displayName="Table1" ref="A1:G60" totalsRowShown="0" headerRowDxfId="26" dataDxfId="24" headerRowBorderDxfId="25" tableBorderDxfId="23" totalsRowBorderDxfId="22">
  <autoFilter ref="A1:G60" xr:uid="{0287CBC2-061D-1B4E-B44D-391855C40F70}"/>
  <tableColumns count="7">
    <tableColumn id="1" xr3:uid="{C3E6A9C5-170A-2740-BA7F-C38552C8A695}" name="Material Name" dataDxfId="21"/>
    <tableColumn id="2" xr3:uid="{1EE48BA7-1D44-4547-B5B9-793B8F562917}" name="Ignore?" dataDxfId="20"/>
    <tableColumn id="3" xr3:uid="{F80AD909-614F-684B-8424-37614440F4B4}" name="Boverket ID" dataDxfId="19"/>
    <tableColumn id="4" xr3:uid="{DEF52BE6-95BF-3742-83CD-9B20F0F3588C}" name="Boverket Match Confidence" dataDxfId="18"/>
    <tableColumn id="5" xr3:uid="{8F0C7325-2017-1C4C-A9E7-6A58D1681DED}" name="Honeybee Identifier" dataDxfId="17"/>
    <tableColumn id="6" xr3:uid="{07A4DEF9-40A6-D345-8D83-E664D5B2AE49}" name="Honeybee Match Confidence" dataDxfId="16"/>
    <tableColumn id="7" xr3:uid="{7B5E11BE-DA63-C141-B0E6-2F414344E909}" name="Combined Match Confidence" dataDxfId="15">
      <calculatedColumnFormula>(D2+F2)/2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3-05T14:41:26.73" personId="{B4433DAF-B1B3-3C42-9739-78512C18A3E2}" id="{8439B3D6-0357-4A6E-80B6-477BF215D2E5}">
    <text>https://www.metalsupermarkets.co.uk/product/mild-steel-sheet-galvanised/#:~:text=Framework,Thermal%20Expansion:%2012.06%20%C2%B5m/m%2Dk</text>
    <extLst>
      <x:ext xmlns:xltc2="http://schemas.microsoft.com/office/spreadsheetml/2020/threadedcomments2" uri="{F7C98A9C-CBB3-438F-8F68-D28B6AF4A901}">
        <xltc2:checksum>1339517197</xltc2:checksum>
        <xltc2:hyperlink startIndex="0" length="135" url="https://www.metalsupermarkets.co.uk/product/mild-steel-sheet-galvanised/#:~:text=Framework,Thermal%20Expansion:%2012.06%20%C2%B5m/m%2Dk"/>
      </x:ext>
    </extLst>
  </threadedComment>
  <threadedComment ref="C8" dT="2026-03-05T14:40:42.16" personId="{B4433DAF-B1B3-3C42-9739-78512C18A3E2}" id="{689D4A60-BC3A-41A6-AA8F-BA2A7AEBD92B}">
    <text>Restproducts that are sometimes used are similar</text>
  </threadedComment>
  <threadedComment ref="E8" dT="2026-03-05T14:41:11.52" personId="{B4433DAF-B1B3-3C42-9739-78512C18A3E2}" id="{60C3ACBD-11DC-4E5A-8982-39BFA6357055}">
    <text>SS-EN ISO 10456, Table 4</text>
  </threadedComment>
  <threadedComment ref="E10" dT="2026-03-05T14:42:15.72" personId="{B4433DAF-B1B3-3C42-9739-78512C18A3E2}" id="{8F93866A-2C69-401A-B5E9-6F6FA0AF0850}">
    <text>ISO Table 3</text>
  </threadedComment>
  <threadedComment ref="E11" dT="2026-03-05T14:42:50.51" personId="{B4433DAF-B1B3-3C42-9739-78512C18A3E2}" id="{3F381634-6307-4424-B783-0C4926A2DF31}">
    <text>autoclaved concrete Table 4, SS-EN ISO 10456 </text>
  </threadedComment>
  <threadedComment ref="E12" dT="2026-03-05T14:44:10.10" personId="{B4433DAF-B1B3-3C42-9739-78512C18A3E2}" id="{608D6777-6203-4086-81E3-C934DD338A03}">
    <text>Conductivity might be low compared to others (cement, sand: Table 3)</text>
  </threadedComment>
  <threadedComment ref="C16" dT="2026-03-05T14:54:04.45" personId="{B4433DAF-B1B3-3C42-9739-78512C18A3E2}" id="{16A35377-F5F2-4E6F-82E5-2DF2A821E7E3}">
    <text> desc: Wood wool panels are made by mixing wood shavings with cement and lime as a binder and any paint.</text>
  </threadedComment>
  <threadedComment ref="E16" dT="2026-03-05T14:46:10.93" personId="{B4433DAF-B1B3-3C42-9739-78512C18A3E2}" id="{F9EADB23-C9C2-47F2-B208-9F107D1A5685}">
    <text>Cement bonded particle board, Table 3</text>
  </threadedComment>
  <threadedComment ref="E17" dT="2026-03-05T14:46:40.04" personId="{B4433DAF-B1B3-3C42-9739-78512C18A3E2}" id="{EB9FE550-60E5-4066-BCC4-4940DDC57986}">
    <text>Closest when comparing values https://www.engineeringtoolbox.com/specific-heat-solids-d_154.html
https://www.engineeringtoolbox.com/thermal-conductivity-d_429.html</text>
    <extLst>
      <x:ext xmlns:xltc2="http://schemas.microsoft.com/office/spreadsheetml/2020/threadedcomments2" uri="{F7C98A9C-CBB3-438F-8F68-D28B6AF4A901}">
        <xltc2:checksum>2440953688</xltc2:checksum>
        <xltc2:hyperlink startIndex="30" length="66" url="https://www.engineeringtoolbox.com/specific-heat-solids-d_154.html"/>
        <xltc2:hyperlink startIndex="97" length="66" url="https://www.engineeringtoolbox.com/thermal-conductivity-d_429.html"/>
      </x:ext>
    </extLst>
  </threadedComment>
  <threadedComment ref="C18" dT="2026-03-05T14:54:34.67" personId="{B4433DAF-B1B3-3C42-9739-78512C18A3E2}" id="{FDA11E03-8216-4E14-8C68-2985D889CD2B}">
    <text>metal is a bit arbitrary</text>
  </threadedComment>
  <threadedComment ref="E24" dT="2026-03-05T14:47:34.40" personId="{B4433DAF-B1B3-3C42-9739-78512C18A3E2}" id="{E189236B-29BC-4FBF-BD55-703BF6F65310}">
    <text>Based on closest conductivity match</text>
  </threadedComment>
  <threadedComment ref="C27" dT="2026-03-05T14:55:42.04" personId="{B4433DAF-B1B3-3C42-9739-78512C18A3E2}" id="{CAB819BC-D558-4B8A-A5D7-E254FCFA2940}">
    <text>similar but without the asbestos</text>
  </threadedComment>
  <threadedComment ref="E27" dT="2026-03-05T14:46:10.93" personId="{B4433DAF-B1B3-3C42-9739-78512C18A3E2}" id="{A91CFF9D-24C2-7D4C-8A5A-C821F4603BE6}">
    <text>Cement bonded particle board, Table 3</text>
  </threadedComment>
  <threadedComment ref="C28" dT="2026-03-05T14:56:10.71" personId="{B4433DAF-B1B3-3C42-9739-78512C18A3E2}" id="{A45BF46D-A674-4AFE-A07B-BD8000C38B3B}">
    <text>Contains bitumen, otherwise 6000000140</text>
  </threadedComment>
  <threadedComment ref="E28" dT="2026-03-05T14:51:13.66" personId="{B4433DAF-B1B3-3C42-9739-78512C18A3E2}" id="{A558980E-4EF2-47AE-91AE-26814F535930}">
    <text>ISO, table 3 under bitumen</text>
  </threadedComment>
  <threadedComment ref="C29" dT="2026-03-05T14:56:28.51" personId="{B4433DAF-B1B3-3C42-9739-78512C18A3E2}" id="{771EC7A8-7E98-4EE3-8CE0-60E4413EA58F}">
    <text>Closest plastic product</text>
  </threadedComment>
  <threadedComment ref="E30" dT="2026-03-05T14:51:41.25" personId="{B4433DAF-B1B3-3C42-9739-78512C18A3E2}" id="{C61FC947-7DA0-4235-A80A-13B7BD0E353A}">
    <text>Table 3, under wood-based panels</text>
  </threadedComment>
  <threadedComment ref="C31" dT="2026-03-05T14:56:50.73" personId="{B4433DAF-B1B3-3C42-9739-78512C18A3E2}" id="{8C113791-4B3B-447A-8F5D-935712584495}">
    <text>lättklinkerkulor</text>
  </threadedComment>
  <threadedComment ref="E31" dT="2026-03-05T14:52:00.37" personId="{B4433DAF-B1B3-3C42-9739-78512C18A3E2}" id="{A7EACFDF-ACCB-4ECC-8971-4AAD9B42085D}">
    <text>ISO 10456 Table 4, under insulation/masonry materials:
Loose-fill expanded clay,</text>
  </threadedComment>
  <threadedComment ref="E36" dT="2026-03-05T14:53:11.88" personId="{B4433DAF-B1B3-3C42-9739-78512C18A3E2}" id="{FAB73CF7-871D-4384-AEC7-0887DEEF16D9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47" dT="2026-03-05T14:57:41.09" personId="{B4433DAF-B1B3-3C42-9739-78512C18A3E2}" id="{844ECA2B-5CB8-4251-A8E2-BA9F6656CA8C}">
    <text>Plastic product used as a vapor barrier</text>
  </threadedComment>
  <threadedComment ref="A53" dT="2026-03-05T14:39:41.71" personId="{B4433DAF-B1B3-3C42-9739-78512C18A3E2}" id="{46D977AB-0BAF-4E50-A809-0CB94616908B}">
    <text>Copied from ceramic tile</text>
  </threadedComment>
  <threadedComment ref="A54" dT="2026-03-05T14:40:14.54" personId="{B4433DAF-B1B3-3C42-9739-78512C18A3E2}" id="{A8C4AFD0-50F0-4B78-AD99-A5F6948A2166}">
    <text>Copied from plastic mat</text>
  </threadedComment>
  <threadedComment ref="A55" dT="2026-03-18T16:46:48.29" personId="{B4433DAF-B1B3-3C42-9739-78512C18A3E2}" id="{822F3731-5822-4B05-B777-D6D2CA87D0AF}">
    <text>based on concrete mixed with sawdust, seems like a similar mix</text>
  </threadedComment>
  <threadedComment ref="C56" dT="2026-03-18T16:51:20.35" personId="{B4433DAF-B1B3-3C42-9739-78512C18A3E2}" id="{E848021D-A0CC-42E2-8B38-0B790B69E9E4}">
    <text>not necessarilly sand, but more like processed sand?</text>
  </threadedComment>
  <threadedComment ref="C58" dT="2026-03-18T16:51:20.35" personId="{B4433DAF-B1B3-3C42-9739-78512C18A3E2}" id="{0DFD5378-53CB-47EA-931C-0752AF90F40F}">
    <text>not necessarilly sand, but more like processed sand?</text>
  </threadedComment>
  <threadedComment ref="E58" dT="2026-03-18T16:58:26.09" personId="{B4433DAF-B1B3-3C42-9739-78512C18A3E2}" id="{A0D69824-8F68-4FEE-AD67-E8178752B0A7}">
    <text>Not gravel</text>
  </threadedComment>
  <threadedComment ref="C60" dT="2026-03-18T17:11:06.44" personId="{B4433DAF-B1B3-3C42-9739-78512C18A3E2}" id="{38704AB3-8439-4169-ABE3-0AD3200C839F}">
    <text>closest to no impact (still transport accounted for)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2-05T07:59:04.63" personId="{B4433DAF-B1B3-3C42-9739-78512C18A3E2}" id="{5E27E27F-F63F-4BB0-9353-68268EDCE23F}">
    <text>not pane specific</text>
  </threadedComment>
  <threadedComment ref="B6" dT="2025-12-05T07:59:14.33" personId="{B4433DAF-B1B3-3C42-9739-78512C18A3E2}" id="{3D9EF86A-3862-43DF-9C17-9C3FC6D289C0}">
    <text>Not pane specific</text>
  </threadedComment>
  <threadedComment ref="B7" dT="2025-12-05T07:59:26.40" personId="{B4433DAF-B1B3-3C42-9739-78512C18A3E2}" id="{8AA6B5C5-6D41-445E-940F-A7B0C47D947F}">
    <text>Not pane specific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64D-EA71-084B-9B5F-6F42B301BD80}">
  <sheetPr>
    <tabColor theme="7" tint="0.79998168889431442"/>
  </sheetPr>
  <dimension ref="A1:AP429"/>
  <sheetViews>
    <sheetView topLeftCell="G1" zoomScale="108" workbookViewId="0">
      <selection activeCell="H4" sqref="H4"/>
    </sheetView>
  </sheetViews>
  <sheetFormatPr baseColWidth="10" defaultColWidth="11" defaultRowHeight="16" x14ac:dyDescent="0.2"/>
  <cols>
    <col min="1" max="1" width="34.83203125" customWidth="1"/>
    <col min="2" max="2" width="37" customWidth="1"/>
    <col min="3" max="3" width="34.83203125" customWidth="1"/>
    <col min="4" max="4" width="23.83203125" customWidth="1"/>
    <col min="8" max="8" width="35.6640625" bestFit="1" customWidth="1"/>
    <col min="9" max="9" width="16" customWidth="1"/>
    <col min="10" max="10" width="6" bestFit="1" customWidth="1"/>
    <col min="11" max="11" width="11.1640625" bestFit="1" customWidth="1"/>
    <col min="12" max="12" width="19.83203125" bestFit="1" customWidth="1"/>
    <col min="13" max="13" width="15.33203125" bestFit="1" customWidth="1"/>
    <col min="14" max="15" width="16.6640625" bestFit="1" customWidth="1"/>
    <col min="16" max="16" width="17.1640625" bestFit="1" customWidth="1"/>
    <col min="17" max="17" width="14.5" bestFit="1" customWidth="1"/>
    <col min="18" max="18" width="15.1640625" bestFit="1" customWidth="1"/>
    <col min="19" max="19" width="22.1640625" bestFit="1" customWidth="1"/>
    <col min="20" max="20" width="26.1640625" bestFit="1" customWidth="1"/>
  </cols>
  <sheetData>
    <row r="1" spans="1:42" x14ac:dyDescent="0.2">
      <c r="A1" s="14" t="s">
        <v>0</v>
      </c>
      <c r="B1" s="14" t="s">
        <v>1</v>
      </c>
      <c r="C1" s="14" t="s">
        <v>2</v>
      </c>
      <c r="D1" s="14" t="s">
        <v>3</v>
      </c>
      <c r="E1" s="29"/>
      <c r="F1" s="29"/>
      <c r="G1" s="29"/>
      <c r="H1" s="37" t="s">
        <v>4</v>
      </c>
      <c r="I1" s="37" t="s">
        <v>5</v>
      </c>
      <c r="J1" s="37" t="s">
        <v>6</v>
      </c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7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 spans="1:42" ht="64" customHeight="1" x14ac:dyDescent="0.2">
      <c r="A2" s="15" t="s">
        <v>18</v>
      </c>
      <c r="B2" s="15" t="s">
        <v>19</v>
      </c>
      <c r="C2" s="15" t="s">
        <v>20</v>
      </c>
      <c r="D2" s="15" t="s">
        <v>21</v>
      </c>
      <c r="E2" s="29"/>
      <c r="F2" s="29"/>
      <c r="G2" s="29"/>
      <c r="H2" s="33" t="s">
        <v>22</v>
      </c>
      <c r="I2" s="36" t="s">
        <v>23</v>
      </c>
      <c r="J2" s="34" t="s">
        <v>24</v>
      </c>
      <c r="K2" s="34" t="s">
        <v>24</v>
      </c>
      <c r="L2" s="34" t="s">
        <v>24</v>
      </c>
      <c r="M2" s="34" t="s">
        <v>24</v>
      </c>
      <c r="N2" s="34" t="s">
        <v>24</v>
      </c>
      <c r="O2" s="34"/>
      <c r="P2" s="34"/>
      <c r="Q2" s="34"/>
      <c r="R2" s="34" t="s">
        <v>24</v>
      </c>
      <c r="S2" s="34" t="s">
        <v>24</v>
      </c>
      <c r="T2" s="34" t="s">
        <v>24</v>
      </c>
      <c r="U2" s="34" t="s">
        <v>24</v>
      </c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42" ht="34" x14ac:dyDescent="0.2">
      <c r="A3" s="18">
        <v>45989</v>
      </c>
      <c r="B3" s="19" t="s">
        <v>25</v>
      </c>
      <c r="C3" s="20" t="s">
        <v>26</v>
      </c>
      <c r="D3" s="19" t="s">
        <v>27</v>
      </c>
      <c r="E3" s="29"/>
      <c r="F3" s="29"/>
      <c r="G3" s="29"/>
      <c r="H3" s="33" t="s">
        <v>28</v>
      </c>
      <c r="I3" s="36" t="s">
        <v>29</v>
      </c>
      <c r="J3" s="34" t="s">
        <v>24</v>
      </c>
      <c r="K3" s="34" t="s">
        <v>24</v>
      </c>
      <c r="L3" s="34" t="s">
        <v>24</v>
      </c>
      <c r="M3" s="34" t="s">
        <v>24</v>
      </c>
      <c r="N3" s="34" t="s">
        <v>24</v>
      </c>
      <c r="O3" s="34" t="s">
        <v>24</v>
      </c>
      <c r="P3" s="34" t="s">
        <v>24</v>
      </c>
      <c r="Q3" s="34" t="s">
        <v>24</v>
      </c>
      <c r="R3" s="34" t="s">
        <v>24</v>
      </c>
      <c r="S3" s="34" t="s">
        <v>24</v>
      </c>
      <c r="T3" s="34"/>
      <c r="U3" s="34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</row>
    <row r="4" spans="1:42" ht="51" x14ac:dyDescent="0.2">
      <c r="A4" s="18">
        <v>45989</v>
      </c>
      <c r="B4" s="19" t="s">
        <v>25</v>
      </c>
      <c r="C4" s="20" t="s">
        <v>30</v>
      </c>
      <c r="D4" s="19" t="s">
        <v>27</v>
      </c>
      <c r="E4" s="29"/>
      <c r="F4" s="29"/>
      <c r="G4" s="29"/>
      <c r="H4" s="33"/>
      <c r="I4" s="36" t="s">
        <v>31</v>
      </c>
      <c r="J4" s="34" t="s">
        <v>24</v>
      </c>
      <c r="K4" s="34" t="s">
        <v>24</v>
      </c>
      <c r="L4" s="34" t="s">
        <v>24</v>
      </c>
      <c r="M4" s="34" t="s">
        <v>24</v>
      </c>
      <c r="N4" s="34"/>
      <c r="O4" s="34"/>
      <c r="P4" s="34"/>
      <c r="Q4" s="34"/>
      <c r="R4" s="34"/>
      <c r="S4" s="34" t="s">
        <v>24</v>
      </c>
      <c r="T4" s="34" t="s">
        <v>24</v>
      </c>
      <c r="U4" s="34" t="s">
        <v>24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</row>
    <row r="5" spans="1:42" ht="68" x14ac:dyDescent="0.2">
      <c r="A5" s="18">
        <v>45989</v>
      </c>
      <c r="B5" s="19" t="s">
        <v>25</v>
      </c>
      <c r="C5" s="20" t="s">
        <v>32</v>
      </c>
      <c r="D5" s="19" t="s">
        <v>27</v>
      </c>
      <c r="E5" s="29"/>
      <c r="F5" s="29"/>
      <c r="G5" s="29"/>
      <c r="H5" s="33" t="s">
        <v>33</v>
      </c>
      <c r="I5" s="36" t="s">
        <v>34</v>
      </c>
      <c r="J5" s="34" t="s">
        <v>24</v>
      </c>
      <c r="K5" s="34" t="s">
        <v>24</v>
      </c>
      <c r="L5" s="34" t="s">
        <v>24</v>
      </c>
      <c r="M5" s="34" t="s">
        <v>24</v>
      </c>
      <c r="N5" s="34" t="s">
        <v>24</v>
      </c>
      <c r="O5" s="34"/>
      <c r="P5" s="34"/>
      <c r="Q5" s="34"/>
      <c r="R5" s="34" t="s">
        <v>24</v>
      </c>
      <c r="S5" s="34" t="s">
        <v>24</v>
      </c>
      <c r="T5" s="34"/>
      <c r="U5" s="34" t="s">
        <v>24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</row>
    <row r="6" spans="1:42" ht="34" x14ac:dyDescent="0.2">
      <c r="A6" s="18">
        <v>45989</v>
      </c>
      <c r="B6" s="19" t="s">
        <v>25</v>
      </c>
      <c r="C6" s="20" t="s">
        <v>35</v>
      </c>
      <c r="D6" s="19" t="s">
        <v>36</v>
      </c>
      <c r="E6" s="29"/>
      <c r="F6" s="29"/>
      <c r="G6" s="29"/>
      <c r="H6" s="33" t="s">
        <v>37</v>
      </c>
      <c r="I6" s="33" t="s">
        <v>38</v>
      </c>
      <c r="J6" s="34" t="s">
        <v>24</v>
      </c>
      <c r="K6" s="34" t="s">
        <v>24</v>
      </c>
      <c r="L6" s="34" t="s">
        <v>24</v>
      </c>
      <c r="M6" s="34" t="s">
        <v>24</v>
      </c>
      <c r="N6" s="34"/>
      <c r="O6" s="34"/>
      <c r="P6" s="34"/>
      <c r="Q6" s="34"/>
      <c r="R6" s="34"/>
      <c r="S6" s="34" t="s">
        <v>24</v>
      </c>
      <c r="T6" s="34"/>
      <c r="U6" s="34" t="s">
        <v>24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</row>
    <row r="7" spans="1:42" ht="32" x14ac:dyDescent="0.2">
      <c r="A7" s="18">
        <v>45989</v>
      </c>
      <c r="B7" s="19" t="s">
        <v>39</v>
      </c>
      <c r="C7" s="26" t="s">
        <v>40</v>
      </c>
      <c r="D7" s="19" t="s">
        <v>27</v>
      </c>
      <c r="E7" s="29"/>
      <c r="F7" s="29"/>
      <c r="G7" s="29"/>
      <c r="H7" s="33" t="s">
        <v>37</v>
      </c>
      <c r="I7" s="33" t="s">
        <v>41</v>
      </c>
      <c r="J7" s="34" t="s">
        <v>24</v>
      </c>
      <c r="K7" s="34" t="s">
        <v>24</v>
      </c>
      <c r="L7" s="34" t="s">
        <v>24</v>
      </c>
      <c r="M7" s="34" t="s">
        <v>24</v>
      </c>
      <c r="N7" s="34"/>
      <c r="O7" s="34"/>
      <c r="P7" s="34"/>
      <c r="Q7" s="34"/>
      <c r="R7" s="34"/>
      <c r="S7" s="34" t="s">
        <v>24</v>
      </c>
      <c r="T7" s="34"/>
      <c r="U7" s="34" t="s">
        <v>24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 ht="64" x14ac:dyDescent="0.2">
      <c r="A8" s="18">
        <v>45989</v>
      </c>
      <c r="B8" s="19" t="s">
        <v>39</v>
      </c>
      <c r="C8" s="26" t="s">
        <v>42</v>
      </c>
      <c r="D8" s="19" t="s">
        <v>27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</row>
    <row r="9" spans="1:42" ht="34" x14ac:dyDescent="0.2">
      <c r="A9" s="23" t="s">
        <v>43</v>
      </c>
      <c r="B9" s="19" t="s">
        <v>25</v>
      </c>
      <c r="C9" s="24" t="s">
        <v>44</v>
      </c>
      <c r="D9" s="19" t="s">
        <v>27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</row>
    <row r="10" spans="1:42" ht="34" x14ac:dyDescent="0.2">
      <c r="A10" s="25" t="s">
        <v>43</v>
      </c>
      <c r="B10" s="21" t="s">
        <v>45</v>
      </c>
      <c r="C10" s="22" t="s">
        <v>46</v>
      </c>
      <c r="D10" s="21" t="s">
        <v>36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</row>
    <row r="11" spans="1:42" ht="17" x14ac:dyDescent="0.2">
      <c r="A11" s="23" t="s">
        <v>43</v>
      </c>
      <c r="B11" s="19" t="s">
        <v>25</v>
      </c>
      <c r="C11" s="24" t="s">
        <v>47</v>
      </c>
      <c r="D11" s="19" t="s">
        <v>27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spans="1:42" ht="68" x14ac:dyDescent="0.2">
      <c r="A12" s="61" t="s">
        <v>48</v>
      </c>
      <c r="B12" s="62" t="s">
        <v>49</v>
      </c>
      <c r="C12" s="63" t="s">
        <v>50</v>
      </c>
      <c r="D12" s="62" t="s">
        <v>51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 ht="51" x14ac:dyDescent="0.2">
      <c r="A13" s="23" t="s">
        <v>48</v>
      </c>
      <c r="B13" s="19" t="s">
        <v>45</v>
      </c>
      <c r="C13" s="35" t="s">
        <v>52</v>
      </c>
      <c r="D13" s="19" t="s">
        <v>36</v>
      </c>
      <c r="E13" s="29"/>
      <c r="F13" s="29"/>
      <c r="G13" s="29"/>
      <c r="H13" s="29"/>
      <c r="I13" s="125"/>
      <c r="J13" s="126"/>
      <c r="K13" s="126"/>
      <c r="L13" s="126"/>
      <c r="M13" s="126"/>
      <c r="N13" s="126"/>
      <c r="O13" s="126"/>
      <c r="P13" s="126"/>
      <c r="Q13" s="126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spans="1:42" ht="85" x14ac:dyDescent="0.2">
      <c r="A14" s="23" t="s">
        <v>48</v>
      </c>
      <c r="B14" s="19" t="s">
        <v>53</v>
      </c>
      <c r="C14" s="35" t="s">
        <v>54</v>
      </c>
      <c r="D14" s="19" t="s">
        <v>27</v>
      </c>
      <c r="E14" s="29"/>
      <c r="F14" s="29"/>
      <c r="G14" s="29"/>
      <c r="H14" s="29"/>
      <c r="I14" s="125"/>
      <c r="J14" s="126"/>
      <c r="K14" s="126"/>
      <c r="L14" s="126"/>
      <c r="M14" s="126"/>
      <c r="N14" s="126"/>
      <c r="O14" s="126"/>
      <c r="P14" s="126"/>
      <c r="Q14" s="126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 ht="85" x14ac:dyDescent="0.2">
      <c r="A15" s="25" t="s">
        <v>48</v>
      </c>
      <c r="B15" s="21" t="s">
        <v>55</v>
      </c>
      <c r="C15" s="27" t="s">
        <v>56</v>
      </c>
      <c r="D15" s="21" t="s">
        <v>36</v>
      </c>
      <c r="E15" s="29"/>
      <c r="F15" s="29"/>
      <c r="G15" s="29"/>
      <c r="H15" s="29"/>
      <c r="I15" s="125"/>
      <c r="J15" s="126"/>
      <c r="K15" s="126"/>
      <c r="L15" s="126"/>
      <c r="M15" s="126"/>
      <c r="N15" s="126"/>
      <c r="O15" s="126"/>
      <c r="P15" s="126"/>
      <c r="Q15" s="126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ht="34" x14ac:dyDescent="0.2">
      <c r="A16" s="23" t="s">
        <v>48</v>
      </c>
      <c r="B16" s="19" t="s">
        <v>53</v>
      </c>
      <c r="C16" s="35" t="s">
        <v>57</v>
      </c>
      <c r="D16" s="19" t="s">
        <v>27</v>
      </c>
      <c r="E16" s="29"/>
      <c r="F16" s="29"/>
      <c r="G16" s="29"/>
      <c r="H16" s="29"/>
      <c r="I16" s="125"/>
      <c r="J16" s="126"/>
      <c r="K16" s="126"/>
      <c r="L16" s="126"/>
      <c r="M16" s="126"/>
      <c r="N16" s="126"/>
      <c r="O16" s="126"/>
      <c r="P16" s="126"/>
      <c r="Q16" s="126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68" x14ac:dyDescent="0.2">
      <c r="A17" s="23" t="s">
        <v>48</v>
      </c>
      <c r="B17" s="19" t="s">
        <v>53</v>
      </c>
      <c r="C17" s="35" t="s">
        <v>58</v>
      </c>
      <c r="D17" s="19" t="s">
        <v>27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ht="51" x14ac:dyDescent="0.2">
      <c r="A18" s="23" t="s">
        <v>59</v>
      </c>
      <c r="B18" s="19" t="s">
        <v>53</v>
      </c>
      <c r="C18" s="35" t="s">
        <v>60</v>
      </c>
      <c r="D18" s="19" t="s">
        <v>27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39" customHeight="1" x14ac:dyDescent="0.2">
      <c r="A19" s="23" t="s">
        <v>61</v>
      </c>
      <c r="B19" s="19" t="s">
        <v>62</v>
      </c>
      <c r="C19" s="35" t="s">
        <v>63</v>
      </c>
      <c r="D19" s="19" t="s">
        <v>27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x14ac:dyDescent="0.2">
      <c r="A20" s="17"/>
      <c r="B20" s="16"/>
      <c r="C20" s="38"/>
      <c r="D20" s="16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x14ac:dyDescent="0.2">
      <c r="A21" s="17"/>
      <c r="B21" s="16"/>
      <c r="C21" s="38"/>
      <c r="D21" s="16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68" x14ac:dyDescent="0.2">
      <c r="A22" s="17"/>
      <c r="B22" s="16"/>
      <c r="C22" s="38" t="s">
        <v>64</v>
      </c>
      <c r="D22" s="16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x14ac:dyDescent="0.2">
      <c r="A23" s="17"/>
      <c r="B23" s="16"/>
      <c r="C23" s="16" t="s">
        <v>65</v>
      </c>
      <c r="D23" s="16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x14ac:dyDescent="0.2">
      <c r="A24" s="17"/>
      <c r="B24" s="16"/>
      <c r="C24" s="16"/>
      <c r="D24" s="16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x14ac:dyDescent="0.2">
      <c r="A25" s="17"/>
      <c r="B25" s="16"/>
      <c r="C25" s="16"/>
      <c r="D25" s="16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x14ac:dyDescent="0.2">
      <c r="A26" s="17"/>
      <c r="B26" s="16"/>
      <c r="C26" s="16"/>
      <c r="D26" s="16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x14ac:dyDescent="0.2">
      <c r="A27" s="17"/>
      <c r="B27" s="16"/>
      <c r="C27" s="16"/>
      <c r="D27" s="16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x14ac:dyDescent="0.2">
      <c r="A28" s="17"/>
      <c r="B28" s="16"/>
      <c r="C28" s="16"/>
      <c r="D28" s="16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x14ac:dyDescent="0.2">
      <c r="A29" s="17"/>
      <c r="B29" s="16"/>
      <c r="C29" s="16"/>
      <c r="D29" s="16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x14ac:dyDescent="0.2">
      <c r="A30" s="17"/>
      <c r="B30" s="16"/>
      <c r="C30" s="16"/>
      <c r="D30" s="16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x14ac:dyDescent="0.2">
      <c r="A31" s="17"/>
      <c r="B31" s="16"/>
      <c r="C31" s="16"/>
      <c r="D31" s="16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x14ac:dyDescent="0.2">
      <c r="A32" s="17"/>
      <c r="B32" s="16"/>
      <c r="C32" s="16"/>
      <c r="D32" s="16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x14ac:dyDescent="0.2">
      <c r="A33" s="17"/>
      <c r="B33" s="16"/>
      <c r="C33" s="16"/>
      <c r="D33" s="16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x14ac:dyDescent="0.2">
      <c r="A34" s="17"/>
      <c r="B34" s="16"/>
      <c r="C34" s="16"/>
      <c r="D34" s="16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x14ac:dyDescent="0.2">
      <c r="A35" s="17"/>
      <c r="B35" s="16"/>
      <c r="C35" s="16"/>
      <c r="D35" s="16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x14ac:dyDescent="0.2">
      <c r="A36" s="17"/>
      <c r="B36" s="16"/>
      <c r="C36" s="16"/>
      <c r="D36" s="16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x14ac:dyDescent="0.2">
      <c r="A37" s="17"/>
      <c r="B37" s="16"/>
      <c r="C37" s="16"/>
      <c r="D37" s="16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 x14ac:dyDescent="0.2">
      <c r="A38" s="17"/>
      <c r="B38" s="16"/>
      <c r="C38" s="16"/>
      <c r="D38" s="16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 x14ac:dyDescent="0.2">
      <c r="A39" s="17"/>
      <c r="B39" s="16"/>
      <c r="C39" s="16"/>
      <c r="D39" s="16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 x14ac:dyDescent="0.2">
      <c r="A40" s="17"/>
      <c r="B40" s="16"/>
      <c r="C40" s="16"/>
      <c r="D40" s="16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 x14ac:dyDescent="0.2">
      <c r="A41" s="17"/>
      <c r="B41" s="16"/>
      <c r="C41" s="16"/>
      <c r="D41" s="16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 x14ac:dyDescent="0.2">
      <c r="A42" s="17"/>
      <c r="B42" s="16"/>
      <c r="C42" s="16"/>
      <c r="D42" s="16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 x14ac:dyDescent="0.2">
      <c r="A43" s="17"/>
      <c r="B43" s="16"/>
      <c r="C43" s="16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 x14ac:dyDescent="0.2">
      <c r="A44" s="17"/>
      <c r="B44" s="16"/>
      <c r="C44" s="16"/>
      <c r="D44" s="16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x14ac:dyDescent="0.2">
      <c r="A45" s="17"/>
      <c r="B45" s="16"/>
      <c r="C45" s="16"/>
      <c r="D45" s="16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x14ac:dyDescent="0.2">
      <c r="A46" s="17"/>
      <c r="B46" s="16"/>
      <c r="C46" s="16"/>
      <c r="D46" s="16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 x14ac:dyDescent="0.2">
      <c r="A47" s="17"/>
      <c r="B47" s="16"/>
      <c r="C47" s="16"/>
      <c r="D47" s="16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spans="1:42" x14ac:dyDescent="0.2">
      <c r="A48" s="17"/>
      <c r="B48" s="16"/>
      <c r="C48" s="16"/>
      <c r="D48" s="16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spans="1:42" x14ac:dyDescent="0.2">
      <c r="A49" s="17"/>
      <c r="B49" s="16"/>
      <c r="C49" s="16"/>
      <c r="D49" s="16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spans="1:42" x14ac:dyDescent="0.2">
      <c r="A50" s="17"/>
      <c r="B50" s="16"/>
      <c r="C50" s="16"/>
      <c r="D50" s="16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</row>
    <row r="51" spans="1:42" x14ac:dyDescent="0.2">
      <c r="A51" s="17"/>
      <c r="B51" s="16"/>
      <c r="C51" s="16"/>
      <c r="D51" s="16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</row>
    <row r="52" spans="1:42" x14ac:dyDescent="0.2">
      <c r="A52" s="17"/>
      <c r="B52" s="16"/>
      <c r="C52" s="16"/>
      <c r="D52" s="16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</row>
    <row r="53" spans="1:42" x14ac:dyDescent="0.2">
      <c r="A53" s="17"/>
      <c r="B53" s="16"/>
      <c r="C53" s="16"/>
      <c r="D53" s="16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</row>
    <row r="54" spans="1:42" x14ac:dyDescent="0.2">
      <c r="A54" s="17"/>
      <c r="B54" s="16"/>
      <c r="C54" s="16"/>
      <c r="D54" s="16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1:42" x14ac:dyDescent="0.2">
      <c r="A55" s="17"/>
      <c r="B55" s="16"/>
      <c r="C55" s="16"/>
      <c r="D55" s="16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</row>
    <row r="56" spans="1:42" x14ac:dyDescent="0.2">
      <c r="A56" s="17"/>
      <c r="B56" s="16"/>
      <c r="C56" s="16"/>
      <c r="D56" s="16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</row>
    <row r="57" spans="1:42" x14ac:dyDescent="0.2">
      <c r="A57" s="17"/>
      <c r="B57" s="16"/>
      <c r="C57" s="16"/>
      <c r="D57" s="16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</row>
    <row r="58" spans="1:42" x14ac:dyDescent="0.2">
      <c r="A58" s="17"/>
      <c r="B58" s="16"/>
      <c r="C58" s="16"/>
      <c r="D58" s="16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1:42" x14ac:dyDescent="0.2">
      <c r="A59" s="17"/>
      <c r="B59" s="16"/>
      <c r="C59" s="16"/>
      <c r="D59" s="16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 x14ac:dyDescent="0.2">
      <c r="A60" s="17"/>
      <c r="B60" s="16"/>
      <c r="C60" s="16"/>
      <c r="D60" s="16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1" spans="1:42" x14ac:dyDescent="0.2">
      <c r="A61" s="17"/>
      <c r="B61" s="16"/>
      <c r="C61" s="16"/>
      <c r="D61" s="16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</row>
    <row r="62" spans="1:42" x14ac:dyDescent="0.2">
      <c r="A62" s="17"/>
      <c r="B62" s="16"/>
      <c r="C62" s="16"/>
      <c r="D62" s="16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</row>
    <row r="63" spans="1:42" x14ac:dyDescent="0.2">
      <c r="A63" s="17"/>
      <c r="B63" s="16"/>
      <c r="C63" s="16"/>
      <c r="D63" s="16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</row>
    <row r="64" spans="1:42" x14ac:dyDescent="0.2">
      <c r="A64" s="17"/>
      <c r="B64" s="16"/>
      <c r="C64" s="16"/>
      <c r="D64" s="16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</row>
    <row r="65" spans="1:42" x14ac:dyDescent="0.2">
      <c r="A65" s="17"/>
      <c r="B65" s="16"/>
      <c r="C65" s="16"/>
      <c r="D65" s="16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</row>
    <row r="66" spans="1:42" x14ac:dyDescent="0.2">
      <c r="A66" s="17"/>
      <c r="B66" s="16"/>
      <c r="C66" s="16"/>
      <c r="D66" s="16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spans="1:42" x14ac:dyDescent="0.2">
      <c r="A67" s="17"/>
      <c r="B67" s="16"/>
      <c r="C67" s="16"/>
      <c r="D67" s="16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spans="1:42" x14ac:dyDescent="0.2">
      <c r="A68" s="17"/>
      <c r="B68" s="16"/>
      <c r="C68" s="16"/>
      <c r="D68" s="16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spans="1:42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spans="1:42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spans="1:42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3" spans="1:42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spans="1:42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</row>
    <row r="75" spans="1:42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</row>
    <row r="76" spans="1:42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</row>
    <row r="77" spans="1:42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</row>
    <row r="78" spans="1:42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</row>
    <row r="79" spans="1:42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spans="1:42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</row>
    <row r="81" spans="1:42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spans="1:42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spans="1:42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spans="1:42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5" spans="1:42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</row>
    <row r="86" spans="1:42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spans="1:42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</row>
    <row r="88" spans="1:42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</row>
    <row r="89" spans="1:42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</row>
    <row r="90" spans="1:42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spans="1:42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spans="1:42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spans="1:42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spans="1:42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</row>
    <row r="95" spans="1:42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spans="1:42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spans="1:42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spans="1:42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spans="1:42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42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42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42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42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42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42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42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42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42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42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42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42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</row>
  </sheetData>
  <dataValidations count="1">
    <dataValidation type="list" allowBlank="1" showInputMessage="1" showErrorMessage="1" sqref="D3:D68" xr:uid="{0412DE62-7791-7046-9F63-A2F870DDB6BB}">
      <formula1>"Completed, Pending, Maculated"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D1E4-3B72-5942-B658-6A1268398250}">
  <dimension ref="A1:AE57"/>
  <sheetViews>
    <sheetView workbookViewId="0">
      <selection activeCell="D6" sqref="D6"/>
    </sheetView>
  </sheetViews>
  <sheetFormatPr baseColWidth="10" defaultColWidth="11" defaultRowHeight="16" x14ac:dyDescent="0.2"/>
  <cols>
    <col min="1" max="1" width="64.6640625" customWidth="1"/>
  </cols>
  <sheetData>
    <row r="1" spans="1:31" ht="52" customHeight="1" x14ac:dyDescent="0.2">
      <c r="A1" s="77" t="s">
        <v>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54" customHeight="1" x14ac:dyDescent="0.2">
      <c r="A2" s="78" t="s">
        <v>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 ht="52" customHeight="1" x14ac:dyDescent="0.2">
      <c r="A3" s="79" t="s">
        <v>68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 ht="47" customHeight="1" x14ac:dyDescent="0.2">
      <c r="A4" s="80" t="s">
        <v>69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 ht="47" customHeight="1" x14ac:dyDescent="0.2">
      <c r="A5" s="81" t="s">
        <v>69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 ht="48" customHeight="1" x14ac:dyDescent="0.2">
      <c r="A6" s="82" t="s">
        <v>69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 ht="48" customHeight="1" thickBot="1" x14ac:dyDescent="0.25">
      <c r="A7" s="83" t="s">
        <v>70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31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3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31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3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3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3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3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3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x14ac:dyDescent="0.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28D4-03CC-7E42-B2DC-7AD3478A82C8}">
  <dimension ref="A1:CF132"/>
  <sheetViews>
    <sheetView topLeftCell="A2" zoomScale="121" workbookViewId="0">
      <selection activeCell="E11" sqref="E11"/>
    </sheetView>
  </sheetViews>
  <sheetFormatPr baseColWidth="10" defaultColWidth="10.83203125" defaultRowHeight="16" x14ac:dyDescent="0.2"/>
  <cols>
    <col min="1" max="1" width="31" style="5" bestFit="1" customWidth="1"/>
    <col min="2" max="2" width="14.5" style="5" bestFit="1" customWidth="1"/>
    <col min="3" max="3" width="17.83203125" style="5" bestFit="1" customWidth="1"/>
    <col min="4" max="4" width="30.83203125" style="5" bestFit="1" customWidth="1"/>
    <col min="5" max="5" width="34.1640625" style="5" bestFit="1" customWidth="1"/>
    <col min="6" max="7" width="31.5" style="5" bestFit="1" customWidth="1"/>
    <col min="8" max="8" width="25.6640625" style="5" customWidth="1"/>
    <col min="9" max="16384" width="10.83203125" style="5"/>
  </cols>
  <sheetData>
    <row r="1" spans="1:84" x14ac:dyDescent="0.2">
      <c r="A1" s="53" t="s">
        <v>71</v>
      </c>
      <c r="B1" s="50" t="s">
        <v>72</v>
      </c>
      <c r="C1" s="50" t="s">
        <v>73</v>
      </c>
      <c r="D1" s="50" t="s">
        <v>74</v>
      </c>
      <c r="E1" s="50" t="s">
        <v>75</v>
      </c>
      <c r="F1" s="50" t="s">
        <v>76</v>
      </c>
      <c r="G1" s="51" t="s">
        <v>77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84" ht="118.5" customHeight="1" x14ac:dyDescent="0.2">
      <c r="A2" s="54" t="s">
        <v>78</v>
      </c>
      <c r="B2" s="55" t="s">
        <v>79</v>
      </c>
      <c r="C2" s="55" t="s">
        <v>80</v>
      </c>
      <c r="D2" s="55" t="s">
        <v>81</v>
      </c>
      <c r="E2" s="55" t="s">
        <v>82</v>
      </c>
      <c r="F2" s="55" t="s">
        <v>83</v>
      </c>
      <c r="G2" s="56" t="s">
        <v>84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84" x14ac:dyDescent="0.2">
      <c r="A3" s="45" t="s">
        <v>85</v>
      </c>
      <c r="B3" s="46"/>
      <c r="C3" s="45">
        <v>6000000007</v>
      </c>
      <c r="D3" s="45">
        <v>9</v>
      </c>
      <c r="E3" s="45" t="s">
        <v>86</v>
      </c>
      <c r="F3" s="45">
        <v>9</v>
      </c>
      <c r="G3" s="39">
        <f>(D3+F3)/2</f>
        <v>9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84" x14ac:dyDescent="0.2">
      <c r="A4" s="45" t="s">
        <v>87</v>
      </c>
      <c r="B4" s="46"/>
      <c r="C4" s="45">
        <v>6000000007</v>
      </c>
      <c r="D4" s="45">
        <v>9</v>
      </c>
      <c r="E4" s="45" t="s">
        <v>86</v>
      </c>
      <c r="F4" s="45">
        <v>9</v>
      </c>
      <c r="G4" s="39">
        <f t="shared" ref="G4:G43" si="0">(D4+F4)/2</f>
        <v>9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84" x14ac:dyDescent="0.2">
      <c r="A5" s="45" t="s">
        <v>88</v>
      </c>
      <c r="B5" s="46"/>
      <c r="C5" s="45">
        <v>6000000007</v>
      </c>
      <c r="D5" s="45">
        <v>9</v>
      </c>
      <c r="E5" s="45" t="s">
        <v>86</v>
      </c>
      <c r="F5" s="45">
        <v>9</v>
      </c>
      <c r="G5" s="39">
        <f t="shared" si="0"/>
        <v>9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84" x14ac:dyDescent="0.2">
      <c r="A6" s="45" t="s">
        <v>89</v>
      </c>
      <c r="B6" s="46"/>
      <c r="C6" s="45">
        <v>6000000007</v>
      </c>
      <c r="D6" s="45">
        <v>9</v>
      </c>
      <c r="E6" s="45" t="s">
        <v>86</v>
      </c>
      <c r="F6" s="45">
        <v>9</v>
      </c>
      <c r="G6" s="39">
        <f t="shared" si="0"/>
        <v>9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84" x14ac:dyDescent="0.2">
      <c r="A7" s="45" t="s">
        <v>90</v>
      </c>
      <c r="B7" s="46"/>
      <c r="C7" s="45">
        <v>6000000221</v>
      </c>
      <c r="D7" s="45">
        <v>8</v>
      </c>
      <c r="E7" s="45" t="s">
        <v>91</v>
      </c>
      <c r="F7" s="45">
        <v>6</v>
      </c>
      <c r="G7" s="39">
        <f t="shared" si="0"/>
        <v>7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84" s="6" customFormat="1" x14ac:dyDescent="0.2">
      <c r="A8" s="45" t="s">
        <v>92</v>
      </c>
      <c r="B8" s="46"/>
      <c r="C8" s="45">
        <v>6000000085</v>
      </c>
      <c r="D8" s="45">
        <v>3</v>
      </c>
      <c r="E8" s="45" t="s">
        <v>93</v>
      </c>
      <c r="F8" s="45">
        <v>6</v>
      </c>
      <c r="G8" s="39">
        <f>(D8+F8)/2</f>
        <v>4.5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1:84" x14ac:dyDescent="0.2">
      <c r="A9" s="45" t="s">
        <v>94</v>
      </c>
      <c r="B9" s="46"/>
      <c r="C9" s="45">
        <v>6000000029</v>
      </c>
      <c r="D9" s="45">
        <v>9</v>
      </c>
      <c r="E9" s="45" t="s">
        <v>95</v>
      </c>
      <c r="F9" s="45">
        <v>9</v>
      </c>
      <c r="G9" s="39">
        <f t="shared" si="0"/>
        <v>9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84" x14ac:dyDescent="0.2">
      <c r="A10" s="45" t="s">
        <v>96</v>
      </c>
      <c r="B10" s="46"/>
      <c r="C10" s="45">
        <v>6000000094</v>
      </c>
      <c r="D10" s="45">
        <v>10</v>
      </c>
      <c r="E10" s="45" t="s">
        <v>97</v>
      </c>
      <c r="F10" s="45">
        <v>10</v>
      </c>
      <c r="G10" s="39">
        <f t="shared" si="0"/>
        <v>10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84" x14ac:dyDescent="0.2">
      <c r="A11" s="45" t="s">
        <v>98</v>
      </c>
      <c r="B11" s="46"/>
      <c r="C11" s="45">
        <v>6000000096</v>
      </c>
      <c r="D11" s="45">
        <v>8</v>
      </c>
      <c r="E11" s="45" t="s">
        <v>93</v>
      </c>
      <c r="F11" s="45">
        <v>10</v>
      </c>
      <c r="G11" s="39">
        <f t="shared" si="0"/>
        <v>9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84" x14ac:dyDescent="0.2">
      <c r="A12" s="45" t="s">
        <v>99</v>
      </c>
      <c r="B12" s="46"/>
      <c r="C12" s="45">
        <v>6000000092</v>
      </c>
      <c r="D12" s="45">
        <v>9</v>
      </c>
      <c r="E12" s="45" t="s">
        <v>97</v>
      </c>
      <c r="F12" s="45">
        <v>8</v>
      </c>
      <c r="G12" s="39">
        <f t="shared" si="0"/>
        <v>8.5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84" x14ac:dyDescent="0.2">
      <c r="A13" s="45" t="s">
        <v>100</v>
      </c>
      <c r="B13" s="46"/>
      <c r="C13" s="45">
        <v>6000000092</v>
      </c>
      <c r="D13" s="45">
        <v>9</v>
      </c>
      <c r="E13" s="45" t="s">
        <v>101</v>
      </c>
      <c r="F13" s="45">
        <v>7</v>
      </c>
      <c r="G13" s="39">
        <f t="shared" si="0"/>
        <v>8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84" s="6" customFormat="1" x14ac:dyDescent="0.2">
      <c r="A14" s="45" t="s">
        <v>102</v>
      </c>
      <c r="B14" s="46"/>
      <c r="C14" s="45">
        <v>6000000210</v>
      </c>
      <c r="D14" s="45">
        <v>5</v>
      </c>
      <c r="E14" s="45" t="s">
        <v>103</v>
      </c>
      <c r="F14" s="45">
        <v>1</v>
      </c>
      <c r="G14" s="39">
        <f t="shared" si="0"/>
        <v>3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</row>
    <row r="15" spans="1:84" x14ac:dyDescent="0.2">
      <c r="A15" s="45" t="s">
        <v>104</v>
      </c>
      <c r="B15" s="46"/>
      <c r="C15" s="45">
        <v>6000000091</v>
      </c>
      <c r="D15" s="45">
        <v>9</v>
      </c>
      <c r="E15" s="45" t="s">
        <v>93</v>
      </c>
      <c r="F15" s="45">
        <v>10</v>
      </c>
      <c r="G15" s="39">
        <f t="shared" si="0"/>
        <v>9.5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84" x14ac:dyDescent="0.2">
      <c r="A16" s="45" t="s">
        <v>105</v>
      </c>
      <c r="B16" s="46"/>
      <c r="C16" s="45">
        <v>6000000222</v>
      </c>
      <c r="D16" s="45">
        <v>7</v>
      </c>
      <c r="E16" s="45" t="s">
        <v>106</v>
      </c>
      <c r="F16" s="45">
        <v>3</v>
      </c>
      <c r="G16" s="39">
        <f t="shared" si="0"/>
        <v>5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84" s="6" customFormat="1" x14ac:dyDescent="0.2">
      <c r="A17" s="45" t="s">
        <v>107</v>
      </c>
      <c r="B17" s="46"/>
      <c r="C17" s="45">
        <v>6000000085</v>
      </c>
      <c r="D17" s="45">
        <v>3</v>
      </c>
      <c r="E17" s="45" t="s">
        <v>108</v>
      </c>
      <c r="F17" s="45">
        <v>5</v>
      </c>
      <c r="G17" s="39">
        <f t="shared" si="0"/>
        <v>4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</row>
    <row r="18" spans="1:84" x14ac:dyDescent="0.2">
      <c r="A18" s="45" t="s">
        <v>109</v>
      </c>
      <c r="B18" s="46"/>
      <c r="C18" s="45">
        <v>6000000153</v>
      </c>
      <c r="D18" s="45">
        <v>8</v>
      </c>
      <c r="E18" s="45" t="s">
        <v>110</v>
      </c>
      <c r="F18" s="45">
        <v>6</v>
      </c>
      <c r="G18" s="39">
        <f t="shared" si="0"/>
        <v>7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84" x14ac:dyDescent="0.2">
      <c r="A19" s="45" t="s">
        <v>111</v>
      </c>
      <c r="B19" s="46"/>
      <c r="C19" s="45">
        <v>6000000007</v>
      </c>
      <c r="D19" s="45">
        <v>8</v>
      </c>
      <c r="E19" s="45" t="s">
        <v>86</v>
      </c>
      <c r="F19" s="45">
        <v>8</v>
      </c>
      <c r="G19" s="39">
        <f t="shared" si="0"/>
        <v>8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84" x14ac:dyDescent="0.2">
      <c r="A20" s="45" t="s">
        <v>112</v>
      </c>
      <c r="B20" s="46"/>
      <c r="C20" s="45">
        <v>6000000007</v>
      </c>
      <c r="D20" s="45">
        <v>8</v>
      </c>
      <c r="E20" s="45" t="s">
        <v>86</v>
      </c>
      <c r="F20" s="45">
        <v>8</v>
      </c>
      <c r="G20" s="39">
        <f t="shared" si="0"/>
        <v>8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84" x14ac:dyDescent="0.2">
      <c r="A21" s="45" t="s">
        <v>113</v>
      </c>
      <c r="B21" s="46"/>
      <c r="C21" s="45">
        <v>6000000140</v>
      </c>
      <c r="D21" s="45">
        <v>5</v>
      </c>
      <c r="E21" s="45" t="s">
        <v>103</v>
      </c>
      <c r="F21" s="45">
        <v>7</v>
      </c>
      <c r="G21" s="39">
        <f t="shared" si="0"/>
        <v>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84" x14ac:dyDescent="0.2">
      <c r="A22" s="45" t="s">
        <v>89</v>
      </c>
      <c r="B22" s="46"/>
      <c r="C22" s="45">
        <v>6000000007</v>
      </c>
      <c r="D22" s="45">
        <v>7</v>
      </c>
      <c r="E22" s="45" t="s">
        <v>86</v>
      </c>
      <c r="F22" s="45">
        <v>8</v>
      </c>
      <c r="G22" s="39">
        <f t="shared" si="0"/>
        <v>7.5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84" x14ac:dyDescent="0.2">
      <c r="A23" s="45" t="s">
        <v>114</v>
      </c>
      <c r="B23" s="46"/>
      <c r="C23" s="45">
        <v>6000000082</v>
      </c>
      <c r="D23" s="45">
        <v>10</v>
      </c>
      <c r="E23" s="45" t="s">
        <v>115</v>
      </c>
      <c r="F23" s="45">
        <v>10</v>
      </c>
      <c r="G23" s="39">
        <f t="shared" si="0"/>
        <v>10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84" x14ac:dyDescent="0.2">
      <c r="A24" s="45" t="s">
        <v>116</v>
      </c>
      <c r="B24" s="46"/>
      <c r="C24" s="45">
        <v>6000000002</v>
      </c>
      <c r="D24" s="45">
        <v>8</v>
      </c>
      <c r="E24" s="45" t="s">
        <v>347</v>
      </c>
      <c r="F24" s="45">
        <v>6</v>
      </c>
      <c r="G24" s="39">
        <f t="shared" si="0"/>
        <v>7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84" x14ac:dyDescent="0.2">
      <c r="A25" s="45" t="s">
        <v>117</v>
      </c>
      <c r="B25" s="46"/>
      <c r="C25" s="45">
        <v>6000000007</v>
      </c>
      <c r="D25" s="45">
        <v>7</v>
      </c>
      <c r="E25" s="45" t="s">
        <v>86</v>
      </c>
      <c r="F25" s="45">
        <v>8</v>
      </c>
      <c r="G25" s="39">
        <f t="shared" si="0"/>
        <v>7.5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84" x14ac:dyDescent="0.2">
      <c r="A26" s="45" t="s">
        <v>118</v>
      </c>
      <c r="B26" s="46"/>
      <c r="C26" s="45">
        <v>6000000015</v>
      </c>
      <c r="D26" s="45">
        <v>10</v>
      </c>
      <c r="E26" s="45" t="s">
        <v>119</v>
      </c>
      <c r="F26" s="45">
        <v>8</v>
      </c>
      <c r="G26" s="39">
        <f t="shared" si="0"/>
        <v>9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84" x14ac:dyDescent="0.2">
      <c r="A27" s="45" t="s">
        <v>120</v>
      </c>
      <c r="B27" s="46"/>
      <c r="C27" s="45">
        <v>6000000180</v>
      </c>
      <c r="D27" s="45">
        <v>6</v>
      </c>
      <c r="E27" s="45" t="s">
        <v>346</v>
      </c>
      <c r="F27" s="45">
        <v>5</v>
      </c>
      <c r="G27" s="39">
        <f>(D27+F27)/2</f>
        <v>5.5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84" s="6" customFormat="1" x14ac:dyDescent="0.2">
      <c r="A28" s="45" t="s">
        <v>122</v>
      </c>
      <c r="B28" s="46"/>
      <c r="C28" s="45">
        <v>6000000141</v>
      </c>
      <c r="D28" s="45">
        <v>4</v>
      </c>
      <c r="E28" s="45" t="s">
        <v>123</v>
      </c>
      <c r="F28" s="45">
        <v>8</v>
      </c>
      <c r="G28" s="39">
        <f t="shared" si="0"/>
        <v>6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</row>
    <row r="29" spans="1:84" s="6" customFormat="1" x14ac:dyDescent="0.2">
      <c r="A29" s="45" t="s">
        <v>124</v>
      </c>
      <c r="B29" s="46"/>
      <c r="C29" s="45">
        <v>6000000210</v>
      </c>
      <c r="D29" s="45">
        <v>4</v>
      </c>
      <c r="E29" s="45" t="s">
        <v>103</v>
      </c>
      <c r="F29" s="45">
        <v>1</v>
      </c>
      <c r="G29" s="39">
        <f t="shared" si="0"/>
        <v>2.5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</row>
    <row r="30" spans="1:84" x14ac:dyDescent="0.2">
      <c r="A30" s="45" t="s">
        <v>125</v>
      </c>
      <c r="B30" s="46"/>
      <c r="C30" s="45">
        <v>6000000215</v>
      </c>
      <c r="D30" s="45">
        <v>9</v>
      </c>
      <c r="E30" s="45" t="s">
        <v>126</v>
      </c>
      <c r="F30" s="45">
        <v>4</v>
      </c>
      <c r="G30" s="39">
        <f t="shared" si="0"/>
        <v>6.5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84" x14ac:dyDescent="0.2">
      <c r="A31" s="45" t="s">
        <v>127</v>
      </c>
      <c r="B31" s="46"/>
      <c r="C31" s="45">
        <v>6000000089</v>
      </c>
      <c r="D31" s="45">
        <v>8</v>
      </c>
      <c r="E31" s="45" t="s">
        <v>128</v>
      </c>
      <c r="F31" s="45">
        <v>8</v>
      </c>
      <c r="G31" s="39">
        <f t="shared" si="0"/>
        <v>8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84" x14ac:dyDescent="0.2">
      <c r="A32" s="45" t="s">
        <v>129</v>
      </c>
      <c r="B32" s="46"/>
      <c r="C32" s="45">
        <v>6000000128</v>
      </c>
      <c r="D32" s="45">
        <v>7</v>
      </c>
      <c r="E32" s="45" t="s">
        <v>130</v>
      </c>
      <c r="F32" s="45">
        <v>6</v>
      </c>
      <c r="G32" s="39">
        <f t="shared" si="0"/>
        <v>6.5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84" x14ac:dyDescent="0.2">
      <c r="A33" s="45" t="s">
        <v>131</v>
      </c>
      <c r="B33" s="46"/>
      <c r="C33" s="45">
        <v>6000000005</v>
      </c>
      <c r="D33" s="45">
        <v>6</v>
      </c>
      <c r="E33" s="45" t="s">
        <v>130</v>
      </c>
      <c r="F33" s="45">
        <v>6</v>
      </c>
      <c r="G33" s="39">
        <f t="shared" si="0"/>
        <v>6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84" x14ac:dyDescent="0.2">
      <c r="A34" s="45" t="s">
        <v>132</v>
      </c>
      <c r="B34" s="46"/>
      <c r="C34" s="45">
        <v>6000000007</v>
      </c>
      <c r="D34" s="45">
        <v>8</v>
      </c>
      <c r="E34" s="45" t="s">
        <v>86</v>
      </c>
      <c r="F34" s="45">
        <v>8</v>
      </c>
      <c r="G34" s="39">
        <f t="shared" si="0"/>
        <v>8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84" x14ac:dyDescent="0.2">
      <c r="A35" s="45" t="s">
        <v>133</v>
      </c>
      <c r="B35" s="46" t="s">
        <v>134</v>
      </c>
      <c r="C35" s="45">
        <v>6000000155</v>
      </c>
      <c r="D35" s="45">
        <v>10</v>
      </c>
      <c r="E35" s="45" t="s">
        <v>91</v>
      </c>
      <c r="F35" s="45">
        <v>7</v>
      </c>
      <c r="G35" s="39">
        <f t="shared" si="0"/>
        <v>8.5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84" s="6" customFormat="1" x14ac:dyDescent="0.2">
      <c r="A36" s="45" t="s">
        <v>135</v>
      </c>
      <c r="B36" s="46"/>
      <c r="C36" s="45">
        <v>6000000193</v>
      </c>
      <c r="D36" s="45">
        <v>3</v>
      </c>
      <c r="E36" s="45" t="s">
        <v>121</v>
      </c>
      <c r="F36" s="45">
        <v>5</v>
      </c>
      <c r="G36" s="39">
        <f t="shared" si="0"/>
        <v>4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</row>
    <row r="37" spans="1:84" x14ac:dyDescent="0.2">
      <c r="A37" s="45" t="s">
        <v>136</v>
      </c>
      <c r="B37" s="46"/>
      <c r="C37" s="45">
        <v>6000000198</v>
      </c>
      <c r="D37" s="45">
        <v>10</v>
      </c>
      <c r="E37" s="45" t="s">
        <v>103</v>
      </c>
      <c r="F37" s="45">
        <v>1</v>
      </c>
      <c r="G37" s="39">
        <f t="shared" si="0"/>
        <v>5.5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84" x14ac:dyDescent="0.2">
      <c r="A38" s="45" t="s">
        <v>137</v>
      </c>
      <c r="B38" s="46"/>
      <c r="C38" s="45">
        <v>6000000020</v>
      </c>
      <c r="D38" s="45">
        <v>10</v>
      </c>
      <c r="E38" s="45" t="s">
        <v>138</v>
      </c>
      <c r="F38" s="45">
        <v>10</v>
      </c>
      <c r="G38" s="39">
        <f t="shared" si="0"/>
        <v>10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84" x14ac:dyDescent="0.2">
      <c r="A39" s="45" t="s">
        <v>139</v>
      </c>
      <c r="B39" s="46"/>
      <c r="C39" s="45">
        <v>6000000007</v>
      </c>
      <c r="D39" s="45">
        <v>8</v>
      </c>
      <c r="E39" s="45" t="s">
        <v>86</v>
      </c>
      <c r="F39" s="45">
        <v>8</v>
      </c>
      <c r="G39" s="39">
        <f t="shared" si="0"/>
        <v>8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84" x14ac:dyDescent="0.2">
      <c r="A40" s="45" t="s">
        <v>140</v>
      </c>
      <c r="B40" s="46" t="s">
        <v>134</v>
      </c>
      <c r="C40" s="45">
        <v>6000000096</v>
      </c>
      <c r="D40" s="45">
        <v>8</v>
      </c>
      <c r="E40" s="45" t="s">
        <v>93</v>
      </c>
      <c r="F40" s="45">
        <v>10</v>
      </c>
      <c r="G40" s="39">
        <f t="shared" si="0"/>
        <v>9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84" x14ac:dyDescent="0.2">
      <c r="A41" s="45" t="s">
        <v>141</v>
      </c>
      <c r="B41" s="46" t="s">
        <v>134</v>
      </c>
      <c r="C41" s="45">
        <v>6000000221</v>
      </c>
      <c r="D41" s="45">
        <v>8</v>
      </c>
      <c r="E41" s="45" t="s">
        <v>91</v>
      </c>
      <c r="F41" s="45">
        <v>9</v>
      </c>
      <c r="G41" s="39">
        <f t="shared" si="0"/>
        <v>8.5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84" x14ac:dyDescent="0.2">
      <c r="A42" s="45" t="s">
        <v>142</v>
      </c>
      <c r="B42" s="46"/>
      <c r="C42" s="45">
        <v>6000000007</v>
      </c>
      <c r="D42" s="45">
        <v>8</v>
      </c>
      <c r="E42" s="45" t="s">
        <v>86</v>
      </c>
      <c r="F42" s="45">
        <v>8</v>
      </c>
      <c r="G42" s="39">
        <f t="shared" si="0"/>
        <v>8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84" x14ac:dyDescent="0.2">
      <c r="A43" s="45" t="s">
        <v>143</v>
      </c>
      <c r="B43" s="46"/>
      <c r="C43" s="45">
        <v>6000000081</v>
      </c>
      <c r="D43" s="45">
        <v>5</v>
      </c>
      <c r="E43" s="45" t="s">
        <v>144</v>
      </c>
      <c r="F43" s="45">
        <v>2</v>
      </c>
      <c r="G43" s="39">
        <f t="shared" si="0"/>
        <v>3.5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84" x14ac:dyDescent="0.2">
      <c r="A44" s="45" t="s">
        <v>145</v>
      </c>
      <c r="B44" s="46"/>
      <c r="C44" s="45">
        <v>6000000141</v>
      </c>
      <c r="D44" s="45">
        <v>10</v>
      </c>
      <c r="E44" s="45" t="s">
        <v>103</v>
      </c>
      <c r="F44" s="45">
        <v>8</v>
      </c>
      <c r="G44" s="39">
        <f t="shared" ref="G44:G54" si="1">(D44+F44)/2</f>
        <v>9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84" x14ac:dyDescent="0.2">
      <c r="A45" s="45" t="s">
        <v>146</v>
      </c>
      <c r="B45" s="46"/>
      <c r="C45" s="45">
        <v>6000000000</v>
      </c>
      <c r="D45" s="45">
        <v>5</v>
      </c>
      <c r="E45" s="45" t="s">
        <v>147</v>
      </c>
      <c r="F45" s="45">
        <v>5</v>
      </c>
      <c r="G45" s="39">
        <f t="shared" si="1"/>
        <v>5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84" s="6" customFormat="1" x14ac:dyDescent="0.2">
      <c r="A46" s="45" t="s">
        <v>148</v>
      </c>
      <c r="B46" s="46"/>
      <c r="C46" s="45">
        <v>6000000007</v>
      </c>
      <c r="D46" s="45">
        <v>10</v>
      </c>
      <c r="E46" s="45" t="s">
        <v>149</v>
      </c>
      <c r="F46" s="45">
        <v>10</v>
      </c>
      <c r="G46" s="39">
        <f t="shared" si="1"/>
        <v>10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</row>
    <row r="47" spans="1:84" x14ac:dyDescent="0.2">
      <c r="A47" s="45" t="s">
        <v>150</v>
      </c>
      <c r="B47" s="46"/>
      <c r="C47" s="45">
        <v>6000000224</v>
      </c>
      <c r="D47" s="45">
        <v>5</v>
      </c>
      <c r="E47" s="45" t="s">
        <v>103</v>
      </c>
      <c r="F47" s="45">
        <v>5</v>
      </c>
      <c r="G47" s="39">
        <f t="shared" si="1"/>
        <v>5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84" s="6" customFormat="1" x14ac:dyDescent="0.2">
      <c r="A48" s="45" t="s">
        <v>151</v>
      </c>
      <c r="B48" s="46"/>
      <c r="C48" s="45">
        <v>6000000198</v>
      </c>
      <c r="D48" s="45">
        <v>7</v>
      </c>
      <c r="E48" s="45" t="s">
        <v>103</v>
      </c>
      <c r="F48" s="45">
        <v>8</v>
      </c>
      <c r="G48" s="39">
        <f t="shared" si="1"/>
        <v>7.5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</row>
    <row r="49" spans="1:32" x14ac:dyDescent="0.2">
      <c r="A49" s="45" t="s">
        <v>104</v>
      </c>
      <c r="B49" s="46"/>
      <c r="C49" s="45">
        <v>6000000091</v>
      </c>
      <c r="D49" s="45">
        <v>10</v>
      </c>
      <c r="E49" s="45" t="s">
        <v>101</v>
      </c>
      <c r="F49" s="45">
        <v>10</v>
      </c>
      <c r="G49" s="39">
        <f t="shared" si="1"/>
        <v>10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 s="45" t="s">
        <v>152</v>
      </c>
      <c r="B50" s="46" t="s">
        <v>134</v>
      </c>
      <c r="C50" s="45">
        <v>6000000007</v>
      </c>
      <c r="D50" s="45">
        <v>8</v>
      </c>
      <c r="E50" s="45" t="s">
        <v>86</v>
      </c>
      <c r="F50" s="45">
        <v>8</v>
      </c>
      <c r="G50" s="39">
        <f t="shared" si="1"/>
        <v>8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x14ac:dyDescent="0.2">
      <c r="A51" s="45" t="s">
        <v>139</v>
      </c>
      <c r="B51" s="46" t="s">
        <v>134</v>
      </c>
      <c r="C51" s="45">
        <v>6000000007</v>
      </c>
      <c r="D51" s="45">
        <v>8</v>
      </c>
      <c r="E51" s="45" t="s">
        <v>86</v>
      </c>
      <c r="F51" s="45">
        <v>8</v>
      </c>
      <c r="G51" s="39">
        <f t="shared" si="1"/>
        <v>8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x14ac:dyDescent="0.2">
      <c r="A52" s="45" t="s">
        <v>153</v>
      </c>
      <c r="B52" s="46"/>
      <c r="C52" s="45">
        <v>6000000141</v>
      </c>
      <c r="D52" s="45"/>
      <c r="E52" s="45" t="s">
        <v>149</v>
      </c>
      <c r="F52" s="45">
        <v>8</v>
      </c>
      <c r="G52" s="39">
        <f t="shared" si="1"/>
        <v>4</v>
      </c>
      <c r="H52" s="29"/>
      <c r="I52" s="29"/>
      <c r="J52" s="29"/>
      <c r="K52" s="29"/>
      <c r="L52" s="29"/>
      <c r="M52" s="29"/>
      <c r="N52" s="30"/>
      <c r="O52" s="30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x14ac:dyDescent="0.2">
      <c r="A53" s="45" t="s">
        <v>154</v>
      </c>
      <c r="B53" s="46"/>
      <c r="C53" s="123">
        <v>6000000081</v>
      </c>
      <c r="D53" s="45">
        <v>5</v>
      </c>
      <c r="E53" s="45" t="s">
        <v>144</v>
      </c>
      <c r="F53" s="45">
        <v>2</v>
      </c>
      <c r="G53" s="39">
        <f t="shared" si="1"/>
        <v>3.5</v>
      </c>
      <c r="H53" s="29"/>
      <c r="I53" s="29"/>
      <c r="J53" s="29"/>
      <c r="K53" s="29"/>
      <c r="L53" s="29"/>
      <c r="M53" s="29"/>
      <c r="N53" s="30"/>
      <c r="O53" s="30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x14ac:dyDescent="0.2">
      <c r="A54" s="45" t="s">
        <v>155</v>
      </c>
      <c r="B54" s="127"/>
      <c r="C54" s="45">
        <v>6000000224</v>
      </c>
      <c r="D54" s="133">
        <v>4</v>
      </c>
      <c r="E54" s="123" t="s">
        <v>103</v>
      </c>
      <c r="F54" s="45">
        <v>5</v>
      </c>
      <c r="G54" s="39">
        <f t="shared" si="1"/>
        <v>4.5</v>
      </c>
      <c r="H54" s="29"/>
      <c r="I54" s="29"/>
      <c r="J54" s="29"/>
      <c r="K54" s="29"/>
      <c r="L54" s="29"/>
      <c r="M54" s="29"/>
      <c r="N54" s="30"/>
      <c r="O54" s="30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x14ac:dyDescent="0.2">
      <c r="A55" s="96" t="s">
        <v>156</v>
      </c>
      <c r="B55" s="128"/>
      <c r="C55" s="131">
        <v>6000000222</v>
      </c>
      <c r="D55" s="129">
        <v>5</v>
      </c>
      <c r="E55" s="45" t="s">
        <v>106</v>
      </c>
      <c r="F55" s="44">
        <v>5</v>
      </c>
      <c r="G55" s="97">
        <f t="shared" ref="G55:G60" si="2">(D55+F55)/2</f>
        <v>5</v>
      </c>
      <c r="H55" s="29"/>
      <c r="I55" s="29"/>
      <c r="J55" s="29"/>
      <c r="K55" s="29"/>
      <c r="L55" s="29"/>
      <c r="M55" s="29"/>
      <c r="N55" s="30"/>
      <c r="O55" s="30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x14ac:dyDescent="0.2">
      <c r="A56" s="96" t="s">
        <v>157</v>
      </c>
      <c r="B56" s="128"/>
      <c r="C56" s="132">
        <v>6000000084</v>
      </c>
      <c r="D56" s="129">
        <v>4</v>
      </c>
      <c r="E56" s="41" t="s">
        <v>158</v>
      </c>
      <c r="F56" s="44">
        <v>9</v>
      </c>
      <c r="G56" s="117">
        <f t="shared" si="2"/>
        <v>6.5</v>
      </c>
      <c r="H56" s="29"/>
      <c r="I56" s="29"/>
      <c r="J56" s="29"/>
      <c r="K56" s="29"/>
      <c r="L56" s="29"/>
      <c r="M56" s="29"/>
      <c r="N56" s="30"/>
      <c r="O56" s="30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x14ac:dyDescent="0.2">
      <c r="A57" s="137" t="s">
        <v>159</v>
      </c>
      <c r="B57" s="130"/>
      <c r="C57" s="131">
        <v>6000000210</v>
      </c>
      <c r="D57" s="136">
        <v>8</v>
      </c>
      <c r="E57" s="96" t="s">
        <v>103</v>
      </c>
      <c r="F57" s="44">
        <v>3</v>
      </c>
      <c r="G57" s="117">
        <f t="shared" si="2"/>
        <v>5.5</v>
      </c>
      <c r="H57" s="29"/>
      <c r="I57" s="29"/>
      <c r="J57" s="29"/>
      <c r="K57" s="29"/>
      <c r="L57" s="29"/>
      <c r="M57" s="29"/>
      <c r="N57" s="30"/>
      <c r="O57" s="30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x14ac:dyDescent="0.2">
      <c r="A58" s="137" t="s">
        <v>160</v>
      </c>
      <c r="B58" s="130"/>
      <c r="C58" s="132">
        <v>6000000084</v>
      </c>
      <c r="D58" s="134">
        <v>2</v>
      </c>
      <c r="E58" s="139" t="s">
        <v>161</v>
      </c>
      <c r="F58" s="129">
        <v>6</v>
      </c>
      <c r="G58" s="117">
        <f t="shared" si="2"/>
        <v>4</v>
      </c>
      <c r="H58" s="29"/>
      <c r="I58" s="29"/>
      <c r="J58" s="29"/>
      <c r="K58" s="29"/>
      <c r="L58" s="29"/>
      <c r="M58" s="29"/>
      <c r="N58" s="30"/>
      <c r="O58" s="30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x14ac:dyDescent="0.2">
      <c r="A59" s="138" t="s">
        <v>162</v>
      </c>
      <c r="B59" s="130"/>
      <c r="C59" s="131">
        <v>6000000023</v>
      </c>
      <c r="D59" s="135">
        <v>10</v>
      </c>
      <c r="E59" s="140" t="s">
        <v>163</v>
      </c>
      <c r="F59" s="96">
        <v>10</v>
      </c>
      <c r="G59" s="117">
        <f t="shared" si="2"/>
        <v>10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x14ac:dyDescent="0.2">
      <c r="A60" s="137" t="s">
        <v>164</v>
      </c>
      <c r="B60" s="130"/>
      <c r="C60" s="131">
        <v>6000000174</v>
      </c>
      <c r="D60" s="135">
        <v>5</v>
      </c>
      <c r="E60" s="139" t="s">
        <v>165</v>
      </c>
      <c r="F60" s="96">
        <v>10</v>
      </c>
      <c r="G60" s="117">
        <f t="shared" si="2"/>
        <v>7.5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x14ac:dyDescent="0.2">
      <c r="A61" s="31"/>
      <c r="B61" s="31"/>
      <c r="C61" s="31"/>
      <c r="D61" s="31"/>
      <c r="E61" s="31"/>
      <c r="F61" s="31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x14ac:dyDescent="0.2">
      <c r="A62" s="31"/>
      <c r="B62" s="31"/>
      <c r="C62" s="31"/>
      <c r="D62" s="31"/>
      <c r="E62" s="31"/>
      <c r="F62" s="31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x14ac:dyDescent="0.2">
      <c r="A63" s="31"/>
      <c r="B63" s="31"/>
      <c r="C63" s="31"/>
      <c r="D63" s="31"/>
      <c r="E63" s="31"/>
      <c r="F63" s="31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x14ac:dyDescent="0.2">
      <c r="A64" s="32"/>
      <c r="B64" s="32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x14ac:dyDescent="0.2">
      <c r="A65" s="28"/>
      <c r="B65" s="28"/>
      <c r="C65" s="31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</sheetData>
  <conditionalFormatting sqref="D3:D54 F3:F54">
    <cfRule type="cellIs" dxfId="14" priority="5" operator="lessThan">
      <formula>5</formula>
    </cfRule>
    <cfRule type="cellIs" dxfId="13" priority="6" operator="between">
      <formula>5</formula>
      <formula>7</formula>
    </cfRule>
    <cfRule type="cellIs" dxfId="12" priority="7" stopIfTrue="1" operator="greaterThan">
      <formula>7</formula>
    </cfRule>
  </conditionalFormatting>
  <conditionalFormatting sqref="G3:G54">
    <cfRule type="cellIs" dxfId="11" priority="8" stopIfTrue="1" operator="greaterThan">
      <formula>7</formula>
    </cfRule>
    <cfRule type="cellIs" dxfId="10" priority="9" operator="between">
      <formula>5</formula>
      <formula>7</formula>
    </cfRule>
    <cfRule type="cellIs" dxfId="9" priority="10" stopIfTrue="1" operator="lessThan">
      <formula>5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DA2B-77C5-B949-959C-D0A6E5DBDA44}">
  <dimension ref="A1:F15"/>
  <sheetViews>
    <sheetView zoomScale="135" workbookViewId="0">
      <selection activeCell="E54" sqref="E54"/>
    </sheetView>
  </sheetViews>
  <sheetFormatPr baseColWidth="10" defaultColWidth="10.83203125" defaultRowHeight="15" x14ac:dyDescent="0.2"/>
  <cols>
    <col min="1" max="1" width="26" style="4" customWidth="1"/>
    <col min="2" max="2" width="21.33203125" style="4" bestFit="1" customWidth="1"/>
    <col min="3" max="3" width="28" style="4" bestFit="1" customWidth="1"/>
    <col min="4" max="4" width="21.33203125" style="4" bestFit="1" customWidth="1"/>
    <col min="5" max="5" width="25.1640625" style="4" bestFit="1" customWidth="1"/>
    <col min="6" max="6" width="25.6640625" style="4" bestFit="1" customWidth="1"/>
    <col min="7" max="16384" width="10.83203125" style="4"/>
  </cols>
  <sheetData>
    <row r="1" spans="1:6" x14ac:dyDescent="0.2">
      <c r="A1" s="9" t="s">
        <v>71</v>
      </c>
      <c r="B1" s="9" t="s">
        <v>73</v>
      </c>
      <c r="C1" s="9" t="s">
        <v>74</v>
      </c>
      <c r="D1" s="9" t="s">
        <v>166</v>
      </c>
      <c r="E1" s="9" t="s">
        <v>76</v>
      </c>
      <c r="F1" s="9" t="s">
        <v>77</v>
      </c>
    </row>
    <row r="2" spans="1:6" ht="88" customHeight="1" x14ac:dyDescent="0.2">
      <c r="A2" s="10" t="s">
        <v>78</v>
      </c>
      <c r="B2" s="10" t="s">
        <v>80</v>
      </c>
      <c r="C2" s="10" t="s">
        <v>81</v>
      </c>
      <c r="D2" s="10" t="s">
        <v>82</v>
      </c>
      <c r="E2" s="10" t="s">
        <v>83</v>
      </c>
      <c r="F2" s="10" t="s">
        <v>84</v>
      </c>
    </row>
    <row r="3" spans="1:6" x14ac:dyDescent="0.2">
      <c r="A3" s="7" t="s">
        <v>167</v>
      </c>
      <c r="B3" s="3">
        <v>6000000007</v>
      </c>
      <c r="C3" s="4">
        <v>8</v>
      </c>
      <c r="D3" s="3" t="s">
        <v>86</v>
      </c>
      <c r="E3" s="4">
        <v>8</v>
      </c>
    </row>
    <row r="4" spans="1:6" x14ac:dyDescent="0.2">
      <c r="A4" s="8" t="s">
        <v>168</v>
      </c>
      <c r="B4" s="11">
        <v>6000000122</v>
      </c>
      <c r="C4" s="4">
        <v>9</v>
      </c>
      <c r="D4" s="12" t="s">
        <v>169</v>
      </c>
      <c r="E4" s="4">
        <v>9</v>
      </c>
    </row>
    <row r="5" spans="1:6" x14ac:dyDescent="0.2">
      <c r="A5" s="8" t="s">
        <v>170</v>
      </c>
      <c r="B5" s="3">
        <v>6000000007</v>
      </c>
      <c r="C5" s="4">
        <v>8</v>
      </c>
      <c r="D5" s="3" t="s">
        <v>86</v>
      </c>
      <c r="E5" s="4">
        <v>8</v>
      </c>
    </row>
    <row r="6" spans="1:6" x14ac:dyDescent="0.2">
      <c r="A6" s="8" t="s">
        <v>171</v>
      </c>
      <c r="B6" s="11">
        <v>6000000122</v>
      </c>
      <c r="C6" s="4">
        <v>9</v>
      </c>
      <c r="D6" s="12" t="s">
        <v>169</v>
      </c>
      <c r="E6" s="4">
        <v>9</v>
      </c>
    </row>
    <row r="7" spans="1:6" x14ac:dyDescent="0.2">
      <c r="A7" s="8" t="s">
        <v>172</v>
      </c>
      <c r="B7" s="11">
        <v>6000000122</v>
      </c>
      <c r="C7" s="4">
        <v>9</v>
      </c>
      <c r="D7" s="12" t="s">
        <v>169</v>
      </c>
      <c r="E7" s="4">
        <v>9</v>
      </c>
    </row>
    <row r="8" spans="1:6" x14ac:dyDescent="0.2">
      <c r="A8" s="8" t="s">
        <v>167</v>
      </c>
      <c r="B8" s="3">
        <v>6000000007</v>
      </c>
      <c r="C8" s="4">
        <v>8</v>
      </c>
      <c r="D8" s="3" t="s">
        <v>86</v>
      </c>
      <c r="E8" s="4">
        <v>8</v>
      </c>
    </row>
    <row r="12" spans="1:6" ht="34" customHeight="1" x14ac:dyDescent="0.2">
      <c r="A12" s="142" t="s">
        <v>173</v>
      </c>
      <c r="B12" s="141">
        <v>6000000109</v>
      </c>
      <c r="D12" s="3" t="s">
        <v>86</v>
      </c>
    </row>
    <row r="13" spans="1:6" x14ac:dyDescent="0.2">
      <c r="A13" s="142"/>
      <c r="B13" s="141"/>
      <c r="D13" s="12" t="s">
        <v>169</v>
      </c>
    </row>
    <row r="14" spans="1:6" x14ac:dyDescent="0.2">
      <c r="B14" s="143"/>
      <c r="C14" s="144"/>
      <c r="D14" s="2"/>
    </row>
    <row r="15" spans="1:6" x14ac:dyDescent="0.2">
      <c r="B15" s="143"/>
      <c r="C15" s="144"/>
    </row>
  </sheetData>
  <mergeCells count="4">
    <mergeCell ref="B12:B13"/>
    <mergeCell ref="A12:A13"/>
    <mergeCell ref="B14:B15"/>
    <mergeCell ref="C14:C1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EE5-8F81-DA40-A27F-4A23EE76C267}">
  <dimension ref="A1:AI1368"/>
  <sheetViews>
    <sheetView tabSelected="1" zoomScale="82" zoomScaleNormal="115" workbookViewId="0">
      <pane ySplit="1" topLeftCell="A4" activePane="bottomLeft" state="frozen"/>
      <selection activeCell="E54" sqref="E54"/>
      <selection pane="bottomLeft" activeCell="G34" sqref="G34"/>
    </sheetView>
  </sheetViews>
  <sheetFormatPr baseColWidth="10" defaultColWidth="11" defaultRowHeight="16" x14ac:dyDescent="0.2"/>
  <cols>
    <col min="1" max="1" width="63" bestFit="1" customWidth="1"/>
    <col min="2" max="2" width="17.1640625" customWidth="1"/>
    <col min="3" max="3" width="19.33203125" customWidth="1"/>
    <col min="4" max="4" width="28.1640625" customWidth="1"/>
    <col min="5" max="5" width="23" customWidth="1"/>
    <col min="6" max="6" width="15.1640625" bestFit="1" customWidth="1"/>
    <col min="7" max="7" width="23" customWidth="1"/>
    <col min="8" max="8" width="15.1640625" bestFit="1" customWidth="1"/>
    <col min="9" max="9" width="23" customWidth="1"/>
    <col min="10" max="10" width="103.6640625" bestFit="1" customWidth="1"/>
    <col min="12" max="12" width="16.83203125" customWidth="1"/>
    <col min="13" max="13" width="21.5" customWidth="1"/>
  </cols>
  <sheetData>
    <row r="1" spans="1:35" x14ac:dyDescent="0.2">
      <c r="A1" s="49" t="s">
        <v>174</v>
      </c>
      <c r="B1" s="49" t="s">
        <v>175</v>
      </c>
      <c r="C1" s="49" t="s">
        <v>176</v>
      </c>
      <c r="D1" s="49" t="s">
        <v>177</v>
      </c>
      <c r="E1" s="49" t="s">
        <v>178</v>
      </c>
      <c r="F1" s="49" t="s">
        <v>179</v>
      </c>
      <c r="G1" s="49" t="s">
        <v>180</v>
      </c>
      <c r="H1" s="49" t="s">
        <v>181</v>
      </c>
      <c r="I1" s="49" t="s">
        <v>182</v>
      </c>
      <c r="J1" s="49" t="s">
        <v>183</v>
      </c>
      <c r="K1" s="93" t="s">
        <v>72</v>
      </c>
      <c r="L1" s="49" t="s">
        <v>184</v>
      </c>
      <c r="M1" s="49" t="s">
        <v>185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ht="89" customHeight="1" x14ac:dyDescent="0.2">
      <c r="A2" s="40" t="s">
        <v>186</v>
      </c>
      <c r="B2" s="40" t="s">
        <v>187</v>
      </c>
      <c r="C2" s="40" t="s">
        <v>188</v>
      </c>
      <c r="D2" s="40" t="s">
        <v>189</v>
      </c>
      <c r="E2" s="40" t="s">
        <v>190</v>
      </c>
      <c r="F2" s="40" t="s">
        <v>191</v>
      </c>
      <c r="G2" s="40" t="s">
        <v>192</v>
      </c>
      <c r="H2" s="40" t="s">
        <v>193</v>
      </c>
      <c r="I2" s="40" t="s">
        <v>194</v>
      </c>
      <c r="J2" s="40" t="s">
        <v>195</v>
      </c>
      <c r="K2" s="52" t="s">
        <v>196</v>
      </c>
      <c r="L2" s="52" t="s">
        <v>197</v>
      </c>
      <c r="M2" s="84" t="s">
        <v>198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</row>
    <row r="3" spans="1:35" x14ac:dyDescent="0.2">
      <c r="A3" s="64" t="str">
        <f>UPPER(D3)
&amp;IF(F3&lt;&gt;"","_"&amp;UPPER(F3),"")
&amp;IF(H3&lt;&gt;"","_"&amp;UPPER(H3),"")
&amp;"_"&amp;TRIM(_xlfn.TEXTAFTER(B3,","))
&amp;"_"&amp;C3</f>
        <v>WOODEN_BEAM_1524_S</v>
      </c>
      <c r="B3" s="41">
        <v>0.15240000000000001</v>
      </c>
      <c r="C3" s="65" t="s">
        <v>199</v>
      </c>
      <c r="D3" s="66" t="s">
        <v>87</v>
      </c>
      <c r="E3" s="70"/>
      <c r="F3" s="70"/>
      <c r="G3" s="70"/>
      <c r="H3" s="70"/>
      <c r="I3" s="70"/>
      <c r="J3" s="13" t="s">
        <v>200</v>
      </c>
      <c r="K3" s="87"/>
      <c r="L3" s="33">
        <f>COUNTIF(Components!$B$3:$B$302,A3)</f>
        <v>1</v>
      </c>
      <c r="M3" s="33">
        <f t="shared" ref="M3:M34" si="0">COUNTIF($A$3:$A$308,A3)</f>
        <v>1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</row>
    <row r="4" spans="1:35" x14ac:dyDescent="0.2">
      <c r="A4" s="64" t="str">
        <f t="shared" ref="A4:A64" si="1">UPPER(D4)
&amp;IF(F4&lt;&gt;"","_"&amp;UPPER(F4),"")
&amp;IF(H4&lt;&gt;"","_"&amp;UPPER(H4),"")
&amp;"_"&amp;TRIM(_xlfn.TEXTAFTER(B4,","))
&amp;"_"&amp;C4</f>
        <v>WOODEN_RAFTER_1016_S</v>
      </c>
      <c r="B4" s="41">
        <v>0.1016</v>
      </c>
      <c r="C4" s="65" t="s">
        <v>199</v>
      </c>
      <c r="D4" s="66" t="s">
        <v>88</v>
      </c>
      <c r="E4" s="70"/>
      <c r="F4" s="70"/>
      <c r="G4" s="70"/>
      <c r="H4" s="70"/>
      <c r="I4" s="70"/>
      <c r="J4" s="13" t="s">
        <v>201</v>
      </c>
      <c r="K4" s="87"/>
      <c r="L4" s="33">
        <f>COUNTIF(Components!$B$3:$B$302,A4)</f>
        <v>1</v>
      </c>
      <c r="M4" s="33">
        <f t="shared" si="0"/>
        <v>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x14ac:dyDescent="0.2">
      <c r="A5" s="64" t="str">
        <f t="shared" si="1"/>
        <v>WOODEN_PANEL_038_S</v>
      </c>
      <c r="B5" s="13">
        <v>3.7999999999999999E-2</v>
      </c>
      <c r="C5" s="65" t="s">
        <v>199</v>
      </c>
      <c r="D5" s="66" t="s">
        <v>89</v>
      </c>
      <c r="E5" s="70"/>
      <c r="F5" s="70"/>
      <c r="G5" s="70"/>
      <c r="H5" s="70"/>
      <c r="I5" s="70"/>
      <c r="J5" s="13" t="s">
        <v>202</v>
      </c>
      <c r="K5" s="87"/>
      <c r="L5" s="33">
        <f>COUNTIF(Components!$B$3:$B$302,A5)</f>
        <v>1</v>
      </c>
      <c r="M5" s="33">
        <f t="shared" si="0"/>
        <v>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x14ac:dyDescent="0.2">
      <c r="A6" s="64" t="str">
        <f t="shared" si="1"/>
        <v>GALVANIZED_SHEET_METAL_003_S</v>
      </c>
      <c r="B6" s="13">
        <v>3.0000000000000001E-3</v>
      </c>
      <c r="C6" s="65" t="s">
        <v>199</v>
      </c>
      <c r="D6" s="66" t="s">
        <v>90</v>
      </c>
      <c r="E6" s="70"/>
      <c r="F6" s="70"/>
      <c r="G6" s="70"/>
      <c r="H6" s="70"/>
      <c r="I6" s="70"/>
      <c r="J6" s="13" t="s">
        <v>203</v>
      </c>
      <c r="K6" s="87"/>
      <c r="L6" s="33">
        <f>COUNTIF(Components!$B$3:$B$302,A6)</f>
        <v>3</v>
      </c>
      <c r="M6" s="33">
        <f t="shared" si="0"/>
        <v>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x14ac:dyDescent="0.2">
      <c r="A7" s="64" t="str">
        <f t="shared" si="1"/>
        <v>GRANULATED_BLAST_FURNACE_SLAG_15_S</v>
      </c>
      <c r="B7" s="13">
        <v>0.15</v>
      </c>
      <c r="C7" s="65" t="s">
        <v>199</v>
      </c>
      <c r="D7" s="66" t="s">
        <v>92</v>
      </c>
      <c r="E7" s="70"/>
      <c r="F7" s="70"/>
      <c r="G7" s="70"/>
      <c r="H7" s="70"/>
      <c r="I7" s="70"/>
      <c r="J7" s="13" t="s">
        <v>204</v>
      </c>
      <c r="K7" s="87"/>
      <c r="L7" s="33">
        <f>COUNTIF(Components!$B$3:$B$302,A7)</f>
        <v>1</v>
      </c>
      <c r="M7" s="33">
        <f t="shared" si="0"/>
        <v>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x14ac:dyDescent="0.2">
      <c r="A8" s="64" t="str">
        <f t="shared" si="1"/>
        <v>CONCRETE_14_S</v>
      </c>
      <c r="B8" s="13">
        <v>0.14000000000000001</v>
      </c>
      <c r="C8" s="65" t="s">
        <v>199</v>
      </c>
      <c r="D8" s="66" t="s">
        <v>94</v>
      </c>
      <c r="E8" s="70"/>
      <c r="F8" s="70"/>
      <c r="G8" s="70"/>
      <c r="H8" s="70"/>
      <c r="I8" s="70"/>
      <c r="J8" s="13" t="s">
        <v>203</v>
      </c>
      <c r="K8" s="87"/>
      <c r="L8" s="33">
        <f>COUNTIF(Components!$B$3:$B$302,A8)</f>
        <v>3</v>
      </c>
      <c r="M8" s="33">
        <f t="shared" si="0"/>
        <v>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x14ac:dyDescent="0.2">
      <c r="A9" s="64" t="str">
        <f t="shared" si="1"/>
        <v>CONCRETE_15_S</v>
      </c>
      <c r="B9" s="13">
        <v>0.15</v>
      </c>
      <c r="C9" s="65" t="s">
        <v>199</v>
      </c>
      <c r="D9" s="66" t="s">
        <v>94</v>
      </c>
      <c r="E9" s="70"/>
      <c r="F9" s="70"/>
      <c r="G9" s="70"/>
      <c r="H9" s="70"/>
      <c r="I9" s="70"/>
      <c r="J9" s="13" t="s">
        <v>203</v>
      </c>
      <c r="K9" s="87"/>
      <c r="L9" s="33">
        <f>COUNTIF(Components!$B$3:$B$302,A9)</f>
        <v>6</v>
      </c>
      <c r="M9" s="33">
        <f t="shared" si="0"/>
        <v>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x14ac:dyDescent="0.2">
      <c r="A10" s="64" t="str">
        <f t="shared" si="1"/>
        <v>LIGHTWEIGHT_CONCRETE_MORTAR_125_C</v>
      </c>
      <c r="B10" s="13">
        <v>0.125</v>
      </c>
      <c r="C10" s="65" t="s">
        <v>205</v>
      </c>
      <c r="D10" s="66" t="s">
        <v>98</v>
      </c>
      <c r="E10" s="70">
        <v>0.95</v>
      </c>
      <c r="F10" s="70" t="s">
        <v>100</v>
      </c>
      <c r="G10" s="70">
        <v>0.05</v>
      </c>
      <c r="H10" s="70"/>
      <c r="I10" s="70"/>
      <c r="J10" s="13" t="s">
        <v>206</v>
      </c>
      <c r="K10" s="87"/>
      <c r="L10" s="33">
        <f>COUNTIF(Components!$B$3:$B$302,A10)</f>
        <v>1</v>
      </c>
      <c r="M10" s="33">
        <f t="shared" si="0"/>
        <v>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2">
      <c r="A11" s="64" t="str">
        <f t="shared" si="1"/>
        <v>TERRASIT_PLASTER_005_S</v>
      </c>
      <c r="B11" s="13">
        <v>5.0000000000000001E-3</v>
      </c>
      <c r="C11" s="65" t="s">
        <v>199</v>
      </c>
      <c r="D11" s="66" t="s">
        <v>99</v>
      </c>
      <c r="E11" s="70"/>
      <c r="F11" s="70"/>
      <c r="G11" s="70"/>
      <c r="H11" s="70"/>
      <c r="I11" s="70"/>
      <c r="J11" s="13" t="s">
        <v>203</v>
      </c>
      <c r="K11" s="87"/>
      <c r="L11" s="33">
        <f>COUNTIF(Components!$B$3:$B$302,A11)</f>
        <v>3</v>
      </c>
      <c r="M11" s="33">
        <f t="shared" si="0"/>
        <v>1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x14ac:dyDescent="0.2">
      <c r="A12" s="64" t="str">
        <f t="shared" si="1"/>
        <v>MORTAR_005_S</v>
      </c>
      <c r="B12" s="13">
        <v>5.0000000000000001E-3</v>
      </c>
      <c r="C12" s="65" t="s">
        <v>199</v>
      </c>
      <c r="D12" s="66" t="s">
        <v>100</v>
      </c>
      <c r="E12" s="70"/>
      <c r="F12" s="70"/>
      <c r="G12" s="70"/>
      <c r="H12" s="70"/>
      <c r="I12" s="70"/>
      <c r="J12" s="13" t="s">
        <v>207</v>
      </c>
      <c r="K12" s="87"/>
      <c r="L12" s="33">
        <f>COUNTIF(Components!$B$3:$B$302,A12)</f>
        <v>1</v>
      </c>
      <c r="M12" s="33">
        <f t="shared" si="0"/>
        <v>1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x14ac:dyDescent="0.2">
      <c r="A13" s="64" t="str">
        <f t="shared" si="1"/>
        <v>LIME_PLASTER_005_S</v>
      </c>
      <c r="B13" s="13">
        <v>5.0000000000000001E-3</v>
      </c>
      <c r="C13" s="65" t="s">
        <v>199</v>
      </c>
      <c r="D13" s="66" t="s">
        <v>96</v>
      </c>
      <c r="E13" s="70"/>
      <c r="F13" s="70"/>
      <c r="G13" s="70"/>
      <c r="H13" s="70"/>
      <c r="I13" s="70"/>
      <c r="J13" s="13" t="s">
        <v>203</v>
      </c>
      <c r="K13" s="87"/>
      <c r="L13" s="33">
        <f>COUNTIF(Components!$B$3:$B$302,A13)</f>
        <v>2</v>
      </c>
      <c r="M13" s="33">
        <f t="shared" si="0"/>
        <v>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</row>
    <row r="14" spans="1:35" x14ac:dyDescent="0.2">
      <c r="A14" s="64" t="str">
        <f t="shared" si="1"/>
        <v>LIGHTWEIGHT_CONCRETE_MORTAR_2_C</v>
      </c>
      <c r="B14" s="13">
        <v>0.2</v>
      </c>
      <c r="C14" s="65" t="s">
        <v>205</v>
      </c>
      <c r="D14" s="66" t="s">
        <v>98</v>
      </c>
      <c r="E14" s="70">
        <v>0.95</v>
      </c>
      <c r="F14" s="70" t="s">
        <v>100</v>
      </c>
      <c r="G14" s="70">
        <v>0.05</v>
      </c>
      <c r="H14" s="70"/>
      <c r="I14" s="70"/>
      <c r="J14" s="13" t="s">
        <v>208</v>
      </c>
      <c r="K14" s="87"/>
      <c r="L14" s="33">
        <f>COUNTIF(Components!$B$3:$B$302,A14)</f>
        <v>1</v>
      </c>
      <c r="M14" s="33">
        <f t="shared" si="0"/>
        <v>1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x14ac:dyDescent="0.2">
      <c r="A15" s="64" t="str">
        <f t="shared" si="1"/>
        <v>PLASTIC_MAT_01_S</v>
      </c>
      <c r="B15" s="13">
        <v>0.01</v>
      </c>
      <c r="C15" s="65" t="s">
        <v>199</v>
      </c>
      <c r="D15" s="66" t="s">
        <v>102</v>
      </c>
      <c r="E15" s="70"/>
      <c r="F15" s="70"/>
      <c r="G15" s="70"/>
      <c r="H15" s="70"/>
      <c r="I15" s="70"/>
      <c r="J15" s="13" t="s">
        <v>203</v>
      </c>
      <c r="K15" s="87"/>
      <c r="L15" s="33">
        <f>COUNTIF(Components!$B$3:$B$302,A15)</f>
        <v>6</v>
      </c>
      <c r="M15" s="33">
        <f t="shared" si="0"/>
        <v>1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x14ac:dyDescent="0.2">
      <c r="A16" s="64" t="str">
        <f t="shared" si="1"/>
        <v>PLASTER_005_S</v>
      </c>
      <c r="B16" s="13">
        <v>5.0000000000000001E-3</v>
      </c>
      <c r="C16" s="65" t="s">
        <v>199</v>
      </c>
      <c r="D16" s="66" t="s">
        <v>104</v>
      </c>
      <c r="E16" s="70"/>
      <c r="F16" s="70"/>
      <c r="G16" s="70"/>
      <c r="H16" s="70"/>
      <c r="I16" s="70"/>
      <c r="J16" s="13" t="s">
        <v>203</v>
      </c>
      <c r="K16" s="87"/>
      <c r="L16" s="33">
        <f>COUNTIF(Components!$B$3:$B$302,A16)</f>
        <v>8</v>
      </c>
      <c r="M16" s="33">
        <f t="shared" si="0"/>
        <v>1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spans="1:35" x14ac:dyDescent="0.2">
      <c r="A17" s="64" t="str">
        <f t="shared" si="1"/>
        <v>CONCRETE_16_S</v>
      </c>
      <c r="B17" s="13">
        <v>0.16</v>
      </c>
      <c r="C17" s="65" t="s">
        <v>199</v>
      </c>
      <c r="D17" s="66" t="s">
        <v>94</v>
      </c>
      <c r="E17" s="70"/>
      <c r="F17" s="70"/>
      <c r="G17" s="70"/>
      <c r="H17" s="70"/>
      <c r="I17" s="70"/>
      <c r="J17" s="13" t="s">
        <v>203</v>
      </c>
      <c r="K17" s="87"/>
      <c r="L17" s="33">
        <f>COUNTIF(Components!$B$3:$B$302,A17)</f>
        <v>9</v>
      </c>
      <c r="M17" s="33">
        <f t="shared" si="0"/>
        <v>1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spans="1:35" x14ac:dyDescent="0.2">
      <c r="A18" s="64" t="str">
        <f t="shared" si="1"/>
        <v>METAL_SHEET_003_S</v>
      </c>
      <c r="B18" s="13">
        <v>3.0000000000000001E-3</v>
      </c>
      <c r="C18" s="65" t="s">
        <v>199</v>
      </c>
      <c r="D18" s="66" t="s">
        <v>109</v>
      </c>
      <c r="E18" s="70"/>
      <c r="F18" s="70"/>
      <c r="G18" s="70"/>
      <c r="H18" s="70"/>
      <c r="I18" s="70"/>
      <c r="J18" s="13" t="s">
        <v>203</v>
      </c>
      <c r="K18" s="87"/>
      <c r="L18" s="33">
        <f>COUNTIF(Components!$B$3:$B$302,A18)</f>
        <v>2</v>
      </c>
      <c r="M18" s="33">
        <f t="shared" si="0"/>
        <v>1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x14ac:dyDescent="0.2">
      <c r="A19" s="64" t="str">
        <f t="shared" si="1"/>
        <v>BATTENS_1_023_S</v>
      </c>
      <c r="B19" s="13">
        <v>2.3E-2</v>
      </c>
      <c r="C19" s="65" t="s">
        <v>199</v>
      </c>
      <c r="D19" s="66" t="s">
        <v>111</v>
      </c>
      <c r="E19" s="70"/>
      <c r="F19" s="70"/>
      <c r="G19" s="70"/>
      <c r="H19" s="70"/>
      <c r="I19" s="70"/>
      <c r="J19" s="13" t="s">
        <v>203</v>
      </c>
      <c r="K19" s="87"/>
      <c r="L19" s="33">
        <f>COUNTIF(Components!$B$3:$B$302,A19)</f>
        <v>1</v>
      </c>
      <c r="M19" s="33">
        <f t="shared" si="0"/>
        <v>1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x14ac:dyDescent="0.2">
      <c r="A20" s="64" t="str">
        <f t="shared" si="1"/>
        <v>BATTENS_2_023_S</v>
      </c>
      <c r="B20" s="13">
        <v>2.3E-2</v>
      </c>
      <c r="C20" s="65" t="s">
        <v>199</v>
      </c>
      <c r="D20" s="66" t="s">
        <v>112</v>
      </c>
      <c r="E20" s="70"/>
      <c r="F20" s="70"/>
      <c r="G20" s="70"/>
      <c r="H20" s="70"/>
      <c r="I20" s="70"/>
      <c r="J20" s="13" t="s">
        <v>203</v>
      </c>
      <c r="K20" s="87"/>
      <c r="L20" s="33">
        <f>COUNTIF(Components!$B$3:$B$302,A20)</f>
        <v>1</v>
      </c>
      <c r="M20" s="33">
        <f t="shared" si="0"/>
        <v>1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spans="1:35" x14ac:dyDescent="0.2">
      <c r="A21" s="64" t="str">
        <f t="shared" si="1"/>
        <v>ROOFING_FELT_005_S</v>
      </c>
      <c r="B21" s="13">
        <v>5.0000000000000001E-3</v>
      </c>
      <c r="C21" s="65" t="s">
        <v>199</v>
      </c>
      <c r="D21" s="66" t="s">
        <v>113</v>
      </c>
      <c r="E21" s="70"/>
      <c r="F21" s="70"/>
      <c r="G21" s="70"/>
      <c r="H21" s="70"/>
      <c r="I21" s="70"/>
      <c r="J21" s="13" t="s">
        <v>203</v>
      </c>
      <c r="K21" s="87"/>
      <c r="L21" s="33">
        <f>COUNTIF(Components!$B$3:$B$302,A21)</f>
        <v>1</v>
      </c>
      <c r="M21" s="33">
        <f t="shared" si="0"/>
        <v>1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spans="1:35" x14ac:dyDescent="0.2">
      <c r="A22" s="64" t="str">
        <f t="shared" si="1"/>
        <v>WOODEN_PANEL_0254_S</v>
      </c>
      <c r="B22" s="13">
        <v>2.5399999999999999E-2</v>
      </c>
      <c r="C22" s="65" t="s">
        <v>199</v>
      </c>
      <c r="D22" s="66" t="s">
        <v>89</v>
      </c>
      <c r="E22" s="70"/>
      <c r="F22" s="70"/>
      <c r="G22" s="70"/>
      <c r="H22" s="70"/>
      <c r="I22" s="70"/>
      <c r="J22" s="13" t="s">
        <v>203</v>
      </c>
      <c r="K22" s="87"/>
      <c r="L22" s="33">
        <f>COUNTIF(Components!$B$3:$B$302,A22)</f>
        <v>0</v>
      </c>
      <c r="M22" s="33">
        <f t="shared" si="0"/>
        <v>1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spans="1:35" x14ac:dyDescent="0.2">
      <c r="A23" s="64" t="str">
        <f t="shared" si="1"/>
        <v>BRICK_MORTAR_125_C</v>
      </c>
      <c r="B23" s="13">
        <v>0.125</v>
      </c>
      <c r="C23" s="65" t="s">
        <v>205</v>
      </c>
      <c r="D23" s="66" t="s">
        <v>114</v>
      </c>
      <c r="E23" s="70">
        <v>0.85</v>
      </c>
      <c r="F23" s="70" t="s">
        <v>100</v>
      </c>
      <c r="G23" s="70">
        <v>0.15</v>
      </c>
      <c r="H23" s="70"/>
      <c r="I23" s="70"/>
      <c r="J23" s="13" t="s">
        <v>203</v>
      </c>
      <c r="K23" s="87"/>
      <c r="L23" s="33">
        <f>COUNTIF(Components!$B$3:$B$302,A23)</f>
        <v>1</v>
      </c>
      <c r="M23" s="33">
        <f t="shared" si="0"/>
        <v>1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spans="1:35" x14ac:dyDescent="0.2">
      <c r="A24" s="64" t="str">
        <f t="shared" si="1"/>
        <v>MINERAL_WOOL_WOODEN_STUD_095_C</v>
      </c>
      <c r="B24" s="13">
        <v>9.5000000000000001E-2</v>
      </c>
      <c r="C24" s="65" t="s">
        <v>205</v>
      </c>
      <c r="D24" s="66" t="s">
        <v>116</v>
      </c>
      <c r="E24" s="70">
        <v>0.9</v>
      </c>
      <c r="F24" s="70" t="s">
        <v>85</v>
      </c>
      <c r="G24" s="70">
        <v>0.1</v>
      </c>
      <c r="H24" s="70"/>
      <c r="I24" s="70"/>
      <c r="J24" s="13" t="s">
        <v>209</v>
      </c>
      <c r="K24" s="87"/>
      <c r="L24" s="33">
        <f>COUNTIF(Components!$B$3:$B$302,A24)</f>
        <v>1</v>
      </c>
      <c r="M24" s="33">
        <f t="shared" si="0"/>
        <v>1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spans="1:35" x14ac:dyDescent="0.2">
      <c r="A25" s="64" t="str">
        <f t="shared" si="1"/>
        <v>ETERNIT_BOARD_009_S</v>
      </c>
      <c r="B25" s="13">
        <v>8.9999999999999993E-3</v>
      </c>
      <c r="C25" s="65" t="s">
        <v>199</v>
      </c>
      <c r="D25" s="66" t="s">
        <v>120</v>
      </c>
      <c r="E25" s="70"/>
      <c r="F25" s="70"/>
      <c r="G25" s="70"/>
      <c r="H25" s="70"/>
      <c r="I25" s="70"/>
      <c r="J25" s="13" t="s">
        <v>203</v>
      </c>
      <c r="K25" s="87"/>
      <c r="L25" s="33">
        <f>COUNTIF(Components!$B$3:$B$302,A25)</f>
        <v>1</v>
      </c>
      <c r="M25" s="33">
        <f t="shared" si="0"/>
        <v>1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5" x14ac:dyDescent="0.2">
      <c r="A26" s="64" t="str">
        <f t="shared" si="1"/>
        <v>ASPHALT_BOARD_012_S</v>
      </c>
      <c r="B26" s="13">
        <v>1.2E-2</v>
      </c>
      <c r="C26" s="65" t="s">
        <v>199</v>
      </c>
      <c r="D26" s="66" t="s">
        <v>122</v>
      </c>
      <c r="E26" s="70"/>
      <c r="F26" s="70"/>
      <c r="G26" s="70"/>
      <c r="H26" s="70"/>
      <c r="I26" s="70"/>
      <c r="J26" s="13" t="s">
        <v>203</v>
      </c>
      <c r="K26" s="87"/>
      <c r="L26" s="33">
        <f>COUNTIF(Components!$B$3:$B$302,A26)</f>
        <v>1</v>
      </c>
      <c r="M26" s="33">
        <f t="shared" si="0"/>
        <v>1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x14ac:dyDescent="0.2">
      <c r="A27" s="64" t="str">
        <f t="shared" si="1"/>
        <v>PLASTER_BOARD_013_S</v>
      </c>
      <c r="B27" s="13">
        <v>1.2999999999999999E-2</v>
      </c>
      <c r="C27" s="65" t="s">
        <v>199</v>
      </c>
      <c r="D27" s="66" t="s">
        <v>118</v>
      </c>
      <c r="E27" s="70"/>
      <c r="F27" s="70"/>
      <c r="G27" s="70"/>
      <c r="H27" s="70"/>
      <c r="I27" s="70"/>
      <c r="J27" s="13" t="s">
        <v>203</v>
      </c>
      <c r="K27" s="87"/>
      <c r="L27" s="33">
        <f>COUNTIF(Components!$B$3:$B$302,A27)</f>
        <v>2</v>
      </c>
      <c r="M27" s="33">
        <f t="shared" si="0"/>
        <v>1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spans="1:35" x14ac:dyDescent="0.2">
      <c r="A28" s="64" t="str">
        <f t="shared" si="1"/>
        <v>LINOLEUM_01_S</v>
      </c>
      <c r="B28" s="13">
        <v>0.01</v>
      </c>
      <c r="C28" s="65" t="s">
        <v>199</v>
      </c>
      <c r="D28" s="66" t="s">
        <v>124</v>
      </c>
      <c r="E28" s="70"/>
      <c r="F28" s="70"/>
      <c r="G28" s="70"/>
      <c r="H28" s="70"/>
      <c r="I28" s="70"/>
      <c r="J28" s="13" t="s">
        <v>203</v>
      </c>
      <c r="K28" s="87"/>
      <c r="L28" s="33">
        <f>COUNTIF(Components!$B$3:$B$302,A28)</f>
        <v>4</v>
      </c>
      <c r="M28" s="33">
        <f t="shared" si="0"/>
        <v>1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35" x14ac:dyDescent="0.2">
      <c r="A29" s="64" t="str">
        <f t="shared" si="1"/>
        <v>LECA_15_S</v>
      </c>
      <c r="B29" s="13">
        <v>0.15</v>
      </c>
      <c r="C29" s="65" t="s">
        <v>199</v>
      </c>
      <c r="D29" s="66" t="s">
        <v>127</v>
      </c>
      <c r="E29" s="70"/>
      <c r="F29" s="70"/>
      <c r="G29" s="70"/>
      <c r="H29" s="70"/>
      <c r="I29" s="70"/>
      <c r="J29" s="13" t="s">
        <v>203</v>
      </c>
      <c r="K29" s="87"/>
      <c r="L29" s="33">
        <f>COUNTIF(Components!$B$3:$B$302,A29)</f>
        <v>1</v>
      </c>
      <c r="M29" s="33">
        <f t="shared" si="0"/>
        <v>1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35" x14ac:dyDescent="0.2">
      <c r="A30" s="64" t="str">
        <f t="shared" si="1"/>
        <v>CARDBOARD_005_S</v>
      </c>
      <c r="B30" s="13">
        <v>5.0000000000000001E-3</v>
      </c>
      <c r="C30" s="65" t="s">
        <v>199</v>
      </c>
      <c r="D30" s="66" t="s">
        <v>153</v>
      </c>
      <c r="E30" s="70"/>
      <c r="F30" s="70"/>
      <c r="G30" s="70"/>
      <c r="H30" s="70"/>
      <c r="I30" s="70"/>
      <c r="J30" s="13" t="s">
        <v>203</v>
      </c>
      <c r="K30" s="87"/>
      <c r="L30" s="33">
        <f>COUNTIF(Components!$B$3:$B$302,A30)</f>
        <v>2</v>
      </c>
      <c r="M30" s="33">
        <f t="shared" si="0"/>
        <v>1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</row>
    <row r="31" spans="1:35" x14ac:dyDescent="0.2">
      <c r="A31" s="64" t="str">
        <f t="shared" si="1"/>
        <v>MINERAL_WOOL_BLANKET_03_S</v>
      </c>
      <c r="B31" s="13">
        <v>0.03</v>
      </c>
      <c r="C31" s="65" t="s">
        <v>199</v>
      </c>
      <c r="D31" s="66" t="s">
        <v>129</v>
      </c>
      <c r="E31" s="70"/>
      <c r="F31" s="70"/>
      <c r="G31" s="70"/>
      <c r="H31" s="70"/>
      <c r="I31" s="70"/>
      <c r="J31" s="13" t="s">
        <v>203</v>
      </c>
      <c r="K31" s="87"/>
      <c r="L31" s="33">
        <f>COUNTIF(Components!$B$3:$B$302,A31)</f>
        <v>2</v>
      </c>
      <c r="M31" s="33">
        <f t="shared" si="0"/>
        <v>1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</row>
    <row r="32" spans="1:35" x14ac:dyDescent="0.2">
      <c r="A32" s="64" t="str">
        <f t="shared" si="1"/>
        <v>MINERAL_WOOL_CARPET_2_S</v>
      </c>
      <c r="B32" s="13">
        <v>0.2</v>
      </c>
      <c r="C32" s="65" t="s">
        <v>199</v>
      </c>
      <c r="D32" s="66" t="s">
        <v>131</v>
      </c>
      <c r="E32" s="70"/>
      <c r="F32" s="70"/>
      <c r="G32" s="70"/>
      <c r="H32" s="70"/>
      <c r="I32" s="70"/>
      <c r="J32" s="13" t="s">
        <v>203</v>
      </c>
      <c r="K32" s="87"/>
      <c r="L32" s="33">
        <f>COUNTIF(Components!$B$3:$B$302,A32)</f>
        <v>1</v>
      </c>
      <c r="M32" s="33">
        <f t="shared" si="0"/>
        <v>1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 spans="1:35" x14ac:dyDescent="0.2">
      <c r="A33" s="64" t="str">
        <f t="shared" si="1"/>
        <v>ROOFING_FELT_01_S</v>
      </c>
      <c r="B33" s="13">
        <v>0.01</v>
      </c>
      <c r="C33" s="65" t="s">
        <v>199</v>
      </c>
      <c r="D33" s="66" t="s">
        <v>113</v>
      </c>
      <c r="E33" s="70"/>
      <c r="F33" s="70"/>
      <c r="G33" s="70"/>
      <c r="H33" s="70"/>
      <c r="I33" s="70"/>
      <c r="J33" s="13" t="s">
        <v>203</v>
      </c>
      <c r="K33" s="87"/>
      <c r="L33" s="33">
        <f>COUNTIF(Components!$B$3:$B$302,A33)</f>
        <v>1</v>
      </c>
      <c r="M33" s="33">
        <f t="shared" si="0"/>
        <v>1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 spans="1:35" x14ac:dyDescent="0.2">
      <c r="A34" s="64" t="str">
        <f t="shared" si="1"/>
        <v>WOODEN_TRUSS_05_S</v>
      </c>
      <c r="B34" s="41">
        <v>0.05</v>
      </c>
      <c r="C34" s="65" t="s">
        <v>199</v>
      </c>
      <c r="D34" s="66" t="s">
        <v>132</v>
      </c>
      <c r="E34" s="70"/>
      <c r="F34" s="70"/>
      <c r="G34" s="70"/>
      <c r="H34" s="70"/>
      <c r="I34" s="70"/>
      <c r="J34" s="13" t="s">
        <v>203</v>
      </c>
      <c r="K34" s="87" t="s">
        <v>134</v>
      </c>
      <c r="L34" s="33">
        <f>COUNTIF(Components!$B$3:$B$302,A34)</f>
        <v>1</v>
      </c>
      <c r="M34" s="33">
        <f t="shared" si="0"/>
        <v>1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35" spans="1:35" x14ac:dyDescent="0.2">
      <c r="A35" s="64" t="str">
        <f t="shared" si="1"/>
        <v>LIGHTWEIGHT_CONCRETE_MORTAR_15_C</v>
      </c>
      <c r="B35" s="13">
        <v>0.15</v>
      </c>
      <c r="C35" s="65" t="s">
        <v>205</v>
      </c>
      <c r="D35" s="66" t="s">
        <v>98</v>
      </c>
      <c r="E35" s="70">
        <v>0.95</v>
      </c>
      <c r="F35" s="70" t="s">
        <v>100</v>
      </c>
      <c r="G35" s="70">
        <v>0.05</v>
      </c>
      <c r="H35" s="70"/>
      <c r="I35" s="70"/>
      <c r="J35" s="13" t="s">
        <v>203</v>
      </c>
      <c r="K35" s="87"/>
      <c r="L35" s="33">
        <f>COUNTIF(Components!$B$3:$B$302,A35)</f>
        <v>1</v>
      </c>
      <c r="M35" s="33">
        <f t="shared" ref="M35:M69" si="2">COUNTIF($A$3:$A$308,A35)</f>
        <v>1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spans="1:35" x14ac:dyDescent="0.2">
      <c r="A36" s="64" t="str">
        <f t="shared" si="1"/>
        <v>ASBESTOS_CEMENT_BOARD_01_S</v>
      </c>
      <c r="B36" s="13">
        <v>0.01</v>
      </c>
      <c r="C36" s="65" t="s">
        <v>199</v>
      </c>
      <c r="D36" s="66" t="s">
        <v>135</v>
      </c>
      <c r="E36" s="70"/>
      <c r="F36" s="70"/>
      <c r="G36" s="70"/>
      <c r="H36" s="70"/>
      <c r="I36" s="70"/>
      <c r="J36" s="13" t="s">
        <v>203</v>
      </c>
      <c r="K36" s="87"/>
      <c r="L36" s="33">
        <f>COUNTIF(Components!$B$3:$B$302,A36)</f>
        <v>1</v>
      </c>
      <c r="M36" s="33">
        <f t="shared" si="2"/>
        <v>1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 spans="1:35" x14ac:dyDescent="0.2">
      <c r="A37" s="64" t="str">
        <f t="shared" si="1"/>
        <v>ASPHALT_BOARD_01_S</v>
      </c>
      <c r="B37" s="13">
        <v>0.01</v>
      </c>
      <c r="C37" s="65" t="s">
        <v>199</v>
      </c>
      <c r="D37" s="66" t="s">
        <v>122</v>
      </c>
      <c r="E37" s="70"/>
      <c r="F37" s="70"/>
      <c r="G37" s="70"/>
      <c r="H37" s="70"/>
      <c r="I37" s="70"/>
      <c r="J37" s="13" t="s">
        <v>203</v>
      </c>
      <c r="K37" s="87"/>
      <c r="L37" s="33">
        <f>COUNTIF(Components!$B$3:$B$302,A37)</f>
        <v>1</v>
      </c>
      <c r="M37" s="33">
        <f t="shared" si="2"/>
        <v>1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 spans="1:35" x14ac:dyDescent="0.2">
      <c r="A38" s="64" t="str">
        <f t="shared" si="1"/>
        <v>MINERAL_WOOL_WOODEN_STUD_05_C</v>
      </c>
      <c r="B38" s="13">
        <v>0.05</v>
      </c>
      <c r="C38" s="65" t="s">
        <v>205</v>
      </c>
      <c r="D38" s="66" t="s">
        <v>116</v>
      </c>
      <c r="E38" s="70">
        <v>0.9</v>
      </c>
      <c r="F38" s="70" t="s">
        <v>85</v>
      </c>
      <c r="G38" s="70">
        <v>0.1</v>
      </c>
      <c r="H38" s="70"/>
      <c r="I38" s="70"/>
      <c r="J38" s="13" t="s">
        <v>210</v>
      </c>
      <c r="K38" s="87"/>
      <c r="L38" s="33">
        <f>COUNTIF(Components!$B$3:$B$302,A38)</f>
        <v>1</v>
      </c>
      <c r="M38" s="33">
        <f t="shared" si="2"/>
        <v>1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 spans="1:35" x14ac:dyDescent="0.2">
      <c r="A39" s="64" t="str">
        <f t="shared" si="1"/>
        <v>FOIL_001_S</v>
      </c>
      <c r="B39" s="13">
        <v>1E-3</v>
      </c>
      <c r="C39" s="65" t="s">
        <v>199</v>
      </c>
      <c r="D39" s="66" t="s">
        <v>136</v>
      </c>
      <c r="E39" s="70"/>
      <c r="F39" s="70"/>
      <c r="G39" s="70"/>
      <c r="H39" s="70"/>
      <c r="I39" s="70"/>
      <c r="J39" s="13" t="s">
        <v>203</v>
      </c>
      <c r="K39" s="87"/>
      <c r="L39" s="33">
        <f>COUNTIF(Components!$B$3:$B$302,A39)</f>
        <v>2</v>
      </c>
      <c r="M39" s="33">
        <f t="shared" si="2"/>
        <v>1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</row>
    <row r="40" spans="1:35" x14ac:dyDescent="0.2">
      <c r="A40" s="64" t="str">
        <f t="shared" si="1"/>
        <v>BATTENS_1_04_S</v>
      </c>
      <c r="B40" s="13">
        <v>0.04</v>
      </c>
      <c r="C40" s="65" t="s">
        <v>199</v>
      </c>
      <c r="D40" s="66" t="s">
        <v>111</v>
      </c>
      <c r="E40" s="70"/>
      <c r="F40" s="70"/>
      <c r="G40" s="70"/>
      <c r="H40" s="70"/>
      <c r="I40" s="70"/>
      <c r="J40" s="13" t="s">
        <v>203</v>
      </c>
      <c r="K40" s="87"/>
      <c r="L40" s="33">
        <f>COUNTIF(Components!$B$3:$B$302,A40)</f>
        <v>1</v>
      </c>
      <c r="M40" s="33">
        <f t="shared" si="2"/>
        <v>1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</row>
    <row r="41" spans="1:35" x14ac:dyDescent="0.2">
      <c r="A41" s="64" t="str">
        <f t="shared" si="1"/>
        <v>BATTENS_2_04_S</v>
      </c>
      <c r="B41" s="13">
        <v>0.04</v>
      </c>
      <c r="C41" s="65" t="s">
        <v>199</v>
      </c>
      <c r="D41" s="66" t="s">
        <v>112</v>
      </c>
      <c r="E41" s="70"/>
      <c r="F41" s="70"/>
      <c r="G41" s="70"/>
      <c r="H41" s="70"/>
      <c r="I41" s="70"/>
      <c r="J41" s="13" t="s">
        <v>203</v>
      </c>
      <c r="K41" s="87"/>
      <c r="L41" s="33">
        <f>COUNTIF(Components!$B$3:$B$302,A41)</f>
        <v>1</v>
      </c>
      <c r="M41" s="33">
        <f t="shared" si="2"/>
        <v>1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spans="1:35" x14ac:dyDescent="0.2">
      <c r="A42" s="64" t="str">
        <f t="shared" si="1"/>
        <v>WOODEN_PANEL_03_S</v>
      </c>
      <c r="B42" s="13">
        <v>0.03</v>
      </c>
      <c r="C42" s="65" t="s">
        <v>199</v>
      </c>
      <c r="D42" s="66" t="s">
        <v>89</v>
      </c>
      <c r="E42" s="70"/>
      <c r="F42" s="70"/>
      <c r="G42" s="70"/>
      <c r="H42" s="70"/>
      <c r="I42" s="70"/>
      <c r="J42" s="13" t="s">
        <v>203</v>
      </c>
      <c r="K42" s="87"/>
      <c r="L42" s="33">
        <f>COUNTIF(Components!$B$3:$B$302,A42)</f>
        <v>3</v>
      </c>
      <c r="M42" s="33">
        <f t="shared" si="2"/>
        <v>1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spans="1:35" x14ac:dyDescent="0.2">
      <c r="A43" s="64" t="str">
        <f t="shared" si="1"/>
        <v>CONCRETE_TILE_03_S</v>
      </c>
      <c r="B43" s="13">
        <v>0.03</v>
      </c>
      <c r="C43" s="65" t="s">
        <v>199</v>
      </c>
      <c r="D43" s="66" t="s">
        <v>154</v>
      </c>
      <c r="E43" s="70"/>
      <c r="F43" s="70"/>
      <c r="G43" s="70"/>
      <c r="H43" s="70"/>
      <c r="I43" s="70"/>
      <c r="J43" s="13" t="s">
        <v>203</v>
      </c>
      <c r="K43" s="87"/>
      <c r="L43" s="33">
        <f>COUNTIF(Components!$B$3:$B$302,A43)</f>
        <v>1</v>
      </c>
      <c r="M43" s="33">
        <f t="shared" si="2"/>
        <v>1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spans="1:35" x14ac:dyDescent="0.2">
      <c r="A44" s="64" t="str">
        <f t="shared" si="1"/>
        <v>WOOD_SHAVINGS_15_S</v>
      </c>
      <c r="B44" s="13">
        <v>0.15</v>
      </c>
      <c r="C44" s="65" t="s">
        <v>199</v>
      </c>
      <c r="D44" s="66" t="s">
        <v>146</v>
      </c>
      <c r="E44" s="70"/>
      <c r="F44" s="70"/>
      <c r="G44" s="70"/>
      <c r="H44" s="70"/>
      <c r="I44" s="70"/>
      <c r="J44" s="13" t="s">
        <v>203</v>
      </c>
      <c r="K44" s="87"/>
      <c r="L44" s="33">
        <f>COUNTIF(Components!$B$3:$B$302,A44)</f>
        <v>1</v>
      </c>
      <c r="M44" s="33">
        <f t="shared" si="2"/>
        <v>1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spans="1:35" x14ac:dyDescent="0.2">
      <c r="A45" s="64" t="str">
        <f t="shared" si="1"/>
        <v>FLOORBOARD_04_S</v>
      </c>
      <c r="B45" s="13">
        <v>0.04</v>
      </c>
      <c r="C45" s="65" t="s">
        <v>199</v>
      </c>
      <c r="D45" s="66" t="s">
        <v>148</v>
      </c>
      <c r="E45" s="70"/>
      <c r="F45" s="70"/>
      <c r="G45" s="70"/>
      <c r="H45" s="70"/>
      <c r="I45" s="70"/>
      <c r="J45" s="13" t="s">
        <v>203</v>
      </c>
      <c r="K45" s="87"/>
      <c r="L45" s="33">
        <f>COUNTIF(Components!$B$3:$B$302,A45)</f>
        <v>0</v>
      </c>
      <c r="M45" s="33">
        <f t="shared" si="2"/>
        <v>1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spans="1:35" x14ac:dyDescent="0.2">
      <c r="A46" s="64" t="str">
        <f t="shared" si="1"/>
        <v>COKE_ASH_1_S</v>
      </c>
      <c r="B46" s="13">
        <v>0.1</v>
      </c>
      <c r="C46" s="65" t="s">
        <v>199</v>
      </c>
      <c r="D46" s="66" t="s">
        <v>107</v>
      </c>
      <c r="E46" s="70"/>
      <c r="F46" s="70"/>
      <c r="G46" s="70"/>
      <c r="H46" s="70"/>
      <c r="I46" s="70"/>
      <c r="J46" s="13" t="s">
        <v>203</v>
      </c>
      <c r="K46" s="87"/>
      <c r="L46" s="33">
        <f>COUNTIF(Components!$B$3:$B$302,A46)</f>
        <v>2</v>
      </c>
      <c r="M46" s="33">
        <f t="shared" si="2"/>
        <v>1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 spans="1:35" x14ac:dyDescent="0.2">
      <c r="A47" s="64" t="str">
        <f t="shared" si="1"/>
        <v>STUD_05_S</v>
      </c>
      <c r="B47" s="41">
        <v>0.05</v>
      </c>
      <c r="C47" s="65" t="s">
        <v>199</v>
      </c>
      <c r="D47" s="66" t="s">
        <v>117</v>
      </c>
      <c r="E47" s="70"/>
      <c r="F47" s="70"/>
      <c r="G47" s="70"/>
      <c r="H47" s="70"/>
      <c r="I47" s="70"/>
      <c r="J47" s="13" t="s">
        <v>203</v>
      </c>
      <c r="K47" s="87"/>
      <c r="L47" s="33">
        <f>COUNTIF(Components!$B$3:$B$302,A47)</f>
        <v>1</v>
      </c>
      <c r="M47" s="33">
        <f t="shared" si="2"/>
        <v>1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 spans="1:35" x14ac:dyDescent="0.2">
      <c r="A48" s="64" t="str">
        <f t="shared" si="1"/>
        <v>VINYL_FLOORING_04_S</v>
      </c>
      <c r="B48" s="41">
        <v>0.04</v>
      </c>
      <c r="C48" s="65" t="s">
        <v>199</v>
      </c>
      <c r="D48" s="66" t="s">
        <v>150</v>
      </c>
      <c r="E48" s="70"/>
      <c r="F48" s="70"/>
      <c r="G48" s="70"/>
      <c r="H48" s="70"/>
      <c r="I48" s="70"/>
      <c r="J48" s="13" t="s">
        <v>211</v>
      </c>
      <c r="K48" s="87"/>
      <c r="L48" s="33">
        <f>COUNTIF(Components!$B$3:$B$302,A48)</f>
        <v>2</v>
      </c>
      <c r="M48" s="33">
        <f t="shared" si="2"/>
        <v>1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spans="1:35" x14ac:dyDescent="0.2">
      <c r="A49" s="64" t="str">
        <f t="shared" si="1"/>
        <v>CERAMIC_TILE_006_S</v>
      </c>
      <c r="B49" s="41">
        <v>6.0000000000000001E-3</v>
      </c>
      <c r="C49" s="65" t="s">
        <v>199</v>
      </c>
      <c r="D49" s="66" t="s">
        <v>143</v>
      </c>
      <c r="E49" s="70"/>
      <c r="F49" s="70"/>
      <c r="G49" s="70"/>
      <c r="H49" s="70"/>
      <c r="I49" s="70"/>
      <c r="J49" s="13" t="s">
        <v>203</v>
      </c>
      <c r="K49" s="87"/>
      <c r="L49" s="33">
        <f>COUNTIF(Components!$B$3:$B$302,A49)</f>
        <v>0</v>
      </c>
      <c r="M49" s="33">
        <f t="shared" si="2"/>
        <v>1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spans="1:35" x14ac:dyDescent="0.2">
      <c r="A50" s="64" t="str">
        <f t="shared" si="1"/>
        <v>WATERPROOF_MEMBRANE_03_S</v>
      </c>
      <c r="B50" s="13">
        <v>0.03</v>
      </c>
      <c r="C50" s="65" t="s">
        <v>199</v>
      </c>
      <c r="D50" s="66" t="s">
        <v>155</v>
      </c>
      <c r="E50" s="70"/>
      <c r="F50" s="70"/>
      <c r="G50" s="70"/>
      <c r="H50" s="70"/>
      <c r="I50" s="70"/>
      <c r="J50" s="13" t="s">
        <v>211</v>
      </c>
      <c r="K50" s="87"/>
      <c r="L50" s="33">
        <f>COUNTIF(Components!$B$3:$B$302,A50)</f>
        <v>0</v>
      </c>
      <c r="M50" s="33">
        <f t="shared" si="2"/>
        <v>1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spans="1:35" x14ac:dyDescent="0.2">
      <c r="A51" s="64" t="str">
        <f t="shared" si="1"/>
        <v>CONCRETE_04_S</v>
      </c>
      <c r="B51" s="13">
        <v>0.04</v>
      </c>
      <c r="C51" s="65" t="s">
        <v>199</v>
      </c>
      <c r="D51" s="66" t="s">
        <v>94</v>
      </c>
      <c r="E51" s="70"/>
      <c r="F51" s="70"/>
      <c r="G51" s="70"/>
      <c r="H51" s="70"/>
      <c r="I51" s="70"/>
      <c r="J51" s="13" t="s">
        <v>203</v>
      </c>
      <c r="K51" s="87"/>
      <c r="L51" s="33">
        <f>COUNTIF(Components!$B$3:$B$302,A51)</f>
        <v>0</v>
      </c>
      <c r="M51" s="33">
        <f t="shared" si="2"/>
        <v>1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spans="1:35" x14ac:dyDescent="0.2">
      <c r="A52" s="64" t="str">
        <f t="shared" si="1"/>
        <v>LIGHTWEIGHT_CONCRETE_MORTAR_25_C</v>
      </c>
      <c r="B52" s="13">
        <v>0.25</v>
      </c>
      <c r="C52" s="65" t="s">
        <v>205</v>
      </c>
      <c r="D52" s="66" t="s">
        <v>98</v>
      </c>
      <c r="E52" s="70">
        <v>0.95</v>
      </c>
      <c r="F52" s="70" t="s">
        <v>100</v>
      </c>
      <c r="G52" s="70">
        <v>0.05</v>
      </c>
      <c r="H52" s="70"/>
      <c r="I52" s="70"/>
      <c r="J52" s="13" t="s">
        <v>203</v>
      </c>
      <c r="K52" s="87"/>
      <c r="L52" s="33">
        <f>COUNTIF(Components!$B$3:$B$302,A52)</f>
        <v>2</v>
      </c>
      <c r="M52" s="33">
        <f t="shared" si="2"/>
        <v>1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spans="1:35" x14ac:dyDescent="0.2">
      <c r="A53" s="64" t="str">
        <f t="shared" si="1"/>
        <v>CONCRETE_2_S</v>
      </c>
      <c r="B53" s="41">
        <v>0.2</v>
      </c>
      <c r="C53" s="65" t="s">
        <v>199</v>
      </c>
      <c r="D53" s="66" t="s">
        <v>94</v>
      </c>
      <c r="E53" s="70"/>
      <c r="F53" s="70"/>
      <c r="G53" s="70"/>
      <c r="H53" s="70"/>
      <c r="I53" s="70"/>
      <c r="J53" s="13" t="s">
        <v>203</v>
      </c>
      <c r="K53" s="87"/>
      <c r="L53" s="33">
        <f>COUNTIF(Components!$B$3:$B$302,A53)</f>
        <v>5</v>
      </c>
      <c r="M53" s="33">
        <f t="shared" si="2"/>
        <v>1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 spans="1:35" x14ac:dyDescent="0.2">
      <c r="A54" s="64" t="str">
        <f t="shared" si="1"/>
        <v>PLASTER_01_S</v>
      </c>
      <c r="B54" s="41">
        <v>0.01</v>
      </c>
      <c r="C54" s="65" t="s">
        <v>199</v>
      </c>
      <c r="D54" s="66" t="s">
        <v>104</v>
      </c>
      <c r="E54" s="70"/>
      <c r="F54" s="70"/>
      <c r="G54" s="70"/>
      <c r="H54" s="70"/>
      <c r="I54" s="70"/>
      <c r="J54" s="13" t="s">
        <v>203</v>
      </c>
      <c r="K54" s="87"/>
      <c r="L54" s="33">
        <f>COUNTIF(Components!$B$3:$B$302,A54)</f>
        <v>6</v>
      </c>
      <c r="M54" s="33">
        <f t="shared" si="2"/>
        <v>1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</row>
    <row r="55" spans="1:35" x14ac:dyDescent="0.2">
      <c r="A55" s="64" t="str">
        <f t="shared" si="1"/>
        <v>CONCRETE_07_S</v>
      </c>
      <c r="B55" s="41">
        <v>7.0000000000000007E-2</v>
      </c>
      <c r="C55" s="65" t="s">
        <v>199</v>
      </c>
      <c r="D55" s="66" t="s">
        <v>94</v>
      </c>
      <c r="E55" s="70"/>
      <c r="F55" s="70"/>
      <c r="G55" s="70"/>
      <c r="H55" s="70"/>
      <c r="I55" s="70"/>
      <c r="J55" s="13" t="s">
        <v>203</v>
      </c>
      <c r="K55" s="87"/>
      <c r="L55" s="33">
        <f>COUNTIF(Components!$B$3:$B$302,A55)</f>
        <v>2</v>
      </c>
      <c r="M55" s="33">
        <f t="shared" si="2"/>
        <v>1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 spans="1:35" s="29" customFormat="1" x14ac:dyDescent="0.2">
      <c r="A56" s="64" t="str">
        <f t="shared" si="1"/>
        <v>BRICK_MORTAR_2_C</v>
      </c>
      <c r="B56" s="41">
        <v>0.2</v>
      </c>
      <c r="C56" s="66" t="s">
        <v>205</v>
      </c>
      <c r="D56" s="66" t="s">
        <v>114</v>
      </c>
      <c r="E56" s="71">
        <v>0.85</v>
      </c>
      <c r="F56" s="70" t="s">
        <v>100</v>
      </c>
      <c r="G56" s="70">
        <v>0.15</v>
      </c>
      <c r="H56" s="70"/>
      <c r="I56" s="70"/>
      <c r="J56" s="1"/>
      <c r="K56" s="88"/>
      <c r="L56" s="33">
        <f>COUNTIF(Components!$B$3:$B$302,A56)</f>
        <v>0</v>
      </c>
      <c r="M56" s="33">
        <f t="shared" si="2"/>
        <v>1</v>
      </c>
    </row>
    <row r="57" spans="1:35" s="29" customFormat="1" x14ac:dyDescent="0.2">
      <c r="A57" s="64" t="str">
        <f t="shared" si="1"/>
        <v>MINERAL_WOOL_WOODEN_STUD_07_C</v>
      </c>
      <c r="B57" s="33">
        <v>7.0000000000000007E-2</v>
      </c>
      <c r="C57" s="65" t="s">
        <v>205</v>
      </c>
      <c r="D57" s="65" t="s">
        <v>116</v>
      </c>
      <c r="E57" s="70">
        <v>0.9</v>
      </c>
      <c r="F57" s="70" t="s">
        <v>85</v>
      </c>
      <c r="G57" s="70">
        <v>0.1</v>
      </c>
      <c r="H57" s="70"/>
      <c r="I57" s="70"/>
      <c r="J57" s="1"/>
      <c r="K57" s="88"/>
      <c r="L57" s="33">
        <f>COUNTIF(Components!$B$3:$B$302,A57)</f>
        <v>1</v>
      </c>
      <c r="M57" s="33">
        <f t="shared" si="2"/>
        <v>1</v>
      </c>
    </row>
    <row r="58" spans="1:35" s="29" customFormat="1" x14ac:dyDescent="0.2">
      <c r="A58" s="64" t="str">
        <f t="shared" si="1"/>
        <v>GYPSUM_BOARD_013_S</v>
      </c>
      <c r="B58" s="85">
        <v>1.2999999999999999E-2</v>
      </c>
      <c r="C58" s="65" t="s">
        <v>199</v>
      </c>
      <c r="D58" s="65" t="s">
        <v>137</v>
      </c>
      <c r="E58" s="70"/>
      <c r="F58" s="70"/>
      <c r="G58" s="70"/>
      <c r="H58" s="70"/>
      <c r="I58" s="70"/>
      <c r="J58" s="1"/>
      <c r="K58" s="88"/>
      <c r="L58" s="33">
        <f>COUNTIF(Components!$B$3:$B$302,A58)</f>
        <v>4</v>
      </c>
      <c r="M58" s="33">
        <f t="shared" si="2"/>
        <v>1</v>
      </c>
    </row>
    <row r="59" spans="1:35" s="29" customFormat="1" x14ac:dyDescent="0.2">
      <c r="A59" s="64" t="str">
        <f t="shared" si="1"/>
        <v>MINERAL_WOOL_WOODEN_STUD_007_C</v>
      </c>
      <c r="B59" s="42">
        <v>7.0000000000000001E-3</v>
      </c>
      <c r="C59" s="67" t="s">
        <v>205</v>
      </c>
      <c r="D59" s="67" t="s">
        <v>116</v>
      </c>
      <c r="E59" s="72">
        <v>0.9</v>
      </c>
      <c r="F59" s="72" t="s">
        <v>85</v>
      </c>
      <c r="G59" s="72">
        <v>0.1</v>
      </c>
      <c r="H59" s="72"/>
      <c r="I59" s="72"/>
      <c r="J59" s="89"/>
      <c r="K59" s="90"/>
      <c r="L59" s="33">
        <f>COUNTIF(Components!$B$3:$B$302,A59)</f>
        <v>0</v>
      </c>
      <c r="M59" s="33">
        <f t="shared" si="2"/>
        <v>1</v>
      </c>
    </row>
    <row r="60" spans="1:35" s="29" customFormat="1" x14ac:dyDescent="0.2">
      <c r="A60" s="64" t="str">
        <f t="shared" si="1"/>
        <v>LINOLEUM_002_S</v>
      </c>
      <c r="B60" s="1">
        <v>2E-3</v>
      </c>
      <c r="C60" s="65" t="s">
        <v>199</v>
      </c>
      <c r="D60" s="65" t="s">
        <v>124</v>
      </c>
      <c r="E60" s="70"/>
      <c r="F60" s="70"/>
      <c r="G60" s="70"/>
      <c r="H60" s="70"/>
      <c r="I60" s="70"/>
      <c r="J60" s="1"/>
      <c r="K60" s="88"/>
      <c r="L60" s="33">
        <f>COUNTIF(Components!$B$3:$B$302,A60)</f>
        <v>0</v>
      </c>
      <c r="M60" s="33">
        <f t="shared" si="2"/>
        <v>1</v>
      </c>
    </row>
    <row r="61" spans="1:35" s="29" customFormat="1" x14ac:dyDescent="0.2">
      <c r="A61" s="64" t="str">
        <f t="shared" si="1"/>
        <v>WOODFIBER_BOARD_013_S</v>
      </c>
      <c r="B61" s="33">
        <v>1.2999999999999999E-2</v>
      </c>
      <c r="C61" s="65" t="s">
        <v>199</v>
      </c>
      <c r="D61" s="65" t="s">
        <v>125</v>
      </c>
      <c r="E61" s="70"/>
      <c r="F61" s="70"/>
      <c r="G61" s="70"/>
      <c r="H61" s="70"/>
      <c r="I61" s="70"/>
      <c r="J61" s="1"/>
      <c r="K61" s="88"/>
      <c r="L61" s="33">
        <f>COUNTIF(Components!$B$3:$B$302,A61)</f>
        <v>2</v>
      </c>
      <c r="M61" s="33">
        <f t="shared" si="2"/>
        <v>1</v>
      </c>
    </row>
    <row r="62" spans="1:35" s="29" customFormat="1" x14ac:dyDescent="0.2">
      <c r="A62" s="64" t="str">
        <f t="shared" si="1"/>
        <v>CONCRETE_MIXED_WITH_SAWDUST_05_S</v>
      </c>
      <c r="B62" s="33">
        <v>0.05</v>
      </c>
      <c r="C62" s="65" t="s">
        <v>199</v>
      </c>
      <c r="D62" s="65" t="s">
        <v>105</v>
      </c>
      <c r="E62" s="70"/>
      <c r="F62" s="70"/>
      <c r="G62" s="70"/>
      <c r="H62" s="70"/>
      <c r="I62" s="70"/>
      <c r="J62" s="1"/>
      <c r="K62" s="88"/>
      <c r="L62" s="33">
        <f>COUNTIF(Components!$B$3:$B$302,A62)</f>
        <v>2</v>
      </c>
      <c r="M62" s="33">
        <f t="shared" si="2"/>
        <v>1</v>
      </c>
    </row>
    <row r="63" spans="1:35" s="29" customFormat="1" x14ac:dyDescent="0.2">
      <c r="A63" s="64" t="str">
        <f t="shared" si="1"/>
        <v>COKE_ASH_08_S</v>
      </c>
      <c r="B63" s="33">
        <v>0.08</v>
      </c>
      <c r="C63" s="65" t="s">
        <v>199</v>
      </c>
      <c r="D63" s="65" t="s">
        <v>107</v>
      </c>
      <c r="E63" s="70"/>
      <c r="F63" s="70"/>
      <c r="G63" s="70"/>
      <c r="H63" s="70"/>
      <c r="I63" s="70"/>
      <c r="J63" s="1"/>
      <c r="K63" s="88"/>
      <c r="L63" s="33">
        <f>COUNTIF(Components!$B$3:$B$302,A63)</f>
        <v>4</v>
      </c>
      <c r="M63" s="33">
        <f t="shared" si="2"/>
        <v>1</v>
      </c>
    </row>
    <row r="64" spans="1:35" s="29" customFormat="1" x14ac:dyDescent="0.2">
      <c r="A64" s="64" t="str">
        <f t="shared" si="1"/>
        <v>COKE_ASH_8_S</v>
      </c>
      <c r="B64" s="86" t="s">
        <v>212</v>
      </c>
      <c r="C64" s="65" t="s">
        <v>199</v>
      </c>
      <c r="D64" s="68" t="s">
        <v>107</v>
      </c>
      <c r="E64" s="70"/>
      <c r="F64" s="70"/>
      <c r="G64" s="70"/>
      <c r="H64" s="70"/>
      <c r="I64" s="70"/>
      <c r="J64" s="1"/>
      <c r="K64" s="88"/>
      <c r="L64" s="33">
        <f>COUNTIF(Components!$B$3:$B$302,A64)</f>
        <v>0</v>
      </c>
      <c r="M64" s="33">
        <f t="shared" si="2"/>
        <v>1</v>
      </c>
    </row>
    <row r="65" spans="1:13" s="29" customFormat="1" x14ac:dyDescent="0.2">
      <c r="A65" s="64" t="str">
        <f t="shared" ref="A65:A82" si="3">UPPER(D65)
&amp;IF(F65&lt;&gt;"","_"&amp;UPPER(F65),"")
&amp;IF(H65&lt;&gt;"","_"&amp;UPPER(H65),"")
&amp;"_"&amp;TRIM(_xlfn.TEXTAFTER(B65,","))
&amp;"_"&amp;C65</f>
        <v>CONCRETE_05_S</v>
      </c>
      <c r="B65" s="43" t="s">
        <v>213</v>
      </c>
      <c r="C65" s="65" t="s">
        <v>199</v>
      </c>
      <c r="D65" s="69" t="s">
        <v>94</v>
      </c>
      <c r="E65" s="70"/>
      <c r="F65" s="70"/>
      <c r="G65" s="70"/>
      <c r="H65" s="70"/>
      <c r="I65" s="70"/>
      <c r="J65" s="1"/>
      <c r="K65" s="88"/>
      <c r="L65" s="33">
        <f>COUNTIF(Components!$B$3:$B$302,A65)</f>
        <v>6</v>
      </c>
      <c r="M65" s="33">
        <f t="shared" si="2"/>
        <v>1</v>
      </c>
    </row>
    <row r="66" spans="1:13" s="29" customFormat="1" x14ac:dyDescent="0.2">
      <c r="A66" s="64" t="str">
        <f t="shared" si="3"/>
        <v>PLASTER_05_S</v>
      </c>
      <c r="B66" s="42">
        <v>0.05</v>
      </c>
      <c r="C66" s="67" t="s">
        <v>199</v>
      </c>
      <c r="D66" s="67" t="s">
        <v>104</v>
      </c>
      <c r="E66" s="72"/>
      <c r="F66" s="72"/>
      <c r="G66" s="72"/>
      <c r="H66" s="72"/>
      <c r="I66" s="72"/>
      <c r="J66" s="89"/>
      <c r="K66" s="90"/>
      <c r="L66" s="44">
        <f>COUNTIF(Components!$B$3:$B$302,A66)</f>
        <v>2</v>
      </c>
      <c r="M66" s="33">
        <f t="shared" si="2"/>
        <v>1</v>
      </c>
    </row>
    <row r="67" spans="1:13" s="29" customFormat="1" x14ac:dyDescent="0.2">
      <c r="A67" s="64" t="str">
        <f t="shared" si="3"/>
        <v>LIGHTWEIGHT_CONCRETE_MORTAR_1_C</v>
      </c>
      <c r="B67" s="42">
        <v>0.1</v>
      </c>
      <c r="C67" s="67" t="s">
        <v>205</v>
      </c>
      <c r="D67" s="67" t="s">
        <v>98</v>
      </c>
      <c r="E67" s="72">
        <v>0.95</v>
      </c>
      <c r="F67" s="72" t="s">
        <v>100</v>
      </c>
      <c r="G67" s="72">
        <v>0.05</v>
      </c>
      <c r="H67" s="72"/>
      <c r="I67" s="72"/>
      <c r="J67" s="44"/>
      <c r="K67" s="91"/>
      <c r="L67" s="44">
        <f>COUNTIF(Components!$B$3:$B$302,A67)</f>
        <v>1</v>
      </c>
      <c r="M67" s="33">
        <f t="shared" si="2"/>
        <v>1</v>
      </c>
    </row>
    <row r="68" spans="1:13" s="29" customFormat="1" x14ac:dyDescent="0.2">
      <c r="A68" s="64" t="str">
        <f t="shared" si="3"/>
        <v>CONCRETE_3_S</v>
      </c>
      <c r="B68" s="42">
        <v>0.3</v>
      </c>
      <c r="C68" s="67" t="s">
        <v>199</v>
      </c>
      <c r="D68" s="67" t="s">
        <v>94</v>
      </c>
      <c r="E68" s="72"/>
      <c r="F68" s="72"/>
      <c r="G68" s="72"/>
      <c r="H68" s="72"/>
      <c r="I68" s="72"/>
      <c r="J68" s="44"/>
      <c r="K68" s="91"/>
      <c r="L68" s="44">
        <f>COUNTIF(Components!$B$3:$B$302,A68)</f>
        <v>2</v>
      </c>
      <c r="M68" s="33">
        <f t="shared" si="2"/>
        <v>1</v>
      </c>
    </row>
    <row r="69" spans="1:13" s="29" customFormat="1" x14ac:dyDescent="0.2">
      <c r="A69" s="64" t="str">
        <f t="shared" si="3"/>
        <v>CONCRETE_08_S</v>
      </c>
      <c r="B69" s="42">
        <v>0.08</v>
      </c>
      <c r="C69" s="67" t="s">
        <v>199</v>
      </c>
      <c r="D69" s="67" t="s">
        <v>94</v>
      </c>
      <c r="E69" s="72"/>
      <c r="F69" s="72"/>
      <c r="G69" s="72"/>
      <c r="H69" s="72"/>
      <c r="I69" s="72"/>
      <c r="J69" s="44"/>
      <c r="K69" s="91"/>
      <c r="L69" s="44">
        <f>COUNTIF(Components!$B$3:$B$302,A69)</f>
        <v>1</v>
      </c>
      <c r="M69" s="33">
        <f t="shared" si="2"/>
        <v>1</v>
      </c>
    </row>
    <row r="70" spans="1:13" s="29" customFormat="1" x14ac:dyDescent="0.2">
      <c r="A70" s="64" t="str">
        <f t="shared" si="3"/>
        <v>WOOD_WOOL_BOARD_025_S</v>
      </c>
      <c r="B70" s="42">
        <v>2.5000000000000001E-2</v>
      </c>
      <c r="C70" s="67" t="s">
        <v>199</v>
      </c>
      <c r="D70" s="67" t="s">
        <v>156</v>
      </c>
      <c r="E70" s="72"/>
      <c r="F70" s="72"/>
      <c r="G70" s="72"/>
      <c r="H70" s="72"/>
      <c r="I70" s="72"/>
      <c r="J70" s="44"/>
      <c r="K70" s="91"/>
      <c r="L70" s="44">
        <f>COUNTIF(Components!$B$3:$B$302,A70)</f>
        <v>1</v>
      </c>
      <c r="M70" s="33">
        <f t="shared" ref="M70:M82" si="4">COUNTIF($A$3:$A$308,A70)</f>
        <v>1</v>
      </c>
    </row>
    <row r="71" spans="1:13" s="29" customFormat="1" x14ac:dyDescent="0.2">
      <c r="A71" s="64" t="str">
        <f t="shared" si="3"/>
        <v>CONCRETE_23_S</v>
      </c>
      <c r="B71" s="94">
        <v>0.23</v>
      </c>
      <c r="C71" s="65" t="s">
        <v>199</v>
      </c>
      <c r="D71" s="65" t="s">
        <v>94</v>
      </c>
      <c r="E71" s="70"/>
      <c r="F71" s="70"/>
      <c r="G71" s="70"/>
      <c r="H71" s="70"/>
      <c r="I71" s="70"/>
      <c r="J71" s="33"/>
      <c r="K71" s="95"/>
      <c r="L71" s="33">
        <f>COUNTIF(Components!$B$3:$B$302,A71)</f>
        <v>1</v>
      </c>
      <c r="M71" s="33">
        <f t="shared" si="4"/>
        <v>1</v>
      </c>
    </row>
    <row r="72" spans="1:13" s="29" customFormat="1" x14ac:dyDescent="0.2">
      <c r="A72" s="64" t="str">
        <f t="shared" si="3"/>
        <v>MINERAL_WOOL_BLANKET_12_S</v>
      </c>
      <c r="B72" s="94">
        <v>0.12</v>
      </c>
      <c r="C72" s="65" t="s">
        <v>199</v>
      </c>
      <c r="D72" s="65" t="s">
        <v>129</v>
      </c>
      <c r="E72" s="70"/>
      <c r="F72" s="70"/>
      <c r="G72" s="70"/>
      <c r="H72" s="70"/>
      <c r="I72" s="70"/>
      <c r="J72" s="33"/>
      <c r="K72" s="95"/>
      <c r="L72" s="33">
        <f>COUNTIF(Components!$B$3:$B$302,A72)</f>
        <v>0</v>
      </c>
      <c r="M72" s="33">
        <f t="shared" si="4"/>
        <v>1</v>
      </c>
    </row>
    <row r="73" spans="1:13" s="29" customFormat="1" x14ac:dyDescent="0.2">
      <c r="A73" s="64" t="str">
        <f t="shared" si="3"/>
        <v>MINERAL_WOOL_CARPET_03_S</v>
      </c>
      <c r="B73" s="94">
        <v>0.03</v>
      </c>
      <c r="C73" s="65" t="s">
        <v>199</v>
      </c>
      <c r="D73" s="65" t="s">
        <v>131</v>
      </c>
      <c r="E73" s="70"/>
      <c r="F73" s="70"/>
      <c r="G73" s="70"/>
      <c r="H73" s="70"/>
      <c r="I73" s="70"/>
      <c r="J73" s="33"/>
      <c r="K73" s="95"/>
      <c r="L73" s="33">
        <f>COUNTIF(Components!$B$3:$B$302,A73)</f>
        <v>2</v>
      </c>
      <c r="M73" s="33">
        <f t="shared" si="4"/>
        <v>1</v>
      </c>
    </row>
    <row r="74" spans="1:13" s="29" customFormat="1" x14ac:dyDescent="0.2">
      <c r="A74" s="64" t="str">
        <f t="shared" si="3"/>
        <v>SAND_05_S</v>
      </c>
      <c r="B74" s="94">
        <v>0.05</v>
      </c>
      <c r="C74" s="65" t="s">
        <v>199</v>
      </c>
      <c r="D74" s="65" t="s">
        <v>157</v>
      </c>
      <c r="E74" s="70"/>
      <c r="F74" s="70"/>
      <c r="G74" s="70"/>
      <c r="H74" s="70"/>
      <c r="I74" s="70"/>
      <c r="J74" s="33"/>
      <c r="K74" s="95"/>
      <c r="L74" s="33">
        <f>COUNTIF(Components!$B$3:$B$302,A74)</f>
        <v>3</v>
      </c>
      <c r="M74" s="33">
        <f t="shared" si="4"/>
        <v>1</v>
      </c>
    </row>
    <row r="75" spans="1:13" s="29" customFormat="1" x14ac:dyDescent="0.2">
      <c r="A75" s="64" t="str">
        <f t="shared" si="3"/>
        <v>CELLULAR_PLASTIC_06_S</v>
      </c>
      <c r="B75" s="94">
        <v>0.06</v>
      </c>
      <c r="C75" s="65" t="s">
        <v>199</v>
      </c>
      <c r="D75" s="65" t="s">
        <v>159</v>
      </c>
      <c r="E75" s="70"/>
      <c r="F75" s="70"/>
      <c r="G75" s="70"/>
      <c r="H75" s="70"/>
      <c r="I75" s="70"/>
      <c r="J75" s="33"/>
      <c r="K75" s="95"/>
      <c r="L75" s="33">
        <f>COUNTIF(Components!$B$3:$B$302,A75)</f>
        <v>1</v>
      </c>
      <c r="M75" s="33">
        <f t="shared" si="4"/>
        <v>1</v>
      </c>
    </row>
    <row r="76" spans="1:13" s="29" customFormat="1" x14ac:dyDescent="0.2">
      <c r="A76" s="64" t="str">
        <f t="shared" si="3"/>
        <v>GRAVEL_15_S</v>
      </c>
      <c r="B76" s="94">
        <v>0.15</v>
      </c>
      <c r="C76" s="65" t="s">
        <v>199</v>
      </c>
      <c r="D76" s="65" t="s">
        <v>160</v>
      </c>
      <c r="E76" s="70"/>
      <c r="F76" s="70"/>
      <c r="G76" s="70"/>
      <c r="H76" s="70"/>
      <c r="I76" s="70"/>
      <c r="J76" s="33"/>
      <c r="K76" s="95"/>
      <c r="L76" s="33">
        <f>COUNTIF(Components!$B$3:$B$302,A76)</f>
        <v>1</v>
      </c>
      <c r="M76" s="33">
        <f t="shared" si="4"/>
        <v>1</v>
      </c>
    </row>
    <row r="77" spans="1:13" s="29" customFormat="1" x14ac:dyDescent="0.2">
      <c r="A77" s="64" t="str">
        <f t="shared" si="3"/>
        <v>PLYWOOD_017_S</v>
      </c>
      <c r="B77" s="94">
        <v>1.7000000000000001E-2</v>
      </c>
      <c r="C77" s="65" t="s">
        <v>199</v>
      </c>
      <c r="D77" s="65" t="s">
        <v>162</v>
      </c>
      <c r="E77" s="70"/>
      <c r="F77" s="70"/>
      <c r="G77" s="70"/>
      <c r="H77" s="70"/>
      <c r="I77" s="70"/>
      <c r="J77" s="33"/>
      <c r="K77" s="95"/>
      <c r="L77" s="33">
        <f>COUNTIF(Components!$B$3:$B$302,A77)</f>
        <v>2</v>
      </c>
      <c r="M77" s="33">
        <f t="shared" si="4"/>
        <v>1</v>
      </c>
    </row>
    <row r="78" spans="1:13" s="29" customFormat="1" x14ac:dyDescent="0.2">
      <c r="A78" s="64" t="str">
        <f t="shared" si="3"/>
        <v>MINERAL_WOOL_3_S</v>
      </c>
      <c r="B78" s="94">
        <v>0.3</v>
      </c>
      <c r="C78" s="65" t="s">
        <v>199</v>
      </c>
      <c r="D78" s="65" t="s">
        <v>116</v>
      </c>
      <c r="E78" s="70"/>
      <c r="F78" s="70"/>
      <c r="G78" s="70"/>
      <c r="H78" s="70"/>
      <c r="I78" s="70"/>
      <c r="J78" s="33"/>
      <c r="K78" s="95"/>
      <c r="L78" s="33">
        <f>COUNTIF(Components!$B$3:$B$302,A78)</f>
        <v>2</v>
      </c>
      <c r="M78" s="33">
        <f t="shared" si="4"/>
        <v>1</v>
      </c>
    </row>
    <row r="79" spans="1:13" s="29" customFormat="1" x14ac:dyDescent="0.2">
      <c r="A79" s="64" t="str">
        <f t="shared" si="3"/>
        <v>CONCRETE_19_S</v>
      </c>
      <c r="B79" s="33">
        <v>0.19</v>
      </c>
      <c r="C79" s="65" t="s">
        <v>199</v>
      </c>
      <c r="D79" s="65" t="s">
        <v>94</v>
      </c>
      <c r="E79" s="70"/>
      <c r="F79" s="70"/>
      <c r="G79" s="70"/>
      <c r="H79" s="70"/>
      <c r="I79" s="70"/>
      <c r="J79" s="33"/>
      <c r="K79" s="33"/>
      <c r="L79" s="33"/>
      <c r="M79" s="33">
        <f t="shared" si="4"/>
        <v>1</v>
      </c>
    </row>
    <row r="80" spans="1:13" s="29" customFormat="1" x14ac:dyDescent="0.2">
      <c r="A80" s="64" t="str">
        <f t="shared" si="3"/>
        <v>LIGHTWEIGHT_CONCRETE_MORTAR_3_C</v>
      </c>
      <c r="B80" s="33">
        <v>0.3</v>
      </c>
      <c r="C80" s="65" t="s">
        <v>205</v>
      </c>
      <c r="D80" s="65" t="s">
        <v>98</v>
      </c>
      <c r="E80" s="70">
        <v>0.95</v>
      </c>
      <c r="F80" s="70" t="s">
        <v>100</v>
      </c>
      <c r="G80" s="70">
        <v>0.05</v>
      </c>
      <c r="H80" s="70"/>
      <c r="I80" s="70"/>
      <c r="J80" s="33"/>
      <c r="K80" s="33"/>
      <c r="L80" s="33"/>
      <c r="M80" s="33">
        <f t="shared" si="4"/>
        <v>1</v>
      </c>
    </row>
    <row r="81" spans="1:13" s="29" customFormat="1" x14ac:dyDescent="0.2">
      <c r="A81" s="64" t="str">
        <f t="shared" si="3"/>
        <v>AIR_GAP_WOODEN_RAFTER_05_C</v>
      </c>
      <c r="B81" s="33">
        <v>0.05</v>
      </c>
      <c r="C81" s="65" t="s">
        <v>205</v>
      </c>
      <c r="D81" s="65" t="s">
        <v>164</v>
      </c>
      <c r="E81" s="70">
        <v>0.95</v>
      </c>
      <c r="F81" s="70" t="s">
        <v>88</v>
      </c>
      <c r="G81" s="70">
        <v>0.05</v>
      </c>
      <c r="H81" s="70"/>
      <c r="I81" s="70"/>
      <c r="J81" s="33"/>
      <c r="K81" s="33"/>
      <c r="L81" s="33"/>
      <c r="M81" s="33">
        <f t="shared" si="4"/>
        <v>1</v>
      </c>
    </row>
    <row r="82" spans="1:13" s="29" customFormat="1" x14ac:dyDescent="0.2">
      <c r="A82" s="64" t="str">
        <f t="shared" si="3"/>
        <v>SAND_2_S</v>
      </c>
      <c r="B82" s="33">
        <v>0.2</v>
      </c>
      <c r="C82" s="65" t="s">
        <v>199</v>
      </c>
      <c r="D82" s="65" t="s">
        <v>157</v>
      </c>
      <c r="E82" s="70"/>
      <c r="F82" s="70"/>
      <c r="G82" s="70"/>
      <c r="H82" s="70"/>
      <c r="I82" s="70"/>
      <c r="J82" s="33"/>
      <c r="K82" s="33"/>
      <c r="L82" s="33"/>
      <c r="M82" s="33">
        <f t="shared" si="4"/>
        <v>1</v>
      </c>
    </row>
    <row r="83" spans="1:13" s="29" customFormat="1" x14ac:dyDescent="0.2"/>
    <row r="84" spans="1:13" s="29" customFormat="1" x14ac:dyDescent="0.2"/>
    <row r="85" spans="1:13" s="29" customFormat="1" x14ac:dyDescent="0.2"/>
    <row r="86" spans="1:13" s="29" customFormat="1" x14ac:dyDescent="0.2"/>
    <row r="87" spans="1:13" s="29" customFormat="1" x14ac:dyDescent="0.2"/>
    <row r="88" spans="1:13" s="29" customFormat="1" x14ac:dyDescent="0.2"/>
    <row r="89" spans="1:13" s="29" customFormat="1" x14ac:dyDescent="0.2"/>
    <row r="90" spans="1:13" s="29" customFormat="1" x14ac:dyDescent="0.2"/>
    <row r="91" spans="1:13" s="29" customFormat="1" x14ac:dyDescent="0.2"/>
    <row r="92" spans="1:13" s="29" customFormat="1" x14ac:dyDescent="0.2"/>
    <row r="93" spans="1:13" s="29" customFormat="1" x14ac:dyDescent="0.2"/>
    <row r="94" spans="1:13" s="29" customFormat="1" x14ac:dyDescent="0.2"/>
    <row r="95" spans="1:13" s="29" customFormat="1" x14ac:dyDescent="0.2"/>
    <row r="96" spans="1:13" s="29" customFormat="1" x14ac:dyDescent="0.2"/>
    <row r="97" s="29" customFormat="1" x14ac:dyDescent="0.2"/>
    <row r="98" s="29" customFormat="1" x14ac:dyDescent="0.2"/>
    <row r="99" s="29" customFormat="1" x14ac:dyDescent="0.2"/>
    <row r="100" s="29" customFormat="1" x14ac:dyDescent="0.2"/>
    <row r="101" s="29" customFormat="1" x14ac:dyDescent="0.2"/>
    <row r="102" s="29" customFormat="1" x14ac:dyDescent="0.2"/>
    <row r="103" s="29" customFormat="1" x14ac:dyDescent="0.2"/>
    <row r="104" s="29" customFormat="1" x14ac:dyDescent="0.2"/>
    <row r="105" s="29" customFormat="1" x14ac:dyDescent="0.2"/>
    <row r="106" s="29" customFormat="1" x14ac:dyDescent="0.2"/>
    <row r="107" s="29" customFormat="1" x14ac:dyDescent="0.2"/>
    <row r="108" s="29" customFormat="1" x14ac:dyDescent="0.2"/>
    <row r="109" s="29" customFormat="1" x14ac:dyDescent="0.2"/>
    <row r="110" s="29" customFormat="1" x14ac:dyDescent="0.2"/>
    <row r="111" s="29" customFormat="1" x14ac:dyDescent="0.2"/>
    <row r="112" s="29" customFormat="1" x14ac:dyDescent="0.2"/>
    <row r="113" s="29" customFormat="1" x14ac:dyDescent="0.2"/>
    <row r="114" s="29" customFormat="1" x14ac:dyDescent="0.2"/>
    <row r="115" s="29" customFormat="1" x14ac:dyDescent="0.2"/>
    <row r="116" s="29" customFormat="1" x14ac:dyDescent="0.2"/>
    <row r="117" s="29" customFormat="1" x14ac:dyDescent="0.2"/>
    <row r="118" s="29" customFormat="1" x14ac:dyDescent="0.2"/>
    <row r="119" s="29" customFormat="1" x14ac:dyDescent="0.2"/>
    <row r="120" s="29" customFormat="1" x14ac:dyDescent="0.2"/>
    <row r="121" s="29" customFormat="1" x14ac:dyDescent="0.2"/>
    <row r="122" s="29" customFormat="1" x14ac:dyDescent="0.2"/>
    <row r="123" s="29" customFormat="1" x14ac:dyDescent="0.2"/>
    <row r="124" s="29" customFormat="1" x14ac:dyDescent="0.2"/>
    <row r="125" s="29" customFormat="1" x14ac:dyDescent="0.2"/>
    <row r="126" s="29" customFormat="1" x14ac:dyDescent="0.2"/>
    <row r="127" s="29" customFormat="1" x14ac:dyDescent="0.2"/>
    <row r="128" s="29" customFormat="1" x14ac:dyDescent="0.2"/>
    <row r="129" s="29" customFormat="1" x14ac:dyDescent="0.2"/>
    <row r="130" s="29" customFormat="1" x14ac:dyDescent="0.2"/>
    <row r="131" s="29" customFormat="1" x14ac:dyDescent="0.2"/>
    <row r="132" s="29" customFormat="1" x14ac:dyDescent="0.2"/>
    <row r="133" s="29" customFormat="1" x14ac:dyDescent="0.2"/>
    <row r="134" s="29" customFormat="1" x14ac:dyDescent="0.2"/>
    <row r="135" s="29" customFormat="1" x14ac:dyDescent="0.2"/>
    <row r="136" s="29" customFormat="1" x14ac:dyDescent="0.2"/>
    <row r="137" s="29" customFormat="1" x14ac:dyDescent="0.2"/>
    <row r="138" s="29" customFormat="1" x14ac:dyDescent="0.2"/>
    <row r="139" s="29" customFormat="1" x14ac:dyDescent="0.2"/>
    <row r="140" s="29" customFormat="1" x14ac:dyDescent="0.2"/>
    <row r="141" s="29" customFormat="1" x14ac:dyDescent="0.2"/>
    <row r="142" s="29" customFormat="1" x14ac:dyDescent="0.2"/>
    <row r="143" s="29" customFormat="1" x14ac:dyDescent="0.2"/>
    <row r="144" s="29" customFormat="1" x14ac:dyDescent="0.2"/>
    <row r="145" s="29" customFormat="1" x14ac:dyDescent="0.2"/>
    <row r="146" s="29" customFormat="1" x14ac:dyDescent="0.2"/>
    <row r="147" s="29" customFormat="1" x14ac:dyDescent="0.2"/>
    <row r="148" s="29" customFormat="1" x14ac:dyDescent="0.2"/>
    <row r="149" s="29" customFormat="1" x14ac:dyDescent="0.2"/>
    <row r="150" s="29" customFormat="1" x14ac:dyDescent="0.2"/>
    <row r="151" s="29" customFormat="1" x14ac:dyDescent="0.2"/>
    <row r="152" s="29" customFormat="1" x14ac:dyDescent="0.2"/>
    <row r="153" s="29" customFormat="1" x14ac:dyDescent="0.2"/>
    <row r="154" s="29" customFormat="1" x14ac:dyDescent="0.2"/>
    <row r="155" s="29" customFormat="1" x14ac:dyDescent="0.2"/>
    <row r="156" s="29" customFormat="1" x14ac:dyDescent="0.2"/>
    <row r="157" s="29" customFormat="1" x14ac:dyDescent="0.2"/>
    <row r="158" s="29" customFormat="1" x14ac:dyDescent="0.2"/>
    <row r="159" s="29" customFormat="1" x14ac:dyDescent="0.2"/>
    <row r="160" s="29" customFormat="1" x14ac:dyDescent="0.2"/>
    <row r="161" s="29" customFormat="1" x14ac:dyDescent="0.2"/>
    <row r="162" s="29" customFormat="1" x14ac:dyDescent="0.2"/>
    <row r="163" s="29" customFormat="1" x14ac:dyDescent="0.2"/>
    <row r="164" s="29" customFormat="1" x14ac:dyDescent="0.2"/>
    <row r="165" s="29" customFormat="1" x14ac:dyDescent="0.2"/>
    <row r="166" s="29" customFormat="1" x14ac:dyDescent="0.2"/>
    <row r="167" s="29" customFormat="1" x14ac:dyDescent="0.2"/>
    <row r="168" s="29" customFormat="1" x14ac:dyDescent="0.2"/>
    <row r="169" s="29" customFormat="1" x14ac:dyDescent="0.2"/>
    <row r="170" s="29" customFormat="1" x14ac:dyDescent="0.2"/>
    <row r="171" s="29" customFormat="1" x14ac:dyDescent="0.2"/>
    <row r="172" s="29" customFormat="1" x14ac:dyDescent="0.2"/>
    <row r="173" s="29" customFormat="1" x14ac:dyDescent="0.2"/>
    <row r="174" s="29" customFormat="1" x14ac:dyDescent="0.2"/>
    <row r="175" s="29" customFormat="1" x14ac:dyDescent="0.2"/>
    <row r="176" s="29" customFormat="1" x14ac:dyDescent="0.2"/>
    <row r="177" s="29" customFormat="1" x14ac:dyDescent="0.2"/>
    <row r="178" s="29" customFormat="1" x14ac:dyDescent="0.2"/>
    <row r="179" s="29" customFormat="1" x14ac:dyDescent="0.2"/>
    <row r="180" s="29" customFormat="1" x14ac:dyDescent="0.2"/>
    <row r="181" s="29" customFormat="1" x14ac:dyDescent="0.2"/>
    <row r="182" s="29" customFormat="1" x14ac:dyDescent="0.2"/>
    <row r="183" s="29" customFormat="1" x14ac:dyDescent="0.2"/>
    <row r="184" s="29" customFormat="1" x14ac:dyDescent="0.2"/>
    <row r="185" s="29" customFormat="1" x14ac:dyDescent="0.2"/>
    <row r="186" s="29" customFormat="1" x14ac:dyDescent="0.2"/>
    <row r="187" s="29" customFormat="1" x14ac:dyDescent="0.2"/>
    <row r="188" s="29" customFormat="1" x14ac:dyDescent="0.2"/>
    <row r="189" s="29" customFormat="1" x14ac:dyDescent="0.2"/>
    <row r="190" s="29" customFormat="1" x14ac:dyDescent="0.2"/>
    <row r="191" s="29" customFormat="1" x14ac:dyDescent="0.2"/>
    <row r="192" s="29" customFormat="1" x14ac:dyDescent="0.2"/>
    <row r="193" spans="1:35" s="29" customFormat="1" x14ac:dyDescent="0.2"/>
    <row r="194" spans="1:35" s="29" customFormat="1" x14ac:dyDescent="0.2"/>
    <row r="195" spans="1:35" s="29" customFormat="1" x14ac:dyDescent="0.2"/>
    <row r="196" spans="1:35" s="29" customFormat="1" x14ac:dyDescent="0.2"/>
    <row r="197" spans="1:35" s="29" customFormat="1" x14ac:dyDescent="0.2"/>
    <row r="198" spans="1:35" s="29" customFormat="1" x14ac:dyDescent="0.2"/>
    <row r="199" spans="1:35" s="29" customFormat="1" x14ac:dyDescent="0.2"/>
    <row r="200" spans="1:35" s="29" customFormat="1" x14ac:dyDescent="0.2"/>
    <row r="201" spans="1:35" s="29" customFormat="1" x14ac:dyDescent="0.2"/>
    <row r="202" spans="1:35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</row>
    <row r="203" spans="1:35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</row>
    <row r="204" spans="1:35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</row>
    <row r="205" spans="1:35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</row>
    <row r="206" spans="1:35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</row>
    <row r="207" spans="1:35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</row>
    <row r="208" spans="1:35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</row>
    <row r="209" spans="1:35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</row>
    <row r="210" spans="1:35" x14ac:dyDescent="0.2"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</row>
    <row r="211" spans="1:35" x14ac:dyDescent="0.2"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</row>
    <row r="212" spans="1:35" x14ac:dyDescent="0.2"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</row>
    <row r="213" spans="1:35" x14ac:dyDescent="0.2"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</row>
    <row r="214" spans="1:35" x14ac:dyDescent="0.2"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</row>
    <row r="215" spans="1:35" x14ac:dyDescent="0.2"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</row>
    <row r="216" spans="1:35" x14ac:dyDescent="0.2"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</row>
    <row r="217" spans="1:35" x14ac:dyDescent="0.2"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</row>
    <row r="218" spans="1:35" x14ac:dyDescent="0.2"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</row>
    <row r="219" spans="1:35" x14ac:dyDescent="0.2"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</row>
    <row r="220" spans="1:35" x14ac:dyDescent="0.2"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</row>
    <row r="221" spans="1:35" x14ac:dyDescent="0.2"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</row>
    <row r="222" spans="1:35" x14ac:dyDescent="0.2"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</row>
    <row r="223" spans="1:35" x14ac:dyDescent="0.2"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</row>
    <row r="224" spans="1:35" x14ac:dyDescent="0.2"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</row>
    <row r="225" spans="12:35" x14ac:dyDescent="0.2"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</row>
    <row r="226" spans="12:35" x14ac:dyDescent="0.2"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</row>
    <row r="227" spans="12:35" x14ac:dyDescent="0.2"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</row>
    <row r="228" spans="12:35" x14ac:dyDescent="0.2"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</row>
    <row r="229" spans="12:35" x14ac:dyDescent="0.2"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</row>
    <row r="230" spans="12:35" x14ac:dyDescent="0.2"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</row>
    <row r="231" spans="12:35" x14ac:dyDescent="0.2"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</row>
    <row r="232" spans="12:35" x14ac:dyDescent="0.2"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</row>
    <row r="233" spans="12:35" x14ac:dyDescent="0.2"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</row>
    <row r="234" spans="12:35" x14ac:dyDescent="0.2"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</row>
    <row r="235" spans="12:35" x14ac:dyDescent="0.2"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</row>
    <row r="236" spans="12:35" x14ac:dyDescent="0.2"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</row>
    <row r="237" spans="12:35" x14ac:dyDescent="0.2"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</row>
    <row r="238" spans="12:35" x14ac:dyDescent="0.2"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</row>
    <row r="239" spans="12:35" x14ac:dyDescent="0.2"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</row>
    <row r="240" spans="12:35" x14ac:dyDescent="0.2"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</row>
    <row r="241" spans="12:35" x14ac:dyDescent="0.2"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</row>
    <row r="242" spans="12:35" x14ac:dyDescent="0.2"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</row>
    <row r="243" spans="12:35" x14ac:dyDescent="0.2"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</row>
    <row r="244" spans="12:35" x14ac:dyDescent="0.2"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</row>
    <row r="245" spans="12:35" x14ac:dyDescent="0.2"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</row>
    <row r="246" spans="12:35" x14ac:dyDescent="0.2"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</row>
    <row r="247" spans="12:35" x14ac:dyDescent="0.2"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</row>
    <row r="248" spans="12:35" x14ac:dyDescent="0.2"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</row>
    <row r="249" spans="12:35" x14ac:dyDescent="0.2"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</row>
    <row r="250" spans="12:35" x14ac:dyDescent="0.2"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</row>
    <row r="251" spans="12:35" x14ac:dyDescent="0.2"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</row>
    <row r="252" spans="12:35" x14ac:dyDescent="0.2"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</row>
    <row r="253" spans="12:35" x14ac:dyDescent="0.2"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</row>
    <row r="254" spans="12:35" x14ac:dyDescent="0.2"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</row>
    <row r="255" spans="12:35" x14ac:dyDescent="0.2"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</row>
    <row r="256" spans="12:35" x14ac:dyDescent="0.2"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</row>
    <row r="257" spans="12:35" x14ac:dyDescent="0.2"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</row>
    <row r="258" spans="12:35" x14ac:dyDescent="0.2"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spans="12:35" x14ac:dyDescent="0.2"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spans="12:35" x14ac:dyDescent="0.2"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</row>
    <row r="261" spans="12:35" x14ac:dyDescent="0.2"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 spans="12:35" x14ac:dyDescent="0.2"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</row>
    <row r="263" spans="12:35" x14ac:dyDescent="0.2"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 spans="12:35" x14ac:dyDescent="0.2"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 spans="12:35" x14ac:dyDescent="0.2"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</row>
    <row r="266" spans="12:35" x14ac:dyDescent="0.2"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</row>
    <row r="267" spans="12:35" x14ac:dyDescent="0.2"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</row>
    <row r="268" spans="12:35" x14ac:dyDescent="0.2"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</row>
    <row r="269" spans="12:35" x14ac:dyDescent="0.2"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</row>
    <row r="270" spans="12:35" x14ac:dyDescent="0.2"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</row>
    <row r="271" spans="12:35" x14ac:dyDescent="0.2"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</row>
    <row r="272" spans="12:35" x14ac:dyDescent="0.2"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</row>
    <row r="273" spans="12:35" x14ac:dyDescent="0.2"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</row>
    <row r="274" spans="12:35" x14ac:dyDescent="0.2"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</row>
    <row r="275" spans="12:35" x14ac:dyDescent="0.2"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</row>
    <row r="276" spans="12:35" x14ac:dyDescent="0.2"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</row>
    <row r="277" spans="12:35" x14ac:dyDescent="0.2"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</row>
    <row r="278" spans="12:35" x14ac:dyDescent="0.2"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</row>
    <row r="279" spans="12:35" x14ac:dyDescent="0.2"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</row>
    <row r="280" spans="12:35" x14ac:dyDescent="0.2"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</row>
    <row r="281" spans="12:35" x14ac:dyDescent="0.2"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</row>
    <row r="282" spans="12:35" x14ac:dyDescent="0.2"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</row>
    <row r="283" spans="12:35" x14ac:dyDescent="0.2"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</row>
    <row r="284" spans="12:35" x14ac:dyDescent="0.2"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</row>
    <row r="285" spans="12:35" x14ac:dyDescent="0.2"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</row>
    <row r="286" spans="12:35" x14ac:dyDescent="0.2"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 spans="12:35" x14ac:dyDescent="0.2"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</row>
    <row r="288" spans="12:35" x14ac:dyDescent="0.2"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</row>
    <row r="289" spans="12:35" x14ac:dyDescent="0.2"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</row>
    <row r="290" spans="12:35" x14ac:dyDescent="0.2"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</row>
    <row r="291" spans="12:35" x14ac:dyDescent="0.2"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</row>
    <row r="292" spans="12:35" x14ac:dyDescent="0.2"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</row>
    <row r="293" spans="12:35" x14ac:dyDescent="0.2"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</row>
    <row r="294" spans="12:35" x14ac:dyDescent="0.2"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</row>
    <row r="295" spans="12:35" x14ac:dyDescent="0.2"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</row>
    <row r="296" spans="12:35" x14ac:dyDescent="0.2"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</row>
    <row r="297" spans="12:35" x14ac:dyDescent="0.2"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</row>
    <row r="298" spans="12:35" x14ac:dyDescent="0.2"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 spans="12:35" x14ac:dyDescent="0.2"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 spans="12:35" x14ac:dyDescent="0.2"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 spans="12:35" x14ac:dyDescent="0.2"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 spans="12:35" x14ac:dyDescent="0.2"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 spans="12:35" x14ac:dyDescent="0.2"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 spans="12:35" x14ac:dyDescent="0.2"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 spans="12:35" x14ac:dyDescent="0.2"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 spans="12:35" x14ac:dyDescent="0.2"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 spans="12:35" x14ac:dyDescent="0.2"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 spans="12:35" x14ac:dyDescent="0.2"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 spans="12:35" x14ac:dyDescent="0.2"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 spans="12:35" x14ac:dyDescent="0.2"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 spans="12:35" x14ac:dyDescent="0.2"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 spans="12:35" x14ac:dyDescent="0.2"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 spans="12:35" x14ac:dyDescent="0.2"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 spans="12:35" x14ac:dyDescent="0.2"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 spans="12:35" x14ac:dyDescent="0.2"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 spans="12:35" x14ac:dyDescent="0.2"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 spans="12:35" x14ac:dyDescent="0.2"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 spans="12:35" x14ac:dyDescent="0.2"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 spans="12:35" x14ac:dyDescent="0.2"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 spans="12:35" x14ac:dyDescent="0.2"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 spans="12:35" x14ac:dyDescent="0.2"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 spans="12:35" x14ac:dyDescent="0.2"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 spans="12:35" x14ac:dyDescent="0.2"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 spans="12:35" x14ac:dyDescent="0.2"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 spans="12:35" x14ac:dyDescent="0.2"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 spans="12:35" x14ac:dyDescent="0.2"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 spans="12:35" x14ac:dyDescent="0.2"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 spans="12:35" x14ac:dyDescent="0.2"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 spans="12:35" x14ac:dyDescent="0.2"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 spans="12:35" x14ac:dyDescent="0.2"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 spans="12:35" x14ac:dyDescent="0.2"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 spans="12:35" x14ac:dyDescent="0.2"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 spans="12:35" x14ac:dyDescent="0.2"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 spans="12:35" x14ac:dyDescent="0.2"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 spans="12:35" x14ac:dyDescent="0.2"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 spans="12:35" x14ac:dyDescent="0.2"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 spans="12:35" x14ac:dyDescent="0.2"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 spans="12:35" x14ac:dyDescent="0.2"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 spans="12:35" x14ac:dyDescent="0.2"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 spans="12:35" x14ac:dyDescent="0.2"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 spans="12:35" x14ac:dyDescent="0.2"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 spans="12:35" x14ac:dyDescent="0.2"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 spans="12:35" x14ac:dyDescent="0.2"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 spans="12:35" x14ac:dyDescent="0.2"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 spans="12:35" x14ac:dyDescent="0.2"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 spans="12:35" x14ac:dyDescent="0.2"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 spans="12:35" x14ac:dyDescent="0.2"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 spans="12:35" x14ac:dyDescent="0.2"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 spans="12:35" x14ac:dyDescent="0.2"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 spans="12:35" x14ac:dyDescent="0.2"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 spans="12:35" x14ac:dyDescent="0.2"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 spans="12:35" x14ac:dyDescent="0.2"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 spans="12:35" x14ac:dyDescent="0.2"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 spans="12:35" x14ac:dyDescent="0.2"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 spans="12:35" x14ac:dyDescent="0.2"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 spans="12:35" x14ac:dyDescent="0.2"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 spans="12:35" x14ac:dyDescent="0.2"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 spans="12:35" x14ac:dyDescent="0.2"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 spans="12:35" x14ac:dyDescent="0.2"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 spans="12:35" x14ac:dyDescent="0.2"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 spans="12:35" x14ac:dyDescent="0.2"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 spans="12:35" x14ac:dyDescent="0.2"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 spans="12:35" x14ac:dyDescent="0.2"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 spans="12:35" x14ac:dyDescent="0.2"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 spans="12:35" x14ac:dyDescent="0.2"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 spans="12:35" x14ac:dyDescent="0.2"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 spans="12:35" x14ac:dyDescent="0.2"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 spans="12:35" x14ac:dyDescent="0.2"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 spans="12:35" x14ac:dyDescent="0.2"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 spans="12:35" x14ac:dyDescent="0.2"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 spans="12:35" x14ac:dyDescent="0.2"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 spans="12:35" x14ac:dyDescent="0.2"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 spans="12:35" x14ac:dyDescent="0.2"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 spans="12:35" x14ac:dyDescent="0.2"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 spans="12:35" x14ac:dyDescent="0.2"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 spans="12:35" x14ac:dyDescent="0.2"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 spans="12:35" x14ac:dyDescent="0.2"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 spans="12:35" x14ac:dyDescent="0.2"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 spans="12:35" x14ac:dyDescent="0.2"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 spans="12:35" x14ac:dyDescent="0.2"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 spans="12:35" x14ac:dyDescent="0.2"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 spans="12:35" x14ac:dyDescent="0.2"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 spans="12:35" x14ac:dyDescent="0.2"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 spans="12:35" x14ac:dyDescent="0.2"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 spans="12:35" x14ac:dyDescent="0.2"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 spans="12:35" x14ac:dyDescent="0.2"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 spans="12:35" x14ac:dyDescent="0.2"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 spans="12:35" x14ac:dyDescent="0.2"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 spans="12:35" x14ac:dyDescent="0.2"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 spans="12:35" x14ac:dyDescent="0.2"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 spans="12:35" x14ac:dyDescent="0.2"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 spans="12:35" x14ac:dyDescent="0.2"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 spans="12:35" x14ac:dyDescent="0.2"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 spans="12:35" x14ac:dyDescent="0.2"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 spans="12:35" x14ac:dyDescent="0.2"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 spans="12:35" x14ac:dyDescent="0.2"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 spans="12:35" x14ac:dyDescent="0.2"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 spans="12:35" x14ac:dyDescent="0.2"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 spans="12:35" x14ac:dyDescent="0.2"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 spans="12:35" x14ac:dyDescent="0.2"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 spans="12:35" x14ac:dyDescent="0.2"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 spans="12:35" x14ac:dyDescent="0.2"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 spans="12:35" x14ac:dyDescent="0.2"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 spans="12:35" x14ac:dyDescent="0.2"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 spans="12:35" x14ac:dyDescent="0.2"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 spans="12:35" x14ac:dyDescent="0.2"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 spans="12:35" x14ac:dyDescent="0.2"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 spans="12:35" x14ac:dyDescent="0.2"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 spans="12:35" x14ac:dyDescent="0.2"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 spans="12:35" x14ac:dyDescent="0.2"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 spans="12:35" x14ac:dyDescent="0.2"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 spans="12:35" x14ac:dyDescent="0.2"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 spans="12:35" x14ac:dyDescent="0.2"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 spans="12:35" x14ac:dyDescent="0.2"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 spans="12:35" x14ac:dyDescent="0.2"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 spans="12:35" x14ac:dyDescent="0.2"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 spans="12:35" x14ac:dyDescent="0.2"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 spans="12:35" x14ac:dyDescent="0.2"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 spans="12:35" x14ac:dyDescent="0.2"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 spans="12:35" x14ac:dyDescent="0.2"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 spans="12:35" x14ac:dyDescent="0.2"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 spans="12:35" x14ac:dyDescent="0.2"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 spans="12:35" x14ac:dyDescent="0.2"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 spans="12:35" x14ac:dyDescent="0.2"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 spans="12:35" x14ac:dyDescent="0.2"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 spans="12:35" x14ac:dyDescent="0.2"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 spans="12:35" x14ac:dyDescent="0.2"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 spans="12:35" x14ac:dyDescent="0.2"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 spans="12:35" x14ac:dyDescent="0.2"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 spans="12:35" x14ac:dyDescent="0.2"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 spans="12:35" x14ac:dyDescent="0.2"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 spans="12:35" x14ac:dyDescent="0.2"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 spans="12:35" x14ac:dyDescent="0.2"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 spans="12:35" x14ac:dyDescent="0.2"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 spans="12:35" x14ac:dyDescent="0.2"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 spans="12:35" x14ac:dyDescent="0.2"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 spans="12:35" x14ac:dyDescent="0.2"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 spans="12:35" x14ac:dyDescent="0.2"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 spans="12:35" x14ac:dyDescent="0.2"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 spans="12:35" x14ac:dyDescent="0.2"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 spans="12:35" x14ac:dyDescent="0.2"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 spans="12:35" x14ac:dyDescent="0.2"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 spans="12:35" x14ac:dyDescent="0.2"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 spans="12:35" x14ac:dyDescent="0.2"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 spans="12:35" x14ac:dyDescent="0.2"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 spans="12:35" x14ac:dyDescent="0.2"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 spans="12:35" x14ac:dyDescent="0.2"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 spans="12:35" x14ac:dyDescent="0.2"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 spans="12:35" x14ac:dyDescent="0.2"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 spans="12:35" x14ac:dyDescent="0.2"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 spans="12:35" x14ac:dyDescent="0.2"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 spans="12:35" x14ac:dyDescent="0.2"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 spans="12:35" x14ac:dyDescent="0.2"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 spans="12:35" x14ac:dyDescent="0.2"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 spans="12:35" x14ac:dyDescent="0.2"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 spans="12:35" x14ac:dyDescent="0.2"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 spans="12:35" x14ac:dyDescent="0.2"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 spans="12:35" x14ac:dyDescent="0.2"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 spans="12:35" x14ac:dyDescent="0.2"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 spans="12:35" x14ac:dyDescent="0.2"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 spans="12:35" x14ac:dyDescent="0.2"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 spans="12:35" x14ac:dyDescent="0.2"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 spans="12:35" x14ac:dyDescent="0.2"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 spans="12:35" x14ac:dyDescent="0.2"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 spans="12:35" x14ac:dyDescent="0.2"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 spans="12:35" x14ac:dyDescent="0.2"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 spans="12:35" x14ac:dyDescent="0.2"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 spans="12:35" x14ac:dyDescent="0.2"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 spans="12:35" x14ac:dyDescent="0.2"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 spans="12:35" x14ac:dyDescent="0.2"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 spans="12:35" x14ac:dyDescent="0.2"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 spans="12:35" x14ac:dyDescent="0.2"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 spans="12:35" x14ac:dyDescent="0.2"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 spans="12:35" x14ac:dyDescent="0.2"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 spans="12:35" x14ac:dyDescent="0.2"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 spans="12:35" x14ac:dyDescent="0.2"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 spans="12:35" x14ac:dyDescent="0.2"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 spans="12:35" x14ac:dyDescent="0.2"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 spans="12:35" x14ac:dyDescent="0.2"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 spans="12:35" x14ac:dyDescent="0.2"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 spans="12:35" x14ac:dyDescent="0.2"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 spans="12:35" x14ac:dyDescent="0.2"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 spans="12:35" x14ac:dyDescent="0.2"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 spans="12:35" x14ac:dyDescent="0.2"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 spans="12:35" x14ac:dyDescent="0.2"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 spans="12:35" x14ac:dyDescent="0.2"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 spans="12:35" x14ac:dyDescent="0.2"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 spans="12:35" x14ac:dyDescent="0.2"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 spans="12:35" x14ac:dyDescent="0.2"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 spans="12:35" x14ac:dyDescent="0.2"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 spans="12:35" x14ac:dyDescent="0.2"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 spans="12:35" x14ac:dyDescent="0.2"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</row>
    <row r="493" spans="12:35" x14ac:dyDescent="0.2"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</row>
    <row r="494" spans="12:35" x14ac:dyDescent="0.2"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</row>
    <row r="495" spans="12:35" x14ac:dyDescent="0.2"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</row>
    <row r="496" spans="12:35" x14ac:dyDescent="0.2"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</row>
    <row r="497" spans="12:35" x14ac:dyDescent="0.2"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</row>
    <row r="498" spans="12:35" x14ac:dyDescent="0.2"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</row>
    <row r="499" spans="12:35" x14ac:dyDescent="0.2"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</row>
    <row r="500" spans="12:35" x14ac:dyDescent="0.2"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</row>
    <row r="501" spans="12:35" x14ac:dyDescent="0.2"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</row>
    <row r="502" spans="12:35" x14ac:dyDescent="0.2"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</row>
    <row r="503" spans="12:35" x14ac:dyDescent="0.2"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</row>
    <row r="504" spans="12:35" x14ac:dyDescent="0.2"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</row>
    <row r="505" spans="12:35" x14ac:dyDescent="0.2"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</row>
    <row r="506" spans="12:35" x14ac:dyDescent="0.2"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</row>
    <row r="507" spans="12:35" x14ac:dyDescent="0.2"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</row>
    <row r="508" spans="12:35" x14ac:dyDescent="0.2"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</row>
    <row r="509" spans="12:35" x14ac:dyDescent="0.2"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</row>
    <row r="510" spans="12:35" x14ac:dyDescent="0.2"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</row>
    <row r="511" spans="12:35" x14ac:dyDescent="0.2"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</row>
    <row r="512" spans="12:35" x14ac:dyDescent="0.2"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</row>
    <row r="513" spans="12:35" x14ac:dyDescent="0.2"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</row>
    <row r="514" spans="12:35" x14ac:dyDescent="0.2"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</row>
    <row r="515" spans="12:35" x14ac:dyDescent="0.2"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</row>
    <row r="516" spans="12:35" x14ac:dyDescent="0.2"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</row>
    <row r="517" spans="12:35" x14ac:dyDescent="0.2"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</row>
    <row r="518" spans="12:35" x14ac:dyDescent="0.2"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</row>
    <row r="519" spans="12:35" x14ac:dyDescent="0.2"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</row>
    <row r="520" spans="12:35" x14ac:dyDescent="0.2"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</row>
    <row r="521" spans="12:35" x14ac:dyDescent="0.2"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</row>
    <row r="522" spans="12:35" x14ac:dyDescent="0.2"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</row>
    <row r="523" spans="12:35" x14ac:dyDescent="0.2"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</row>
    <row r="524" spans="12:35" x14ac:dyDescent="0.2"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</row>
    <row r="525" spans="12:35" x14ac:dyDescent="0.2"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</row>
    <row r="526" spans="12:35" x14ac:dyDescent="0.2"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</row>
    <row r="527" spans="12:35" x14ac:dyDescent="0.2"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</row>
    <row r="528" spans="12:35" x14ac:dyDescent="0.2"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</row>
    <row r="529" spans="12:35" x14ac:dyDescent="0.2"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</row>
    <row r="530" spans="12:35" x14ac:dyDescent="0.2"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</row>
    <row r="531" spans="12:35" x14ac:dyDescent="0.2"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</row>
    <row r="532" spans="12:35" x14ac:dyDescent="0.2"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</row>
    <row r="533" spans="12:35" x14ac:dyDescent="0.2"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</row>
    <row r="534" spans="12:35" x14ac:dyDescent="0.2"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</row>
    <row r="535" spans="12:35" x14ac:dyDescent="0.2"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</row>
    <row r="536" spans="12:35" x14ac:dyDescent="0.2"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</row>
    <row r="537" spans="12:35" x14ac:dyDescent="0.2"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</row>
    <row r="538" spans="12:35" x14ac:dyDescent="0.2"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</row>
    <row r="539" spans="12:35" x14ac:dyDescent="0.2"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</row>
    <row r="540" spans="12:35" x14ac:dyDescent="0.2"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</row>
    <row r="541" spans="12:35" x14ac:dyDescent="0.2"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</row>
    <row r="542" spans="12:35" x14ac:dyDescent="0.2"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</row>
    <row r="543" spans="12:35" x14ac:dyDescent="0.2"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</row>
    <row r="544" spans="12:35" x14ac:dyDescent="0.2"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</row>
    <row r="545" spans="12:35" x14ac:dyDescent="0.2"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</row>
    <row r="546" spans="12:35" x14ac:dyDescent="0.2"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</row>
    <row r="547" spans="12:35" x14ac:dyDescent="0.2"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</row>
    <row r="548" spans="12:35" x14ac:dyDescent="0.2"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</row>
    <row r="549" spans="12:35" x14ac:dyDescent="0.2"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</row>
    <row r="550" spans="12:35" x14ac:dyDescent="0.2"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</row>
    <row r="551" spans="12:35" x14ac:dyDescent="0.2"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</row>
    <row r="552" spans="12:35" x14ac:dyDescent="0.2"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</row>
    <row r="553" spans="12:35" x14ac:dyDescent="0.2"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</row>
    <row r="554" spans="12:35" x14ac:dyDescent="0.2"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</row>
    <row r="555" spans="12:35" x14ac:dyDescent="0.2"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</row>
    <row r="556" spans="12:35" x14ac:dyDescent="0.2"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</row>
    <row r="557" spans="12:35" x14ac:dyDescent="0.2"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</row>
    <row r="558" spans="12:35" x14ac:dyDescent="0.2"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</row>
    <row r="559" spans="12:35" x14ac:dyDescent="0.2"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</row>
    <row r="560" spans="12:35" x14ac:dyDescent="0.2"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</row>
    <row r="561" spans="12:35" x14ac:dyDescent="0.2"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</row>
    <row r="562" spans="12:35" x14ac:dyDescent="0.2"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</row>
    <row r="563" spans="12:35" x14ac:dyDescent="0.2"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</row>
    <row r="564" spans="12:35" x14ac:dyDescent="0.2"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</row>
    <row r="565" spans="12:35" x14ac:dyDescent="0.2"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</row>
    <row r="566" spans="12:35" x14ac:dyDescent="0.2"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</row>
    <row r="567" spans="12:35" x14ac:dyDescent="0.2"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</row>
    <row r="568" spans="12:35" x14ac:dyDescent="0.2"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</row>
    <row r="569" spans="12:35" x14ac:dyDescent="0.2"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</row>
    <row r="570" spans="12:35" x14ac:dyDescent="0.2"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</row>
    <row r="571" spans="12:35" x14ac:dyDescent="0.2"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</row>
    <row r="572" spans="12:35" x14ac:dyDescent="0.2"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</row>
    <row r="573" spans="12:35" x14ac:dyDescent="0.2"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</row>
    <row r="574" spans="12:35" x14ac:dyDescent="0.2"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</row>
    <row r="575" spans="12:35" x14ac:dyDescent="0.2"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</row>
    <row r="576" spans="12:35" x14ac:dyDescent="0.2"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</row>
    <row r="577" spans="12:35" x14ac:dyDescent="0.2"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</row>
    <row r="578" spans="12:35" x14ac:dyDescent="0.2"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</row>
    <row r="579" spans="12:35" x14ac:dyDescent="0.2"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</row>
    <row r="580" spans="12:35" x14ac:dyDescent="0.2"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</row>
    <row r="581" spans="12:35" x14ac:dyDescent="0.2"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</row>
    <row r="582" spans="12:35" x14ac:dyDescent="0.2"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</row>
    <row r="583" spans="12:35" x14ac:dyDescent="0.2"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</row>
    <row r="584" spans="12:35" x14ac:dyDescent="0.2"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</row>
    <row r="585" spans="12:35" x14ac:dyDescent="0.2"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</row>
    <row r="586" spans="12:35" x14ac:dyDescent="0.2"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</row>
    <row r="587" spans="12:35" x14ac:dyDescent="0.2"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</row>
    <row r="588" spans="12:35" x14ac:dyDescent="0.2"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</row>
    <row r="589" spans="12:35" x14ac:dyDescent="0.2"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</row>
    <row r="590" spans="12:35" x14ac:dyDescent="0.2"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</row>
    <row r="591" spans="12:35" x14ac:dyDescent="0.2"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</row>
    <row r="592" spans="12:35" x14ac:dyDescent="0.2"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</row>
    <row r="593" spans="12:35" x14ac:dyDescent="0.2"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</row>
    <row r="594" spans="12:35" x14ac:dyDescent="0.2"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</row>
    <row r="595" spans="12:35" x14ac:dyDescent="0.2"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</row>
    <row r="596" spans="12:35" x14ac:dyDescent="0.2"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</row>
    <row r="597" spans="12:35" x14ac:dyDescent="0.2"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</row>
    <row r="598" spans="12:35" x14ac:dyDescent="0.2"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</row>
    <row r="599" spans="12:35" x14ac:dyDescent="0.2"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</row>
    <row r="600" spans="12:35" x14ac:dyDescent="0.2"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</row>
    <row r="601" spans="12:35" x14ac:dyDescent="0.2"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</row>
    <row r="602" spans="12:35" x14ac:dyDescent="0.2"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</row>
    <row r="603" spans="12:35" x14ac:dyDescent="0.2"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</row>
    <row r="604" spans="12:35" x14ac:dyDescent="0.2"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</row>
    <row r="605" spans="12:35" x14ac:dyDescent="0.2"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</row>
    <row r="606" spans="12:35" x14ac:dyDescent="0.2"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</row>
    <row r="607" spans="12:35" x14ac:dyDescent="0.2"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</row>
    <row r="608" spans="12:35" x14ac:dyDescent="0.2"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</row>
    <row r="609" spans="12:35" x14ac:dyDescent="0.2"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</row>
    <row r="610" spans="12:35" x14ac:dyDescent="0.2"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</row>
    <row r="611" spans="12:35" x14ac:dyDescent="0.2"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</row>
    <row r="612" spans="12:35" x14ac:dyDescent="0.2"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</row>
    <row r="613" spans="12:35" x14ac:dyDescent="0.2"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</row>
    <row r="614" spans="12:35" x14ac:dyDescent="0.2"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</row>
    <row r="615" spans="12:35" x14ac:dyDescent="0.2"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</row>
    <row r="616" spans="12:35" x14ac:dyDescent="0.2"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</row>
    <row r="617" spans="12:35" x14ac:dyDescent="0.2"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</row>
    <row r="618" spans="12:35" x14ac:dyDescent="0.2"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</row>
    <row r="619" spans="12:35" x14ac:dyDescent="0.2"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</row>
    <row r="620" spans="12:35" x14ac:dyDescent="0.2"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</row>
    <row r="621" spans="12:35" x14ac:dyDescent="0.2"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</row>
    <row r="622" spans="12:35" x14ac:dyDescent="0.2"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</row>
    <row r="623" spans="12:35" x14ac:dyDescent="0.2"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</row>
    <row r="624" spans="12:35" x14ac:dyDescent="0.2"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</row>
    <row r="625" spans="12:35" x14ac:dyDescent="0.2"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</row>
    <row r="626" spans="12:35" x14ac:dyDescent="0.2"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</row>
    <row r="627" spans="12:35" x14ac:dyDescent="0.2"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</row>
    <row r="628" spans="12:35" x14ac:dyDescent="0.2"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</row>
    <row r="629" spans="12:35" x14ac:dyDescent="0.2"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</row>
    <row r="630" spans="12:35" x14ac:dyDescent="0.2"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</row>
    <row r="631" spans="12:35" x14ac:dyDescent="0.2"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</row>
    <row r="632" spans="12:35" x14ac:dyDescent="0.2"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</row>
    <row r="633" spans="12:35" x14ac:dyDescent="0.2"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</row>
    <row r="634" spans="12:35" x14ac:dyDescent="0.2"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</row>
    <row r="635" spans="12:35" x14ac:dyDescent="0.2"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</row>
    <row r="636" spans="12:35" x14ac:dyDescent="0.2"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</row>
    <row r="637" spans="12:35" x14ac:dyDescent="0.2"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</row>
    <row r="638" spans="12:35" x14ac:dyDescent="0.2"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</row>
    <row r="639" spans="12:35" x14ac:dyDescent="0.2"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</row>
    <row r="640" spans="12:35" x14ac:dyDescent="0.2"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</row>
    <row r="641" spans="12:35" x14ac:dyDescent="0.2"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</row>
    <row r="642" spans="12:35" x14ac:dyDescent="0.2"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</row>
    <row r="643" spans="12:35" x14ac:dyDescent="0.2"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</row>
    <row r="644" spans="12:35" x14ac:dyDescent="0.2"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</row>
    <row r="645" spans="12:35" x14ac:dyDescent="0.2"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</row>
    <row r="646" spans="12:35" x14ac:dyDescent="0.2"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</row>
    <row r="647" spans="12:35" x14ac:dyDescent="0.2"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</row>
    <row r="648" spans="12:35" x14ac:dyDescent="0.2"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</row>
    <row r="649" spans="12:35" x14ac:dyDescent="0.2"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</row>
    <row r="650" spans="12:35" x14ac:dyDescent="0.2"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</row>
    <row r="651" spans="12:35" x14ac:dyDescent="0.2"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</row>
    <row r="652" spans="12:35" x14ac:dyDescent="0.2"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</row>
    <row r="653" spans="12:35" x14ac:dyDescent="0.2"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</row>
    <row r="654" spans="12:35" x14ac:dyDescent="0.2"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</row>
    <row r="655" spans="12:35" x14ac:dyDescent="0.2"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</row>
    <row r="656" spans="12:35" x14ac:dyDescent="0.2"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</row>
    <row r="657" spans="12:35" x14ac:dyDescent="0.2"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</row>
    <row r="658" spans="12:35" x14ac:dyDescent="0.2"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</row>
    <row r="659" spans="12:35" x14ac:dyDescent="0.2"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</row>
    <row r="660" spans="12:35" x14ac:dyDescent="0.2"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</row>
    <row r="661" spans="12:35" x14ac:dyDescent="0.2"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</row>
    <row r="662" spans="12:35" x14ac:dyDescent="0.2"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</row>
    <row r="663" spans="12:35" x14ac:dyDescent="0.2"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</row>
    <row r="664" spans="12:35" x14ac:dyDescent="0.2"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</row>
    <row r="665" spans="12:35" x14ac:dyDescent="0.2"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</row>
    <row r="666" spans="12:35" x14ac:dyDescent="0.2"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</row>
    <row r="667" spans="12:35" x14ac:dyDescent="0.2"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</row>
    <row r="668" spans="12:35" x14ac:dyDescent="0.2"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</row>
    <row r="669" spans="12:35" x14ac:dyDescent="0.2"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</row>
    <row r="670" spans="12:35" x14ac:dyDescent="0.2"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</row>
    <row r="671" spans="12:35" x14ac:dyDescent="0.2"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</row>
    <row r="672" spans="12:35" x14ac:dyDescent="0.2"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</row>
    <row r="673" spans="12:35" x14ac:dyDescent="0.2"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</row>
    <row r="674" spans="12:35" x14ac:dyDescent="0.2"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</row>
    <row r="675" spans="12:35" x14ac:dyDescent="0.2"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</row>
    <row r="676" spans="12:35" x14ac:dyDescent="0.2"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</row>
    <row r="677" spans="12:35" x14ac:dyDescent="0.2"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</row>
    <row r="678" spans="12:35" x14ac:dyDescent="0.2"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</row>
    <row r="679" spans="12:35" x14ac:dyDescent="0.2"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</row>
    <row r="680" spans="12:35" x14ac:dyDescent="0.2"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</row>
    <row r="681" spans="12:35" x14ac:dyDescent="0.2"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</row>
    <row r="682" spans="12:35" x14ac:dyDescent="0.2"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</row>
    <row r="683" spans="12:35" x14ac:dyDescent="0.2"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</row>
    <row r="684" spans="12:35" x14ac:dyDescent="0.2"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</row>
    <row r="685" spans="12:35" x14ac:dyDescent="0.2"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</row>
    <row r="686" spans="12:35" x14ac:dyDescent="0.2"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</row>
    <row r="687" spans="12:35" x14ac:dyDescent="0.2"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</row>
    <row r="688" spans="12:35" x14ac:dyDescent="0.2"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</row>
    <row r="689" spans="12:35" x14ac:dyDescent="0.2"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</row>
    <row r="690" spans="12:35" x14ac:dyDescent="0.2"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</row>
    <row r="691" spans="12:35" x14ac:dyDescent="0.2"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</row>
    <row r="692" spans="12:35" x14ac:dyDescent="0.2"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</row>
    <row r="693" spans="12:35" x14ac:dyDescent="0.2"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</row>
    <row r="694" spans="12:35" x14ac:dyDescent="0.2"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</row>
    <row r="695" spans="12:35" x14ac:dyDescent="0.2"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</row>
    <row r="696" spans="12:35" x14ac:dyDescent="0.2"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</row>
    <row r="697" spans="12:35" x14ac:dyDescent="0.2"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</row>
    <row r="698" spans="12:35" x14ac:dyDescent="0.2"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</row>
    <row r="699" spans="12:35" x14ac:dyDescent="0.2"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</row>
    <row r="700" spans="12:35" x14ac:dyDescent="0.2"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</row>
    <row r="701" spans="12:35" x14ac:dyDescent="0.2"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</row>
    <row r="702" spans="12:35" x14ac:dyDescent="0.2"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</row>
    <row r="703" spans="12:35" x14ac:dyDescent="0.2"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</row>
    <row r="704" spans="12:35" x14ac:dyDescent="0.2"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</row>
    <row r="705" spans="12:35" x14ac:dyDescent="0.2"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</row>
    <row r="706" spans="12:35" x14ac:dyDescent="0.2"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</row>
    <row r="707" spans="12:35" x14ac:dyDescent="0.2"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</row>
    <row r="708" spans="12:35" x14ac:dyDescent="0.2"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</row>
    <row r="709" spans="12:35" x14ac:dyDescent="0.2"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</row>
    <row r="710" spans="12:35" x14ac:dyDescent="0.2"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</row>
    <row r="711" spans="12:35" x14ac:dyDescent="0.2"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</row>
    <row r="712" spans="12:35" x14ac:dyDescent="0.2"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</row>
    <row r="713" spans="12:35" x14ac:dyDescent="0.2"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</row>
    <row r="714" spans="12:35" x14ac:dyDescent="0.2"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</row>
    <row r="715" spans="12:35" x14ac:dyDescent="0.2"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</row>
    <row r="716" spans="12:35" x14ac:dyDescent="0.2"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</row>
    <row r="717" spans="12:35" x14ac:dyDescent="0.2"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</row>
    <row r="718" spans="12:35" x14ac:dyDescent="0.2"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</row>
    <row r="719" spans="12:35" x14ac:dyDescent="0.2"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</row>
    <row r="720" spans="12:35" x14ac:dyDescent="0.2"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</row>
    <row r="721" spans="12:35" x14ac:dyDescent="0.2"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</row>
    <row r="722" spans="12:35" x14ac:dyDescent="0.2"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</row>
    <row r="723" spans="12:35" x14ac:dyDescent="0.2"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</row>
    <row r="724" spans="12:35" x14ac:dyDescent="0.2"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</row>
    <row r="725" spans="12:35" x14ac:dyDescent="0.2"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</row>
    <row r="726" spans="12:35" x14ac:dyDescent="0.2"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</row>
    <row r="727" spans="12:35" x14ac:dyDescent="0.2"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</row>
    <row r="728" spans="12:35" x14ac:dyDescent="0.2"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</row>
    <row r="729" spans="12:35" x14ac:dyDescent="0.2"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</row>
    <row r="730" spans="12:35" x14ac:dyDescent="0.2"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</row>
    <row r="731" spans="12:35" x14ac:dyDescent="0.2"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</row>
    <row r="732" spans="12:35" x14ac:dyDescent="0.2"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</row>
    <row r="733" spans="12:35" x14ac:dyDescent="0.2"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</row>
    <row r="734" spans="12:35" x14ac:dyDescent="0.2"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</row>
    <row r="735" spans="12:35" x14ac:dyDescent="0.2"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</row>
    <row r="736" spans="12:35" x14ac:dyDescent="0.2"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</row>
    <row r="737" spans="12:35" x14ac:dyDescent="0.2"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</row>
    <row r="738" spans="12:35" x14ac:dyDescent="0.2"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</row>
    <row r="739" spans="12:35" x14ac:dyDescent="0.2"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</row>
    <row r="740" spans="12:35" x14ac:dyDescent="0.2"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</row>
    <row r="741" spans="12:35" x14ac:dyDescent="0.2"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</row>
    <row r="742" spans="12:35" x14ac:dyDescent="0.2"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</row>
    <row r="743" spans="12:35" x14ac:dyDescent="0.2"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</row>
    <row r="744" spans="12:35" x14ac:dyDescent="0.2"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</row>
    <row r="745" spans="12:35" x14ac:dyDescent="0.2"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</row>
    <row r="746" spans="12:35" x14ac:dyDescent="0.2"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</row>
    <row r="747" spans="12:35" x14ac:dyDescent="0.2"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</row>
    <row r="748" spans="12:35" x14ac:dyDescent="0.2"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</row>
    <row r="749" spans="12:35" x14ac:dyDescent="0.2"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</row>
    <row r="750" spans="12:35" x14ac:dyDescent="0.2"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</row>
    <row r="751" spans="12:35" x14ac:dyDescent="0.2"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</row>
    <row r="752" spans="12:35" x14ac:dyDescent="0.2"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</row>
    <row r="753" spans="12:35" x14ac:dyDescent="0.2"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</row>
    <row r="754" spans="12:35" x14ac:dyDescent="0.2"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</row>
    <row r="755" spans="12:35" x14ac:dyDescent="0.2"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</row>
    <row r="756" spans="12:35" x14ac:dyDescent="0.2"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</row>
    <row r="757" spans="12:35" x14ac:dyDescent="0.2"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</row>
    <row r="758" spans="12:35" x14ac:dyDescent="0.2"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</row>
    <row r="759" spans="12:35" x14ac:dyDescent="0.2"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</row>
    <row r="760" spans="12:35" x14ac:dyDescent="0.2"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</row>
    <row r="761" spans="12:35" x14ac:dyDescent="0.2"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</row>
    <row r="762" spans="12:35" x14ac:dyDescent="0.2"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</row>
    <row r="763" spans="12:35" x14ac:dyDescent="0.2"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</row>
    <row r="764" spans="12:35" x14ac:dyDescent="0.2"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</row>
    <row r="765" spans="12:35" x14ac:dyDescent="0.2"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</row>
    <row r="766" spans="12:35" x14ac:dyDescent="0.2"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</row>
    <row r="767" spans="12:35" x14ac:dyDescent="0.2"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</row>
    <row r="768" spans="12:35" x14ac:dyDescent="0.2"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</row>
    <row r="769" spans="12:35" x14ac:dyDescent="0.2"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</row>
    <row r="770" spans="12:35" x14ac:dyDescent="0.2"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</row>
    <row r="771" spans="12:35" x14ac:dyDescent="0.2"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</row>
    <row r="772" spans="12:35" x14ac:dyDescent="0.2"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</row>
    <row r="773" spans="12:35" x14ac:dyDescent="0.2"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</row>
    <row r="774" spans="12:35" x14ac:dyDescent="0.2"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</row>
    <row r="775" spans="12:35" x14ac:dyDescent="0.2"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</row>
    <row r="776" spans="12:35" x14ac:dyDescent="0.2"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</row>
    <row r="777" spans="12:35" x14ac:dyDescent="0.2"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</row>
    <row r="778" spans="12:35" x14ac:dyDescent="0.2"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</row>
    <row r="779" spans="12:35" x14ac:dyDescent="0.2"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</row>
    <row r="780" spans="12:35" x14ac:dyDescent="0.2"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</row>
    <row r="781" spans="12:35" x14ac:dyDescent="0.2"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</row>
    <row r="782" spans="12:35" x14ac:dyDescent="0.2"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</row>
    <row r="783" spans="12:35" x14ac:dyDescent="0.2"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</row>
    <row r="784" spans="12:35" x14ac:dyDescent="0.2"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</row>
    <row r="785" spans="12:35" x14ac:dyDescent="0.2"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</row>
    <row r="786" spans="12:35" x14ac:dyDescent="0.2"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</row>
    <row r="787" spans="12:35" x14ac:dyDescent="0.2"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</row>
    <row r="788" spans="12:35" x14ac:dyDescent="0.2"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</row>
    <row r="789" spans="12:35" x14ac:dyDescent="0.2"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</row>
    <row r="790" spans="12:35" x14ac:dyDescent="0.2"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</row>
    <row r="791" spans="12:35" x14ac:dyDescent="0.2"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</row>
    <row r="792" spans="12:35" x14ac:dyDescent="0.2"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</row>
    <row r="793" spans="12:35" x14ac:dyDescent="0.2"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</row>
    <row r="794" spans="12:35" x14ac:dyDescent="0.2"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</row>
    <row r="795" spans="12:35" x14ac:dyDescent="0.2"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</row>
    <row r="796" spans="12:35" x14ac:dyDescent="0.2"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</row>
    <row r="797" spans="12:35" x14ac:dyDescent="0.2"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</row>
    <row r="798" spans="12:35" x14ac:dyDescent="0.2"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</row>
    <row r="799" spans="12:35" x14ac:dyDescent="0.2"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</row>
    <row r="800" spans="12:35" x14ac:dyDescent="0.2"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</row>
    <row r="801" spans="12:35" x14ac:dyDescent="0.2"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</row>
    <row r="802" spans="12:35" x14ac:dyDescent="0.2"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</row>
    <row r="803" spans="12:35" x14ac:dyDescent="0.2"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</row>
    <row r="804" spans="12:35" x14ac:dyDescent="0.2"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</row>
    <row r="805" spans="12:35" x14ac:dyDescent="0.2"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</row>
    <row r="806" spans="12:35" x14ac:dyDescent="0.2"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</row>
    <row r="807" spans="12:35" x14ac:dyDescent="0.2"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</row>
    <row r="808" spans="12:35" x14ac:dyDescent="0.2"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</row>
    <row r="809" spans="12:35" x14ac:dyDescent="0.2"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</row>
    <row r="810" spans="12:35" x14ac:dyDescent="0.2"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</row>
    <row r="811" spans="12:35" x14ac:dyDescent="0.2"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</row>
    <row r="812" spans="12:35" x14ac:dyDescent="0.2"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</row>
    <row r="813" spans="12:35" x14ac:dyDescent="0.2"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</row>
    <row r="814" spans="12:35" x14ac:dyDescent="0.2"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</row>
    <row r="815" spans="12:35" x14ac:dyDescent="0.2"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</row>
    <row r="816" spans="12:35" x14ac:dyDescent="0.2"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</row>
    <row r="817" spans="12:35" x14ac:dyDescent="0.2"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</row>
    <row r="818" spans="12:35" x14ac:dyDescent="0.2"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</row>
    <row r="819" spans="12:35" x14ac:dyDescent="0.2"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</row>
    <row r="820" spans="12:35" x14ac:dyDescent="0.2"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</row>
    <row r="821" spans="12:35" x14ac:dyDescent="0.2"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</row>
    <row r="822" spans="12:35" x14ac:dyDescent="0.2"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</row>
    <row r="823" spans="12:35" x14ac:dyDescent="0.2"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</row>
    <row r="824" spans="12:35" x14ac:dyDescent="0.2"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</row>
    <row r="825" spans="12:35" x14ac:dyDescent="0.2"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</row>
    <row r="826" spans="12:35" x14ac:dyDescent="0.2"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</row>
    <row r="827" spans="12:35" x14ac:dyDescent="0.2"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</row>
    <row r="828" spans="12:35" x14ac:dyDescent="0.2"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</row>
    <row r="829" spans="12:35" x14ac:dyDescent="0.2"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</row>
    <row r="830" spans="12:35" x14ac:dyDescent="0.2"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</row>
    <row r="831" spans="12:35" x14ac:dyDescent="0.2"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</row>
    <row r="832" spans="12:35" x14ac:dyDescent="0.2"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</row>
    <row r="833" spans="12:35" x14ac:dyDescent="0.2"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</row>
    <row r="834" spans="12:35" x14ac:dyDescent="0.2"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</row>
    <row r="835" spans="12:35" x14ac:dyDescent="0.2"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</row>
    <row r="836" spans="12:35" x14ac:dyDescent="0.2"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</row>
    <row r="837" spans="12:35" x14ac:dyDescent="0.2"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</row>
    <row r="838" spans="12:35" x14ac:dyDescent="0.2"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</row>
    <row r="839" spans="12:35" x14ac:dyDescent="0.2"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</row>
    <row r="840" spans="12:35" x14ac:dyDescent="0.2"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</row>
    <row r="841" spans="12:35" x14ac:dyDescent="0.2"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</row>
    <row r="842" spans="12:35" x14ac:dyDescent="0.2"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</row>
    <row r="843" spans="12:35" x14ac:dyDescent="0.2"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</row>
    <row r="844" spans="12:35" x14ac:dyDescent="0.2"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</row>
    <row r="845" spans="12:35" x14ac:dyDescent="0.2"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</row>
    <row r="846" spans="12:35" x14ac:dyDescent="0.2"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</row>
    <row r="847" spans="12:35" x14ac:dyDescent="0.2"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</row>
    <row r="848" spans="12:35" x14ac:dyDescent="0.2"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</row>
    <row r="849" spans="12:35" x14ac:dyDescent="0.2"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</row>
    <row r="850" spans="12:35" x14ac:dyDescent="0.2"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</row>
    <row r="851" spans="12:35" x14ac:dyDescent="0.2"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</row>
    <row r="852" spans="12:35" x14ac:dyDescent="0.2"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</row>
    <row r="853" spans="12:35" x14ac:dyDescent="0.2"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</row>
    <row r="854" spans="12:35" x14ac:dyDescent="0.2"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</row>
    <row r="855" spans="12:35" x14ac:dyDescent="0.2"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</row>
    <row r="856" spans="12:35" x14ac:dyDescent="0.2"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</row>
    <row r="857" spans="12:35" x14ac:dyDescent="0.2"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</row>
    <row r="858" spans="12:35" x14ac:dyDescent="0.2"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</row>
    <row r="859" spans="12:35" x14ac:dyDescent="0.2"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</row>
    <row r="860" spans="12:35" x14ac:dyDescent="0.2"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</row>
    <row r="861" spans="12:35" x14ac:dyDescent="0.2"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</row>
    <row r="862" spans="12:35" x14ac:dyDescent="0.2"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</row>
    <row r="863" spans="12:35" x14ac:dyDescent="0.2"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</row>
    <row r="864" spans="12:35" x14ac:dyDescent="0.2"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</row>
    <row r="865" spans="12:35" x14ac:dyDescent="0.2"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</row>
    <row r="866" spans="12:35" x14ac:dyDescent="0.2"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</row>
    <row r="867" spans="12:35" x14ac:dyDescent="0.2"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</row>
    <row r="868" spans="12:35" x14ac:dyDescent="0.2"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</row>
    <row r="869" spans="12:35" x14ac:dyDescent="0.2"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</row>
    <row r="870" spans="12:35" x14ac:dyDescent="0.2"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</row>
    <row r="871" spans="12:35" x14ac:dyDescent="0.2"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</row>
    <row r="872" spans="12:35" x14ac:dyDescent="0.2"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</row>
    <row r="873" spans="12:35" x14ac:dyDescent="0.2"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</row>
    <row r="874" spans="12:35" x14ac:dyDescent="0.2"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</row>
    <row r="875" spans="12:35" x14ac:dyDescent="0.2"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</row>
    <row r="876" spans="12:35" x14ac:dyDescent="0.2"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</row>
    <row r="877" spans="12:35" x14ac:dyDescent="0.2"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</row>
    <row r="878" spans="12:35" x14ac:dyDescent="0.2"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</row>
    <row r="879" spans="12:35" x14ac:dyDescent="0.2"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</row>
    <row r="880" spans="12:35" x14ac:dyDescent="0.2"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</row>
    <row r="881" spans="12:35" x14ac:dyDescent="0.2"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</row>
    <row r="882" spans="12:35" x14ac:dyDescent="0.2"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</row>
    <row r="883" spans="12:35" x14ac:dyDescent="0.2"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</row>
    <row r="884" spans="12:35" x14ac:dyDescent="0.2"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</row>
    <row r="885" spans="12:35" x14ac:dyDescent="0.2"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</row>
    <row r="886" spans="12:35" x14ac:dyDescent="0.2"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</row>
    <row r="887" spans="12:35" x14ac:dyDescent="0.2"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</row>
    <row r="888" spans="12:35" x14ac:dyDescent="0.2"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</row>
    <row r="889" spans="12:35" x14ac:dyDescent="0.2"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</row>
    <row r="890" spans="12:35" x14ac:dyDescent="0.2"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</row>
    <row r="891" spans="12:35" x14ac:dyDescent="0.2"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</row>
    <row r="892" spans="12:35" x14ac:dyDescent="0.2"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</row>
    <row r="893" spans="12:35" x14ac:dyDescent="0.2"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</row>
    <row r="894" spans="12:35" x14ac:dyDescent="0.2"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</row>
    <row r="895" spans="12:35" x14ac:dyDescent="0.2"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</row>
    <row r="896" spans="12:35" x14ac:dyDescent="0.2"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</row>
    <row r="897" spans="12:35" x14ac:dyDescent="0.2"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</row>
    <row r="898" spans="12:35" x14ac:dyDescent="0.2"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</row>
    <row r="899" spans="12:35" x14ac:dyDescent="0.2"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</row>
    <row r="900" spans="12:35" x14ac:dyDescent="0.2"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</row>
    <row r="901" spans="12:35" x14ac:dyDescent="0.2"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</row>
    <row r="902" spans="12:35" x14ac:dyDescent="0.2"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</row>
    <row r="903" spans="12:35" x14ac:dyDescent="0.2"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</row>
    <row r="904" spans="12:35" x14ac:dyDescent="0.2"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</row>
    <row r="905" spans="12:35" x14ac:dyDescent="0.2"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</row>
    <row r="906" spans="12:35" x14ac:dyDescent="0.2"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</row>
    <row r="907" spans="12:35" x14ac:dyDescent="0.2"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</row>
    <row r="908" spans="12:35" x14ac:dyDescent="0.2"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</row>
    <row r="909" spans="12:35" x14ac:dyDescent="0.2"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</row>
    <row r="910" spans="12:35" x14ac:dyDescent="0.2"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</row>
    <row r="911" spans="12:35" x14ac:dyDescent="0.2"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</row>
    <row r="912" spans="12:35" x14ac:dyDescent="0.2"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</row>
    <row r="913" spans="12:35" x14ac:dyDescent="0.2"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</row>
    <row r="914" spans="12:35" x14ac:dyDescent="0.2"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</row>
    <row r="915" spans="12:35" x14ac:dyDescent="0.2"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</row>
    <row r="916" spans="12:35" x14ac:dyDescent="0.2"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</row>
    <row r="917" spans="12:35" x14ac:dyDescent="0.2"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</row>
    <row r="918" spans="12:35" x14ac:dyDescent="0.2"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</row>
    <row r="919" spans="12:35" x14ac:dyDescent="0.2"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</row>
    <row r="920" spans="12:35" x14ac:dyDescent="0.2"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</row>
    <row r="921" spans="12:35" x14ac:dyDescent="0.2"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</row>
    <row r="922" spans="12:35" x14ac:dyDescent="0.2"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</row>
    <row r="923" spans="12:35" x14ac:dyDescent="0.2"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</row>
    <row r="924" spans="12:35" x14ac:dyDescent="0.2"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</row>
    <row r="925" spans="12:35" x14ac:dyDescent="0.2"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</row>
    <row r="926" spans="12:35" x14ac:dyDescent="0.2"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</row>
    <row r="927" spans="12:35" x14ac:dyDescent="0.2"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</row>
    <row r="928" spans="12:35" x14ac:dyDescent="0.2"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</row>
    <row r="929" spans="12:35" x14ac:dyDescent="0.2"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</row>
    <row r="930" spans="12:35" x14ac:dyDescent="0.2"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</row>
    <row r="931" spans="12:35" x14ac:dyDescent="0.2"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</row>
    <row r="932" spans="12:35" x14ac:dyDescent="0.2"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</row>
    <row r="933" spans="12:35" x14ac:dyDescent="0.2"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</row>
    <row r="934" spans="12:35" x14ac:dyDescent="0.2"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</row>
    <row r="935" spans="12:35" x14ac:dyDescent="0.2"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</row>
    <row r="936" spans="12:35" x14ac:dyDescent="0.2"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</row>
    <row r="937" spans="12:35" x14ac:dyDescent="0.2"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</row>
    <row r="938" spans="12:35" x14ac:dyDescent="0.2"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</row>
    <row r="939" spans="12:35" x14ac:dyDescent="0.2"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</row>
    <row r="940" spans="12:35" x14ac:dyDescent="0.2"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</row>
    <row r="941" spans="12:35" x14ac:dyDescent="0.2"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</row>
    <row r="942" spans="12:35" x14ac:dyDescent="0.2"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</row>
    <row r="943" spans="12:35" x14ac:dyDescent="0.2"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</row>
    <row r="944" spans="12:35" x14ac:dyDescent="0.2"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</row>
    <row r="945" spans="12:35" x14ac:dyDescent="0.2"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</row>
    <row r="946" spans="12:35" x14ac:dyDescent="0.2"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</row>
    <row r="947" spans="12:35" x14ac:dyDescent="0.2"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</row>
    <row r="948" spans="12:35" x14ac:dyDescent="0.2"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</row>
    <row r="949" spans="12:35" x14ac:dyDescent="0.2"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</row>
    <row r="950" spans="12:35" x14ac:dyDescent="0.2"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</row>
    <row r="951" spans="12:35" x14ac:dyDescent="0.2"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</row>
    <row r="952" spans="12:35" x14ac:dyDescent="0.2"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</row>
    <row r="953" spans="12:35" x14ac:dyDescent="0.2"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</row>
    <row r="954" spans="12:35" x14ac:dyDescent="0.2"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</row>
    <row r="955" spans="12:35" x14ac:dyDescent="0.2"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</row>
    <row r="956" spans="12:35" x14ac:dyDescent="0.2"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</row>
    <row r="957" spans="12:35" x14ac:dyDescent="0.2"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</row>
    <row r="958" spans="12:35" x14ac:dyDescent="0.2"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</row>
    <row r="959" spans="12:35" x14ac:dyDescent="0.2"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</row>
    <row r="960" spans="12:35" x14ac:dyDescent="0.2"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</row>
    <row r="961" spans="12:35" x14ac:dyDescent="0.2"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</row>
    <row r="962" spans="12:35" x14ac:dyDescent="0.2"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</row>
    <row r="963" spans="12:35" x14ac:dyDescent="0.2"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</row>
    <row r="964" spans="12:35" x14ac:dyDescent="0.2"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</row>
    <row r="965" spans="12:35" x14ac:dyDescent="0.2"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</row>
    <row r="966" spans="12:35" x14ac:dyDescent="0.2"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</row>
    <row r="967" spans="12:35" x14ac:dyDescent="0.2"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</row>
    <row r="968" spans="12:35" x14ac:dyDescent="0.2"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</row>
    <row r="969" spans="12:35" x14ac:dyDescent="0.2"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</row>
    <row r="970" spans="12:35" x14ac:dyDescent="0.2"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</row>
    <row r="971" spans="12:35" x14ac:dyDescent="0.2"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</row>
    <row r="972" spans="12:35" x14ac:dyDescent="0.2"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</row>
    <row r="973" spans="12:35" x14ac:dyDescent="0.2"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</row>
    <row r="974" spans="12:35" x14ac:dyDescent="0.2"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</row>
    <row r="975" spans="12:35" x14ac:dyDescent="0.2"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</row>
    <row r="976" spans="12:35" x14ac:dyDescent="0.2"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</row>
    <row r="977" spans="12:35" x14ac:dyDescent="0.2"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</row>
    <row r="978" spans="12:35" x14ac:dyDescent="0.2"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</row>
    <row r="979" spans="12:35" x14ac:dyDescent="0.2"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</row>
    <row r="980" spans="12:35" x14ac:dyDescent="0.2"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</row>
    <row r="981" spans="12:35" x14ac:dyDescent="0.2"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</row>
    <row r="982" spans="12:35" x14ac:dyDescent="0.2"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</row>
    <row r="983" spans="12:35" x14ac:dyDescent="0.2"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</row>
    <row r="984" spans="12:35" x14ac:dyDescent="0.2"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</row>
    <row r="985" spans="12:35" x14ac:dyDescent="0.2"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</row>
    <row r="986" spans="12:35" x14ac:dyDescent="0.2"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</row>
    <row r="987" spans="12:35" x14ac:dyDescent="0.2"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</row>
    <row r="988" spans="12:35" x14ac:dyDescent="0.2"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</row>
    <row r="989" spans="12:35" x14ac:dyDescent="0.2"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</row>
    <row r="990" spans="12:35" x14ac:dyDescent="0.2"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</row>
    <row r="991" spans="12:35" x14ac:dyDescent="0.2"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</row>
    <row r="992" spans="12:35" x14ac:dyDescent="0.2"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</row>
    <row r="993" spans="12:35" x14ac:dyDescent="0.2"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</row>
    <row r="994" spans="12:35" x14ac:dyDescent="0.2"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</row>
    <row r="995" spans="12:35" x14ac:dyDescent="0.2"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</row>
    <row r="996" spans="12:35" x14ac:dyDescent="0.2"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</row>
    <row r="997" spans="12:35" x14ac:dyDescent="0.2"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</row>
    <row r="998" spans="12:35" x14ac:dyDescent="0.2"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</row>
    <row r="999" spans="12:35" x14ac:dyDescent="0.2"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</row>
    <row r="1000" spans="12:35" x14ac:dyDescent="0.2"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</row>
    <row r="1001" spans="12:35" x14ac:dyDescent="0.2"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</row>
    <row r="1002" spans="12:35" x14ac:dyDescent="0.2"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</row>
    <row r="1003" spans="12:35" x14ac:dyDescent="0.2"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</row>
    <row r="1004" spans="12:35" x14ac:dyDescent="0.2"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</row>
    <row r="1005" spans="12:35" x14ac:dyDescent="0.2"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</row>
    <row r="1006" spans="12:35" x14ac:dyDescent="0.2"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</row>
    <row r="1007" spans="12:35" x14ac:dyDescent="0.2"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</row>
    <row r="1008" spans="12:35" x14ac:dyDescent="0.2"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</row>
    <row r="1009" spans="12:35" x14ac:dyDescent="0.2"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</row>
    <row r="1010" spans="12:35" x14ac:dyDescent="0.2"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</row>
    <row r="1011" spans="12:35" x14ac:dyDescent="0.2"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</row>
    <row r="1012" spans="12:35" x14ac:dyDescent="0.2"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</row>
    <row r="1013" spans="12:35" x14ac:dyDescent="0.2"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</row>
    <row r="1014" spans="12:35" x14ac:dyDescent="0.2"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</row>
    <row r="1015" spans="12:35" x14ac:dyDescent="0.2"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</row>
    <row r="1016" spans="12:35" x14ac:dyDescent="0.2"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</row>
    <row r="1017" spans="12:35" x14ac:dyDescent="0.2"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</row>
    <row r="1018" spans="12:35" x14ac:dyDescent="0.2"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</row>
    <row r="1019" spans="12:35" x14ac:dyDescent="0.2"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</row>
    <row r="1020" spans="12:35" x14ac:dyDescent="0.2"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</row>
    <row r="1021" spans="12:35" x14ac:dyDescent="0.2"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</row>
    <row r="1022" spans="12:35" x14ac:dyDescent="0.2"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</row>
    <row r="1023" spans="12:35" x14ac:dyDescent="0.2"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</row>
    <row r="1024" spans="12:35" x14ac:dyDescent="0.2"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</row>
    <row r="1025" spans="12:35" x14ac:dyDescent="0.2"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</row>
    <row r="1026" spans="12:35" x14ac:dyDescent="0.2"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</row>
    <row r="1027" spans="12:35" x14ac:dyDescent="0.2"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</row>
    <row r="1028" spans="12:35" x14ac:dyDescent="0.2"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</row>
    <row r="1029" spans="12:35" x14ac:dyDescent="0.2"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</row>
    <row r="1030" spans="12:35" x14ac:dyDescent="0.2"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</row>
    <row r="1031" spans="12:35" x14ac:dyDescent="0.2"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</row>
    <row r="1032" spans="12:35" x14ac:dyDescent="0.2"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</row>
    <row r="1033" spans="12:35" x14ac:dyDescent="0.2"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</row>
    <row r="1034" spans="12:35" x14ac:dyDescent="0.2"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</row>
    <row r="1035" spans="12:35" x14ac:dyDescent="0.2"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</row>
    <row r="1036" spans="12:35" x14ac:dyDescent="0.2"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</row>
    <row r="1037" spans="12:35" x14ac:dyDescent="0.2"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</row>
    <row r="1038" spans="12:35" x14ac:dyDescent="0.2"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</row>
    <row r="1039" spans="12:35" x14ac:dyDescent="0.2"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</row>
    <row r="1040" spans="12:35" x14ac:dyDescent="0.2"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</row>
    <row r="1041" spans="12:35" x14ac:dyDescent="0.2"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</row>
    <row r="1042" spans="12:35" x14ac:dyDescent="0.2"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</row>
    <row r="1043" spans="12:35" x14ac:dyDescent="0.2"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</row>
    <row r="1044" spans="12:35" x14ac:dyDescent="0.2"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</row>
    <row r="1045" spans="12:35" x14ac:dyDescent="0.2"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</row>
    <row r="1046" spans="12:35" x14ac:dyDescent="0.2"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</row>
    <row r="1047" spans="12:35" x14ac:dyDescent="0.2"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</row>
    <row r="1048" spans="12:35" x14ac:dyDescent="0.2"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</row>
    <row r="1049" spans="12:35" x14ac:dyDescent="0.2"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</row>
    <row r="1050" spans="12:35" x14ac:dyDescent="0.2"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</row>
    <row r="1051" spans="12:35" x14ac:dyDescent="0.2"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</row>
    <row r="1052" spans="12:35" x14ac:dyDescent="0.2"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</row>
    <row r="1053" spans="12:35" x14ac:dyDescent="0.2"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</row>
    <row r="1054" spans="12:35" x14ac:dyDescent="0.2"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</row>
    <row r="1055" spans="12:35" x14ac:dyDescent="0.2"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</row>
    <row r="1056" spans="12:35" x14ac:dyDescent="0.2"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</row>
    <row r="1057" spans="12:35" x14ac:dyDescent="0.2"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</row>
    <row r="1058" spans="12:35" x14ac:dyDescent="0.2"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</row>
    <row r="1059" spans="12:35" x14ac:dyDescent="0.2"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</row>
    <row r="1060" spans="12:35" x14ac:dyDescent="0.2"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</row>
    <row r="1061" spans="12:35" x14ac:dyDescent="0.2"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</row>
    <row r="1062" spans="12:35" x14ac:dyDescent="0.2"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</row>
    <row r="1063" spans="12:35" x14ac:dyDescent="0.2"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</row>
    <row r="1064" spans="12:35" x14ac:dyDescent="0.2"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</row>
    <row r="1065" spans="12:35" x14ac:dyDescent="0.2"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</row>
    <row r="1066" spans="12:35" x14ac:dyDescent="0.2"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</row>
    <row r="1067" spans="12:35" x14ac:dyDescent="0.2"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</row>
    <row r="1068" spans="12:35" x14ac:dyDescent="0.2"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</row>
    <row r="1069" spans="12:35" x14ac:dyDescent="0.2"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</row>
    <row r="1070" spans="12:35" x14ac:dyDescent="0.2"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</row>
    <row r="1071" spans="12:35" x14ac:dyDescent="0.2"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</row>
    <row r="1072" spans="12:35" x14ac:dyDescent="0.2"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</row>
    <row r="1073" spans="12:35" x14ac:dyDescent="0.2"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</row>
    <row r="1074" spans="12:35" x14ac:dyDescent="0.2"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</row>
    <row r="1075" spans="12:35" x14ac:dyDescent="0.2"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</row>
    <row r="1076" spans="12:35" x14ac:dyDescent="0.2"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</row>
    <row r="1077" spans="12:35" x14ac:dyDescent="0.2"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</row>
    <row r="1078" spans="12:35" x14ac:dyDescent="0.2"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</row>
    <row r="1079" spans="12:35" x14ac:dyDescent="0.2"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</row>
    <row r="1080" spans="12:35" x14ac:dyDescent="0.2"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</row>
    <row r="1081" spans="12:35" x14ac:dyDescent="0.2"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</row>
    <row r="1082" spans="12:35" x14ac:dyDescent="0.2"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</row>
    <row r="1083" spans="12:35" x14ac:dyDescent="0.2"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</row>
    <row r="1084" spans="12:35" x14ac:dyDescent="0.2"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</row>
    <row r="1085" spans="12:35" x14ac:dyDescent="0.2"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</row>
    <row r="1086" spans="12:35" x14ac:dyDescent="0.2"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</row>
    <row r="1087" spans="12:35" x14ac:dyDescent="0.2"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</row>
    <row r="1088" spans="12:35" x14ac:dyDescent="0.2"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</row>
    <row r="1089" spans="12:35" x14ac:dyDescent="0.2"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</row>
    <row r="1090" spans="12:35" x14ac:dyDescent="0.2"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</row>
    <row r="1091" spans="12:35" x14ac:dyDescent="0.2"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</row>
    <row r="1092" spans="12:35" x14ac:dyDescent="0.2"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</row>
    <row r="1093" spans="12:35" x14ac:dyDescent="0.2"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</row>
    <row r="1094" spans="12:35" x14ac:dyDescent="0.2"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</row>
    <row r="1095" spans="12:35" x14ac:dyDescent="0.2"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</row>
    <row r="1096" spans="12:35" x14ac:dyDescent="0.2"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</row>
    <row r="1097" spans="12:35" x14ac:dyDescent="0.2"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</row>
    <row r="1098" spans="12:35" x14ac:dyDescent="0.2"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</row>
    <row r="1099" spans="12:35" x14ac:dyDescent="0.2"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</row>
    <row r="1100" spans="12:35" x14ac:dyDescent="0.2"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</row>
    <row r="1101" spans="12:35" x14ac:dyDescent="0.2"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</row>
    <row r="1102" spans="12:35" x14ac:dyDescent="0.2"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</row>
    <row r="1103" spans="12:35" x14ac:dyDescent="0.2"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</row>
    <row r="1104" spans="12:35" x14ac:dyDescent="0.2"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</row>
    <row r="1105" spans="12:35" x14ac:dyDescent="0.2"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</row>
    <row r="1106" spans="12:35" x14ac:dyDescent="0.2"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</row>
    <row r="1107" spans="12:35" x14ac:dyDescent="0.2"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</row>
    <row r="1108" spans="12:35" x14ac:dyDescent="0.2"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</row>
    <row r="1109" spans="12:35" x14ac:dyDescent="0.2"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</row>
    <row r="1110" spans="12:35" x14ac:dyDescent="0.2"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</row>
    <row r="1111" spans="12:35" x14ac:dyDescent="0.2"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</row>
    <row r="1112" spans="12:35" x14ac:dyDescent="0.2"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</row>
    <row r="1113" spans="12:35" x14ac:dyDescent="0.2"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</row>
    <row r="1114" spans="12:35" x14ac:dyDescent="0.2"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</row>
    <row r="1115" spans="12:35" x14ac:dyDescent="0.2"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</row>
    <row r="1116" spans="12:35" x14ac:dyDescent="0.2"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</row>
    <row r="1117" spans="12:35" x14ac:dyDescent="0.2"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</row>
    <row r="1118" spans="12:35" x14ac:dyDescent="0.2"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</row>
    <row r="1119" spans="12:35" x14ac:dyDescent="0.2"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</row>
    <row r="1120" spans="12:35" x14ac:dyDescent="0.2"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</row>
    <row r="1121" spans="12:35" x14ac:dyDescent="0.2"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</row>
    <row r="1122" spans="12:35" x14ac:dyDescent="0.2"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</row>
    <row r="1123" spans="12:35" x14ac:dyDescent="0.2"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</row>
    <row r="1124" spans="12:35" x14ac:dyDescent="0.2"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</row>
    <row r="1125" spans="12:35" x14ac:dyDescent="0.2"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</row>
    <row r="1126" spans="12:35" x14ac:dyDescent="0.2"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</row>
    <row r="1127" spans="12:35" x14ac:dyDescent="0.2"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</row>
    <row r="1128" spans="12:35" x14ac:dyDescent="0.2"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</row>
    <row r="1129" spans="12:35" x14ac:dyDescent="0.2"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</row>
    <row r="1130" spans="12:35" x14ac:dyDescent="0.2"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</row>
    <row r="1131" spans="12:35" x14ac:dyDescent="0.2"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</row>
    <row r="1132" spans="12:35" x14ac:dyDescent="0.2"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</row>
    <row r="1133" spans="12:35" x14ac:dyDescent="0.2"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</row>
    <row r="1134" spans="12:35" x14ac:dyDescent="0.2"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</row>
    <row r="1135" spans="12:35" x14ac:dyDescent="0.2"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</row>
    <row r="1136" spans="12:35" x14ac:dyDescent="0.2"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</row>
    <row r="1137" spans="12:35" x14ac:dyDescent="0.2"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</row>
    <row r="1138" spans="12:35" x14ac:dyDescent="0.2"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</row>
    <row r="1139" spans="12:35" x14ac:dyDescent="0.2"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</row>
    <row r="1140" spans="12:35" x14ac:dyDescent="0.2"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</row>
    <row r="1141" spans="12:35" x14ac:dyDescent="0.2"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</row>
    <row r="1142" spans="12:35" x14ac:dyDescent="0.2"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</row>
    <row r="1143" spans="12:35" x14ac:dyDescent="0.2"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</row>
    <row r="1144" spans="12:35" x14ac:dyDescent="0.2"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</row>
    <row r="1145" spans="12:35" x14ac:dyDescent="0.2"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</row>
    <row r="1146" spans="12:35" x14ac:dyDescent="0.2"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</row>
    <row r="1147" spans="12:35" x14ac:dyDescent="0.2"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</row>
    <row r="1148" spans="12:35" x14ac:dyDescent="0.2"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</row>
    <row r="1149" spans="12:35" x14ac:dyDescent="0.2"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</row>
    <row r="1150" spans="12:35" x14ac:dyDescent="0.2"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</row>
    <row r="1151" spans="12:35" x14ac:dyDescent="0.2"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</row>
    <row r="1152" spans="12:35" x14ac:dyDescent="0.2"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</row>
    <row r="1153" spans="12:35" x14ac:dyDescent="0.2"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</row>
    <row r="1154" spans="12:35" x14ac:dyDescent="0.2"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</row>
    <row r="1155" spans="12:35" x14ac:dyDescent="0.2"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</row>
    <row r="1156" spans="12:35" x14ac:dyDescent="0.2"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</row>
    <row r="1157" spans="12:35" x14ac:dyDescent="0.2"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</row>
    <row r="1158" spans="12:35" x14ac:dyDescent="0.2"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</row>
    <row r="1159" spans="12:35" x14ac:dyDescent="0.2"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</row>
    <row r="1160" spans="12:35" x14ac:dyDescent="0.2"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</row>
    <row r="1161" spans="12:35" x14ac:dyDescent="0.2"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</row>
    <row r="1162" spans="12:35" x14ac:dyDescent="0.2"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</row>
    <row r="1163" spans="12:35" x14ac:dyDescent="0.2"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</row>
    <row r="1164" spans="12:35" x14ac:dyDescent="0.2"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</row>
    <row r="1165" spans="12:35" x14ac:dyDescent="0.2"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</row>
    <row r="1166" spans="12:35" x14ac:dyDescent="0.2"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</row>
    <row r="1167" spans="12:35" x14ac:dyDescent="0.2"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</row>
    <row r="1168" spans="12:35" x14ac:dyDescent="0.2"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</row>
    <row r="1169" spans="12:35" x14ac:dyDescent="0.2"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</row>
    <row r="1170" spans="12:35" x14ac:dyDescent="0.2"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</row>
    <row r="1171" spans="12:35" x14ac:dyDescent="0.2"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</row>
    <row r="1172" spans="12:35" x14ac:dyDescent="0.2"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</row>
    <row r="1173" spans="12:35" x14ac:dyDescent="0.2"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</row>
    <row r="1174" spans="12:35" x14ac:dyDescent="0.2"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</row>
    <row r="1175" spans="12:35" x14ac:dyDescent="0.2"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</row>
    <row r="1176" spans="12:35" x14ac:dyDescent="0.2"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</row>
    <row r="1177" spans="12:35" x14ac:dyDescent="0.2"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</row>
    <row r="1178" spans="12:35" x14ac:dyDescent="0.2"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</row>
    <row r="1179" spans="12:35" x14ac:dyDescent="0.2"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</row>
    <row r="1180" spans="12:35" x14ac:dyDescent="0.2"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</row>
    <row r="1181" spans="12:35" x14ac:dyDescent="0.2"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</row>
    <row r="1182" spans="12:35" x14ac:dyDescent="0.2"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</row>
    <row r="1183" spans="12:35" x14ac:dyDescent="0.2"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</row>
    <row r="1184" spans="12:35" x14ac:dyDescent="0.2"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</row>
    <row r="1185" spans="12:35" x14ac:dyDescent="0.2"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</row>
    <row r="1186" spans="12:35" x14ac:dyDescent="0.2"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</row>
    <row r="1187" spans="12:35" x14ac:dyDescent="0.2"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</row>
    <row r="1188" spans="12:35" x14ac:dyDescent="0.2"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</row>
    <row r="1189" spans="12:35" x14ac:dyDescent="0.2"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</row>
    <row r="1190" spans="12:35" x14ac:dyDescent="0.2"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</row>
    <row r="1191" spans="12:35" x14ac:dyDescent="0.2"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</row>
    <row r="1192" spans="12:35" x14ac:dyDescent="0.2"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</row>
    <row r="1193" spans="12:35" x14ac:dyDescent="0.2"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</row>
    <row r="1194" spans="12:35" x14ac:dyDescent="0.2"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</row>
    <row r="1195" spans="12:35" x14ac:dyDescent="0.2"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</row>
    <row r="1196" spans="12:35" x14ac:dyDescent="0.2"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</row>
    <row r="1197" spans="12:35" x14ac:dyDescent="0.2"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</row>
    <row r="1198" spans="12:35" x14ac:dyDescent="0.2"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</row>
    <row r="1199" spans="12:35" x14ac:dyDescent="0.2"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</row>
    <row r="1200" spans="12:35" x14ac:dyDescent="0.2"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</row>
    <row r="1201" spans="12:35" x14ac:dyDescent="0.2"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</row>
    <row r="1202" spans="12:35" x14ac:dyDescent="0.2"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</row>
    <row r="1203" spans="12:35" x14ac:dyDescent="0.2"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</row>
    <row r="1204" spans="12:35" x14ac:dyDescent="0.2"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</row>
    <row r="1205" spans="12:35" x14ac:dyDescent="0.2"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</row>
    <row r="1206" spans="12:35" x14ac:dyDescent="0.2"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</row>
    <row r="1207" spans="12:35" x14ac:dyDescent="0.2"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</row>
    <row r="1208" spans="12:35" x14ac:dyDescent="0.2"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</row>
    <row r="1209" spans="12:35" x14ac:dyDescent="0.2"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</row>
    <row r="1210" spans="12:35" x14ac:dyDescent="0.2"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</row>
    <row r="1211" spans="12:35" x14ac:dyDescent="0.2"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</row>
    <row r="1212" spans="12:35" x14ac:dyDescent="0.2"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</row>
    <row r="1213" spans="12:35" x14ac:dyDescent="0.2"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</row>
    <row r="1214" spans="12:35" x14ac:dyDescent="0.2"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</row>
    <row r="1215" spans="12:35" x14ac:dyDescent="0.2"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</row>
    <row r="1216" spans="12:35" x14ac:dyDescent="0.2"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</row>
    <row r="1217" spans="12:35" x14ac:dyDescent="0.2"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</row>
    <row r="1218" spans="12:35" x14ac:dyDescent="0.2"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</row>
    <row r="1219" spans="12:35" x14ac:dyDescent="0.2"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</row>
    <row r="1220" spans="12:35" x14ac:dyDescent="0.2"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</row>
    <row r="1221" spans="12:35" x14ac:dyDescent="0.2"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</row>
    <row r="1222" spans="12:35" x14ac:dyDescent="0.2"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</row>
    <row r="1223" spans="12:35" x14ac:dyDescent="0.2"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</row>
    <row r="1224" spans="12:35" x14ac:dyDescent="0.2"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</row>
    <row r="1225" spans="12:35" x14ac:dyDescent="0.2"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</row>
    <row r="1226" spans="12:35" x14ac:dyDescent="0.2"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</row>
    <row r="1227" spans="12:35" x14ac:dyDescent="0.2"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</row>
    <row r="1228" spans="12:35" x14ac:dyDescent="0.2"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</row>
    <row r="1229" spans="12:35" x14ac:dyDescent="0.2"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</row>
    <row r="1230" spans="12:35" x14ac:dyDescent="0.2"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</row>
    <row r="1231" spans="12:35" x14ac:dyDescent="0.2"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</row>
    <row r="1232" spans="12:35" x14ac:dyDescent="0.2"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</row>
    <row r="1233" spans="12:35" x14ac:dyDescent="0.2"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</row>
    <row r="1234" spans="12:35" x14ac:dyDescent="0.2"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</row>
    <row r="1235" spans="12:35" x14ac:dyDescent="0.2"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</row>
    <row r="1236" spans="12:35" x14ac:dyDescent="0.2"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</row>
    <row r="1237" spans="12:35" x14ac:dyDescent="0.2"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</row>
    <row r="1238" spans="12:35" x14ac:dyDescent="0.2"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</row>
    <row r="1239" spans="12:35" x14ac:dyDescent="0.2"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</row>
    <row r="1240" spans="12:35" x14ac:dyDescent="0.2"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</row>
    <row r="1241" spans="12:35" x14ac:dyDescent="0.2"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</row>
    <row r="1242" spans="12:35" x14ac:dyDescent="0.2"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</row>
    <row r="1243" spans="12:35" x14ac:dyDescent="0.2"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</row>
    <row r="1244" spans="12:35" x14ac:dyDescent="0.2"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</row>
    <row r="1245" spans="12:35" x14ac:dyDescent="0.2"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</row>
    <row r="1246" spans="12:35" x14ac:dyDescent="0.2"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</row>
    <row r="1247" spans="12:35" x14ac:dyDescent="0.2"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</row>
    <row r="1248" spans="12:35" x14ac:dyDescent="0.2"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</row>
    <row r="1249" spans="12:35" x14ac:dyDescent="0.2"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</row>
    <row r="1250" spans="12:35" x14ac:dyDescent="0.2"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</row>
    <row r="1251" spans="12:35" x14ac:dyDescent="0.2"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</row>
    <row r="1252" spans="12:35" x14ac:dyDescent="0.2"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</row>
    <row r="1253" spans="12:35" x14ac:dyDescent="0.2"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</row>
    <row r="1254" spans="12:35" x14ac:dyDescent="0.2"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</row>
    <row r="1255" spans="12:35" x14ac:dyDescent="0.2"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</row>
    <row r="1256" spans="12:35" x14ac:dyDescent="0.2"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</row>
    <row r="1257" spans="12:35" x14ac:dyDescent="0.2"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</row>
    <row r="1258" spans="12:35" x14ac:dyDescent="0.2"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</row>
    <row r="1259" spans="12:35" x14ac:dyDescent="0.2"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</row>
    <row r="1260" spans="12:35" x14ac:dyDescent="0.2"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</row>
    <row r="1261" spans="12:35" x14ac:dyDescent="0.2"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</row>
    <row r="1262" spans="12:35" x14ac:dyDescent="0.2"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</row>
    <row r="1263" spans="12:35" x14ac:dyDescent="0.2"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</row>
    <row r="1264" spans="12:35" x14ac:dyDescent="0.2"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</row>
    <row r="1265" spans="12:35" x14ac:dyDescent="0.2"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</row>
    <row r="1266" spans="12:35" x14ac:dyDescent="0.2"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</row>
    <row r="1267" spans="12:35" x14ac:dyDescent="0.2"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</row>
    <row r="1268" spans="12:35" x14ac:dyDescent="0.2"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</row>
    <row r="1269" spans="12:35" x14ac:dyDescent="0.2"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</row>
    <row r="1270" spans="12:35" x14ac:dyDescent="0.2"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</row>
    <row r="1271" spans="12:35" x14ac:dyDescent="0.2"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</row>
    <row r="1272" spans="12:35" x14ac:dyDescent="0.2"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</row>
    <row r="1273" spans="12:35" x14ac:dyDescent="0.2"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</row>
    <row r="1274" spans="12:35" x14ac:dyDescent="0.2"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</row>
    <row r="1275" spans="12:35" x14ac:dyDescent="0.2"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</row>
    <row r="1276" spans="12:35" x14ac:dyDescent="0.2"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</row>
    <row r="1277" spans="12:35" x14ac:dyDescent="0.2"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</row>
    <row r="1278" spans="12:35" x14ac:dyDescent="0.2"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</row>
    <row r="1279" spans="12:35" x14ac:dyDescent="0.2"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</row>
    <row r="1280" spans="12:35" x14ac:dyDescent="0.2"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</row>
    <row r="1281" spans="12:35" x14ac:dyDescent="0.2"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</row>
    <row r="1282" spans="12:35" x14ac:dyDescent="0.2"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</row>
    <row r="1283" spans="12:35" x14ac:dyDescent="0.2"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</row>
    <row r="1284" spans="12:35" x14ac:dyDescent="0.2"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</row>
    <row r="1285" spans="12:35" x14ac:dyDescent="0.2"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</row>
    <row r="1286" spans="12:35" x14ac:dyDescent="0.2"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</row>
    <row r="1287" spans="12:35" x14ac:dyDescent="0.2"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</row>
    <row r="1288" spans="12:35" x14ac:dyDescent="0.2"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</row>
    <row r="1289" spans="12:35" x14ac:dyDescent="0.2"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</row>
    <row r="1290" spans="12:35" x14ac:dyDescent="0.2"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</row>
    <row r="1291" spans="12:35" x14ac:dyDescent="0.2"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</row>
    <row r="1292" spans="12:35" x14ac:dyDescent="0.2"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</row>
    <row r="1293" spans="12:35" x14ac:dyDescent="0.2"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</row>
    <row r="1294" spans="12:35" x14ac:dyDescent="0.2"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</row>
    <row r="1295" spans="12:35" x14ac:dyDescent="0.2"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</row>
    <row r="1296" spans="12:35" x14ac:dyDescent="0.2"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</row>
    <row r="1297" spans="12:35" x14ac:dyDescent="0.2"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</row>
    <row r="1298" spans="12:35" x14ac:dyDescent="0.2"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</row>
    <row r="1299" spans="12:35" x14ac:dyDescent="0.2"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</row>
    <row r="1300" spans="12:35" x14ac:dyDescent="0.2"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</row>
    <row r="1301" spans="12:35" x14ac:dyDescent="0.2"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</row>
    <row r="1302" spans="12:35" x14ac:dyDescent="0.2"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</row>
    <row r="1303" spans="12:35" x14ac:dyDescent="0.2"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</row>
    <row r="1304" spans="12:35" x14ac:dyDescent="0.2"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</row>
    <row r="1305" spans="12:35" x14ac:dyDescent="0.2"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</row>
    <row r="1306" spans="12:35" x14ac:dyDescent="0.2"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</row>
    <row r="1307" spans="12:35" x14ac:dyDescent="0.2"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</row>
    <row r="1308" spans="12:35" x14ac:dyDescent="0.2"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</row>
    <row r="1309" spans="12:35" x14ac:dyDescent="0.2"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</row>
    <row r="1310" spans="12:35" x14ac:dyDescent="0.2"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</row>
    <row r="1311" spans="12:35" x14ac:dyDescent="0.2"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</row>
    <row r="1312" spans="12:35" x14ac:dyDescent="0.2"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</row>
    <row r="1313" spans="12:35" x14ac:dyDescent="0.2"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</row>
    <row r="1314" spans="12:35" x14ac:dyDescent="0.2"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</row>
    <row r="1315" spans="12:35" x14ac:dyDescent="0.2"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</row>
    <row r="1316" spans="12:35" x14ac:dyDescent="0.2"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</row>
    <row r="1317" spans="12:35" x14ac:dyDescent="0.2"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</row>
    <row r="1318" spans="12:35" x14ac:dyDescent="0.2"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</row>
    <row r="1319" spans="12:35" x14ac:dyDescent="0.2"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</row>
    <row r="1320" spans="12:35" x14ac:dyDescent="0.2"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</row>
    <row r="1321" spans="12:35" x14ac:dyDescent="0.2"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</row>
    <row r="1322" spans="12:35" x14ac:dyDescent="0.2"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</row>
    <row r="1323" spans="12:35" x14ac:dyDescent="0.2"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</row>
    <row r="1324" spans="12:35" x14ac:dyDescent="0.2"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</row>
    <row r="1325" spans="12:35" x14ac:dyDescent="0.2"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</row>
    <row r="1326" spans="12:35" x14ac:dyDescent="0.2"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</row>
    <row r="1327" spans="12:35" x14ac:dyDescent="0.2"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</row>
    <row r="1328" spans="12:35" x14ac:dyDescent="0.2"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</row>
    <row r="1329" spans="12:35" x14ac:dyDescent="0.2"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</row>
    <row r="1330" spans="12:35" x14ac:dyDescent="0.2"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</row>
    <row r="1331" spans="12:35" x14ac:dyDescent="0.2"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</row>
    <row r="1332" spans="12:35" x14ac:dyDescent="0.2"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</row>
    <row r="1333" spans="12:35" x14ac:dyDescent="0.2"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</row>
    <row r="1334" spans="12:35" x14ac:dyDescent="0.2"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</row>
    <row r="1335" spans="12:35" x14ac:dyDescent="0.2"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</row>
    <row r="1336" spans="12:35" x14ac:dyDescent="0.2"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</row>
    <row r="1337" spans="12:35" x14ac:dyDescent="0.2"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</row>
    <row r="1338" spans="12:35" x14ac:dyDescent="0.2"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</row>
    <row r="1339" spans="12:35" x14ac:dyDescent="0.2"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</row>
    <row r="1340" spans="12:35" x14ac:dyDescent="0.2"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</row>
    <row r="1341" spans="12:35" x14ac:dyDescent="0.2"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</row>
    <row r="1342" spans="12:35" x14ac:dyDescent="0.2"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</row>
    <row r="1343" spans="12:35" x14ac:dyDescent="0.2"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</row>
    <row r="1344" spans="12:35" x14ac:dyDescent="0.2"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</row>
    <row r="1345" spans="12:35" x14ac:dyDescent="0.2"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</row>
    <row r="1346" spans="12:35" x14ac:dyDescent="0.2"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</row>
    <row r="1347" spans="12:35" x14ac:dyDescent="0.2"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</row>
    <row r="1348" spans="12:35" x14ac:dyDescent="0.2"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</row>
    <row r="1349" spans="12:35" x14ac:dyDescent="0.2"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</row>
    <row r="1350" spans="12:35" x14ac:dyDescent="0.2"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</row>
    <row r="1351" spans="12:35" x14ac:dyDescent="0.2"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</row>
    <row r="1352" spans="12:35" x14ac:dyDescent="0.2"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</row>
    <row r="1353" spans="12:35" x14ac:dyDescent="0.2"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</row>
    <row r="1354" spans="12:35" x14ac:dyDescent="0.2"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</row>
    <row r="1355" spans="12:35" x14ac:dyDescent="0.2"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</row>
    <row r="1356" spans="12:35" x14ac:dyDescent="0.2"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</row>
    <row r="1357" spans="12:35" x14ac:dyDescent="0.2"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</row>
    <row r="1358" spans="12:35" x14ac:dyDescent="0.2"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</row>
    <row r="1359" spans="12:35" x14ac:dyDescent="0.2"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</row>
    <row r="1360" spans="12:35" x14ac:dyDescent="0.2"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</row>
    <row r="1361" spans="12:13" x14ac:dyDescent="0.2">
      <c r="L1361" s="29"/>
      <c r="M1361" s="29"/>
    </row>
    <row r="1362" spans="12:13" x14ac:dyDescent="0.2">
      <c r="L1362" s="29"/>
      <c r="M1362" s="29"/>
    </row>
    <row r="1363" spans="12:13" x14ac:dyDescent="0.2">
      <c r="L1363" s="29"/>
      <c r="M1363" s="29"/>
    </row>
    <row r="1364" spans="12:13" x14ac:dyDescent="0.2">
      <c r="L1364" s="29"/>
      <c r="M1364" s="29"/>
    </row>
    <row r="1365" spans="12:13" x14ac:dyDescent="0.2">
      <c r="L1365" s="29"/>
      <c r="M1365" s="29"/>
    </row>
    <row r="1366" spans="12:13" x14ac:dyDescent="0.2">
      <c r="L1366" s="29"/>
      <c r="M1366" s="29"/>
    </row>
    <row r="1367" spans="12:13" x14ac:dyDescent="0.2">
      <c r="L1367" s="29"/>
      <c r="M1367" s="29"/>
    </row>
    <row r="1368" spans="12:13" x14ac:dyDescent="0.2">
      <c r="L1368" s="29"/>
      <c r="M1368" s="29"/>
    </row>
  </sheetData>
  <phoneticPr fontId="15" type="noConversion"/>
  <conditionalFormatting sqref="L3:L65">
    <cfRule type="cellIs" dxfId="8" priority="3" operator="equal">
      <formula>0</formula>
    </cfRule>
  </conditionalFormatting>
  <conditionalFormatting sqref="L3:L68">
    <cfRule type="colorScale" priority="22">
      <colorScale>
        <cfvo type="min"/>
        <cfvo type="max"/>
        <color rgb="FFFCFCFF"/>
        <color rgb="FF63BE7B"/>
      </colorScale>
    </cfRule>
  </conditionalFormatting>
  <conditionalFormatting sqref="M3:M82">
    <cfRule type="cellIs" dxfId="7" priority="1" operator="notEqual">
      <formula>1</formula>
    </cfRule>
    <cfRule type="cellIs" dxfId="6" priority="2" operator="equal">
      <formula>1</formula>
    </cfRule>
  </conditionalFormatting>
  <dataValidations count="1">
    <dataValidation type="list" allowBlank="1" showInputMessage="1" showErrorMessage="1" sqref="C3:C210" xr:uid="{2C79BE5C-1255-B445-831D-D5A07F20FEA1}">
      <formula1>"S, C"</formula1>
    </dataValidation>
  </dataValidations>
  <pageMargins left="0.7" right="0.7" top="0.75" bottom="0.75" header="0.3" footer="0.3"/>
  <ignoredErrors>
    <ignoredError sqref="B64:B65" numberStoredAsText="1"/>
    <ignoredError sqref="L2" calculatedColumn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70DF3B-48E4-F141-BBF9-BDACC006A34C}">
          <x14:formula1>
            <xm:f>Opaque_Materials!$A$3:$A$104</xm:f>
          </x14:formula1>
          <xm:sqref>D3:D210</xm:sqref>
        </x14:dataValidation>
        <x14:dataValidation type="list" allowBlank="1" showInputMessage="1" showErrorMessage="1" xr:uid="{9143A246-B165-E743-9A6A-05D46FF58EEE}">
          <x14:formula1>
            <xm:f>Opaque_Materials!$A$3:$A$120</xm:f>
          </x14:formula1>
          <xm:sqref>F3:F210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15D2-16E9-7846-829F-32BBBBE49450}">
  <dimension ref="A1:AW1048575"/>
  <sheetViews>
    <sheetView topLeftCell="A30" zoomScale="119" workbookViewId="0">
      <selection activeCell="B51" sqref="B51"/>
    </sheetView>
  </sheetViews>
  <sheetFormatPr baseColWidth="10" defaultColWidth="11" defaultRowHeight="15.75" customHeight="1" x14ac:dyDescent="0.2"/>
  <cols>
    <col min="1" max="1" width="55" bestFit="1" customWidth="1"/>
    <col min="2" max="2" width="61.5" bestFit="1" customWidth="1"/>
    <col min="3" max="3" width="61.5" customWidth="1"/>
    <col min="4" max="4" width="25.6640625" customWidth="1"/>
    <col min="5" max="5" width="16.33203125" customWidth="1"/>
    <col min="6" max="6" width="18.1640625" bestFit="1" customWidth="1"/>
    <col min="7" max="7" width="90.6640625" bestFit="1" customWidth="1"/>
    <col min="8" max="8" width="28.5" style="29" customWidth="1"/>
    <col min="9" max="49" width="11" style="29"/>
  </cols>
  <sheetData>
    <row r="1" spans="1:8" ht="16" x14ac:dyDescent="0.2">
      <c r="A1" s="98" t="s">
        <v>214</v>
      </c>
      <c r="B1" s="98" t="s">
        <v>39</v>
      </c>
      <c r="C1" s="98" t="s">
        <v>215</v>
      </c>
      <c r="D1" s="98" t="s">
        <v>216</v>
      </c>
      <c r="E1" s="98" t="s">
        <v>217</v>
      </c>
      <c r="F1" s="99" t="s">
        <v>5</v>
      </c>
      <c r="G1" s="99" t="s">
        <v>183</v>
      </c>
      <c r="H1" s="100" t="s">
        <v>218</v>
      </c>
    </row>
    <row r="2" spans="1:8" ht="79" customHeight="1" x14ac:dyDescent="0.2">
      <c r="A2" s="101" t="s">
        <v>219</v>
      </c>
      <c r="B2" s="101" t="s">
        <v>220</v>
      </c>
      <c r="C2" s="101" t="s">
        <v>221</v>
      </c>
      <c r="D2" s="101" t="s">
        <v>222</v>
      </c>
      <c r="E2" s="101" t="s">
        <v>223</v>
      </c>
      <c r="F2" s="56" t="s">
        <v>224</v>
      </c>
      <c r="G2" s="56" t="s">
        <v>225</v>
      </c>
      <c r="H2" s="55" t="s">
        <v>226</v>
      </c>
    </row>
    <row r="3" spans="1:8" ht="16" customHeight="1" x14ac:dyDescent="0.2">
      <c r="A3" s="102" t="str">
        <f>F3&amp;"_"&amp;C3&amp;"_"&amp;E3</f>
        <v>CMF_1950_ROOF_SKIN</v>
      </c>
      <c r="B3" s="73" t="s">
        <v>227</v>
      </c>
      <c r="C3" s="73" t="s">
        <v>6</v>
      </c>
      <c r="D3" s="103">
        <v>0</v>
      </c>
      <c r="E3" s="73" t="s">
        <v>228</v>
      </c>
      <c r="F3" s="73" t="s">
        <v>29</v>
      </c>
      <c r="G3" s="118" t="s">
        <v>229</v>
      </c>
      <c r="H3" s="44" cm="1">
        <f t="array" ref="H3">IF(SUMPRODUCT(--EXACT(B3,Layers!$A$3:$A$268))=0,"No match",SUMPRODUCT(--EXACT(B3,Layers!$A$3:$A$268)))</f>
        <v>1</v>
      </c>
    </row>
    <row r="4" spans="1:8" ht="16" customHeight="1" x14ac:dyDescent="0.2">
      <c r="A4" s="102" t="str">
        <f t="shared" ref="A4:A66" si="0">F4&amp;"_"&amp;C4&amp;"_"&amp;E4</f>
        <v>CMF_1950_ROOF_SKIN</v>
      </c>
      <c r="B4" s="73" t="s">
        <v>230</v>
      </c>
      <c r="C4" s="104" t="s">
        <v>6</v>
      </c>
      <c r="D4" s="103">
        <v>1</v>
      </c>
      <c r="E4" s="73" t="s">
        <v>228</v>
      </c>
      <c r="F4" s="73" t="s">
        <v>29</v>
      </c>
      <c r="G4" s="118"/>
      <c r="H4" s="44" cm="1">
        <f t="array" ref="H4">IF(SUMPRODUCT(--EXACT(B4,Layers!$A$3:$A$268))=0,"No match",SUMPRODUCT(--EXACT(B4,Layers!$A$3:$A$268)))</f>
        <v>1</v>
      </c>
    </row>
    <row r="5" spans="1:8" ht="17" customHeight="1" x14ac:dyDescent="0.2">
      <c r="A5" s="102" t="str">
        <f t="shared" si="0"/>
        <v>CMF_1950_ROOF_STRUCTURE</v>
      </c>
      <c r="B5" s="73" t="s">
        <v>231</v>
      </c>
      <c r="C5" s="104" t="s">
        <v>6</v>
      </c>
      <c r="D5" s="103">
        <v>0</v>
      </c>
      <c r="E5" s="73" t="s">
        <v>232</v>
      </c>
      <c r="F5" s="73" t="s">
        <v>29</v>
      </c>
      <c r="G5" s="119" t="s">
        <v>233</v>
      </c>
      <c r="H5" s="44" cm="1">
        <f t="array" ref="H5">IF(SUMPRODUCT(--EXACT(B5,Layers!$A$3:$A$268))=0,"No match",SUMPRODUCT(--EXACT(B5,Layers!$A$3:$A$268)))</f>
        <v>1</v>
      </c>
    </row>
    <row r="6" spans="1:8" ht="16" customHeight="1" x14ac:dyDescent="0.2">
      <c r="A6" s="102" t="str">
        <f t="shared" si="0"/>
        <v>CMF_1950_ROOF_STRUCTURE</v>
      </c>
      <c r="B6" s="73" t="s">
        <v>234</v>
      </c>
      <c r="C6" s="104" t="s">
        <v>6</v>
      </c>
      <c r="D6" s="103">
        <v>1</v>
      </c>
      <c r="E6" s="73" t="s">
        <v>232</v>
      </c>
      <c r="F6" s="73" t="s">
        <v>29</v>
      </c>
      <c r="G6" s="119"/>
      <c r="H6" s="44" cm="1">
        <f t="array" ref="H6">IF(SUMPRODUCT(--EXACT(B6,Layers!$A$3:$A$268))=0,"No match",SUMPRODUCT(--EXACT(B6,Layers!$A$3:$A$268)))</f>
        <v>1</v>
      </c>
    </row>
    <row r="7" spans="1:8" ht="16" customHeight="1" x14ac:dyDescent="0.2">
      <c r="A7" s="102" t="str">
        <f t="shared" si="0"/>
        <v>CMF_1950_TOP_FLOOR_SPACE</v>
      </c>
      <c r="B7" s="73" t="s">
        <v>235</v>
      </c>
      <c r="C7" s="73" t="s">
        <v>7</v>
      </c>
      <c r="D7" s="103">
        <v>0</v>
      </c>
      <c r="E7" s="73" t="s">
        <v>236</v>
      </c>
      <c r="F7" s="73" t="s">
        <v>29</v>
      </c>
      <c r="G7" s="118" t="s">
        <v>237</v>
      </c>
      <c r="H7" s="44" cm="1">
        <f t="array" ref="H7">IF(SUMPRODUCT(--EXACT(B7,Layers!$A$3:$A$268))=0,"No match",SUMPRODUCT(--EXACT(B7,Layers!$A$3:$A$268)))</f>
        <v>1</v>
      </c>
    </row>
    <row r="8" spans="1:8" ht="16" customHeight="1" x14ac:dyDescent="0.2">
      <c r="A8" s="102" t="str">
        <f t="shared" si="0"/>
        <v>CMF_1950_TOP_FLOOR_SPACE</v>
      </c>
      <c r="B8" s="73" t="s">
        <v>238</v>
      </c>
      <c r="C8" s="73" t="s">
        <v>7</v>
      </c>
      <c r="D8" s="103">
        <v>1</v>
      </c>
      <c r="E8" s="73" t="s">
        <v>236</v>
      </c>
      <c r="F8" s="73" t="s">
        <v>29</v>
      </c>
      <c r="G8" s="118"/>
      <c r="H8" s="44" cm="1">
        <f t="array" ref="H8">IF(SUMPRODUCT(--EXACT(B8,Layers!$A$3:$A$268))=0,"No match",SUMPRODUCT(--EXACT(B8,Layers!$A$3:$A$268)))</f>
        <v>1</v>
      </c>
    </row>
    <row r="9" spans="1:8" ht="16" x14ac:dyDescent="0.2">
      <c r="A9" s="102" t="str">
        <f t="shared" si="0"/>
        <v>CMF_1950_TOP_FLOOR_STRUCTURE</v>
      </c>
      <c r="B9" s="73" t="s">
        <v>239</v>
      </c>
      <c r="C9" s="73" t="s">
        <v>7</v>
      </c>
      <c r="D9" s="103">
        <v>0</v>
      </c>
      <c r="E9" s="73" t="s">
        <v>232</v>
      </c>
      <c r="F9" s="73" t="s">
        <v>29</v>
      </c>
      <c r="G9" s="118"/>
      <c r="H9" s="44" cm="1">
        <f t="array" ref="H9">IF(SUMPRODUCT(--EXACT(B9,Layers!$A$3:$A$268))=0,"No match",SUMPRODUCT(--EXACT(B9,Layers!$A$3:$A$268)))</f>
        <v>1</v>
      </c>
    </row>
    <row r="10" spans="1:8" ht="16" x14ac:dyDescent="0.2">
      <c r="A10" s="102" t="str">
        <f t="shared" si="0"/>
        <v>CMF_1950_EXT_WALL_LOW_SKIN</v>
      </c>
      <c r="B10" s="73" t="s">
        <v>240</v>
      </c>
      <c r="C10" s="73" t="s">
        <v>11</v>
      </c>
      <c r="D10" s="103">
        <v>0</v>
      </c>
      <c r="E10" s="73" t="s">
        <v>228</v>
      </c>
      <c r="F10" s="73" t="s">
        <v>29</v>
      </c>
      <c r="G10" s="118" t="s">
        <v>203</v>
      </c>
      <c r="H10" s="44" cm="1">
        <f t="array" ref="H10">IF(SUMPRODUCT(--EXACT(B10,Layers!$A$3:$A$268))=0,"No match",SUMPRODUCT(--EXACT(B10,Layers!$A$3:$A$268)))</f>
        <v>1</v>
      </c>
    </row>
    <row r="11" spans="1:8" ht="16" customHeight="1" x14ac:dyDescent="0.2">
      <c r="A11" s="102" t="str">
        <f t="shared" si="0"/>
        <v>CMF_1950_EXT_WALL_LOW_STRUCTURE</v>
      </c>
      <c r="B11" s="73" t="s">
        <v>241</v>
      </c>
      <c r="C11" s="73" t="s">
        <v>11</v>
      </c>
      <c r="D11" s="103">
        <v>0</v>
      </c>
      <c r="E11" s="73" t="s">
        <v>232</v>
      </c>
      <c r="F11" s="73" t="s">
        <v>29</v>
      </c>
      <c r="G11" s="118"/>
      <c r="H11" s="44" cm="1">
        <f t="array" ref="H11">IF(SUMPRODUCT(--EXACT(B11,Layers!$A$3:$A$268))=0,"No match",SUMPRODUCT(--EXACT(B11,Layers!$A$3:$A$268)))</f>
        <v>1</v>
      </c>
    </row>
    <row r="12" spans="1:8" ht="16" customHeight="1" x14ac:dyDescent="0.2">
      <c r="A12" s="102" t="str">
        <f t="shared" si="0"/>
        <v>CMF_1950_EXT_WALL_LOW_STRUCTURE</v>
      </c>
      <c r="B12" s="73" t="s">
        <v>242</v>
      </c>
      <c r="C12" s="73" t="s">
        <v>11</v>
      </c>
      <c r="D12" s="103">
        <v>1</v>
      </c>
      <c r="E12" s="73" t="s">
        <v>232</v>
      </c>
      <c r="F12" s="73" t="s">
        <v>29</v>
      </c>
      <c r="G12" s="118"/>
      <c r="H12" s="44" cm="1">
        <f t="array" ref="H12">IF(SUMPRODUCT(--EXACT(B12,Layers!$A$3:$A$268))=0,"No match",SUMPRODUCT(--EXACT(B12,Layers!$A$3:$A$268)))</f>
        <v>1</v>
      </c>
    </row>
    <row r="13" spans="1:8" ht="16" customHeight="1" x14ac:dyDescent="0.2">
      <c r="A13" s="102" t="str">
        <f t="shared" si="0"/>
        <v>CMF_1950_EXT_WALL_LOW_STRUCTURE</v>
      </c>
      <c r="B13" s="73" t="s">
        <v>243</v>
      </c>
      <c r="C13" s="73" t="s">
        <v>11</v>
      </c>
      <c r="D13" s="103">
        <v>2</v>
      </c>
      <c r="E13" s="73" t="s">
        <v>232</v>
      </c>
      <c r="F13" s="73" t="s">
        <v>29</v>
      </c>
      <c r="G13" s="118"/>
      <c r="H13" s="44" cm="1">
        <f t="array" ref="H13">IF(SUMPRODUCT(--EXACT(B13,Layers!$A$3:$A$268))=0,"No match",SUMPRODUCT(--EXACT(B13,Layers!$A$3:$A$268)))</f>
        <v>1</v>
      </c>
    </row>
    <row r="14" spans="1:8" ht="16" x14ac:dyDescent="0.2">
      <c r="A14" s="102" t="str">
        <f t="shared" si="0"/>
        <v>CMF_1950_EXT_WALL_LOW_SPACE</v>
      </c>
      <c r="B14" s="73" t="s">
        <v>244</v>
      </c>
      <c r="C14" s="73" t="s">
        <v>11</v>
      </c>
      <c r="D14" s="103">
        <v>0</v>
      </c>
      <c r="E14" s="73" t="s">
        <v>236</v>
      </c>
      <c r="F14" s="73" t="s">
        <v>29</v>
      </c>
      <c r="G14" s="118"/>
      <c r="H14" s="44" cm="1">
        <f t="array" ref="H14">IF(SUMPRODUCT(--EXACT(B14,Layers!$A$3:$A$268))=0,"No match",SUMPRODUCT(--EXACT(B14,Layers!$A$3:$A$268)))</f>
        <v>1</v>
      </c>
    </row>
    <row r="15" spans="1:8" ht="16" x14ac:dyDescent="0.2">
      <c r="A15" s="102" t="str">
        <f t="shared" si="0"/>
        <v>CMF_1950_EXT_WALL_MEDIUM_SKIN</v>
      </c>
      <c r="B15" s="73" t="s">
        <v>240</v>
      </c>
      <c r="C15" s="73" t="s">
        <v>12</v>
      </c>
      <c r="D15" s="103">
        <v>0</v>
      </c>
      <c r="E15" s="73" t="s">
        <v>228</v>
      </c>
      <c r="F15" s="73" t="s">
        <v>29</v>
      </c>
      <c r="G15" s="118" t="s">
        <v>203</v>
      </c>
      <c r="H15" s="44" cm="1">
        <f t="array" ref="H15">IF(SUMPRODUCT(--EXACT(B15,Layers!$A$3:$A$268))=0,"No match",SUMPRODUCT(--EXACT(B15,Layers!$A$3:$A$268)))</f>
        <v>1</v>
      </c>
    </row>
    <row r="16" spans="1:8" ht="16" x14ac:dyDescent="0.2">
      <c r="A16" s="102" t="str">
        <f t="shared" si="0"/>
        <v>CMF_1950_EXT_WALL_MEDIUM_STRUCTURE</v>
      </c>
      <c r="B16" s="73" t="s">
        <v>245</v>
      </c>
      <c r="C16" s="73" t="s">
        <v>12</v>
      </c>
      <c r="D16" s="103">
        <v>0</v>
      </c>
      <c r="E16" s="73" t="s">
        <v>232</v>
      </c>
      <c r="F16" s="73" t="s">
        <v>29</v>
      </c>
      <c r="G16" s="118"/>
      <c r="H16" s="44" cm="1">
        <f t="array" ref="H16">IF(SUMPRODUCT(--EXACT(B16,Layers!$A$3:$A$268))=0,"No match",SUMPRODUCT(--EXACT(B16,Layers!$A$3:$A$268)))</f>
        <v>1</v>
      </c>
    </row>
    <row r="17" spans="1:8" ht="16" x14ac:dyDescent="0.2">
      <c r="A17" s="102" t="str">
        <f t="shared" si="0"/>
        <v>CMF_1950_EXT_WALL_MEDIUM_SPACE</v>
      </c>
      <c r="B17" s="73" t="s">
        <v>244</v>
      </c>
      <c r="C17" s="73" t="s">
        <v>12</v>
      </c>
      <c r="D17" s="103">
        <v>0</v>
      </c>
      <c r="E17" s="73" t="s">
        <v>236</v>
      </c>
      <c r="F17" s="73" t="s">
        <v>29</v>
      </c>
      <c r="G17" s="118"/>
      <c r="H17" s="44" cm="1">
        <f t="array" ref="H17">IF(SUMPRODUCT(--EXACT(B17,Layers!$A$3:$A$268))=0,"No match",SUMPRODUCT(--EXACT(B17,Layers!$A$3:$A$268)))</f>
        <v>1</v>
      </c>
    </row>
    <row r="18" spans="1:8" ht="16" x14ac:dyDescent="0.2">
      <c r="A18" s="102" t="str">
        <f t="shared" si="0"/>
        <v>CMF_1950_EXT_WALL_HIGH_SKIN</v>
      </c>
      <c r="B18" s="73" t="s">
        <v>240</v>
      </c>
      <c r="C18" s="73" t="s">
        <v>13</v>
      </c>
      <c r="D18" s="103">
        <v>0</v>
      </c>
      <c r="E18" s="73" t="s">
        <v>228</v>
      </c>
      <c r="F18" s="73" t="s">
        <v>29</v>
      </c>
      <c r="G18" s="120" t="s">
        <v>246</v>
      </c>
      <c r="H18" s="44" cm="1">
        <f t="array" ref="H18">IF(SUMPRODUCT(--EXACT(B18,Layers!$A$3:$A$268))=0,"No match",SUMPRODUCT(--EXACT(B18,Layers!$A$3:$A$268)))</f>
        <v>1</v>
      </c>
    </row>
    <row r="19" spans="1:8" ht="16" x14ac:dyDescent="0.2">
      <c r="A19" s="102" t="str">
        <f t="shared" si="0"/>
        <v>CMF_1950_EXT_WALL_HIGH_STRUCTURE</v>
      </c>
      <c r="B19" s="73" t="s">
        <v>247</v>
      </c>
      <c r="C19" s="73" t="s">
        <v>13</v>
      </c>
      <c r="D19" s="103">
        <v>0</v>
      </c>
      <c r="E19" s="73" t="s">
        <v>232</v>
      </c>
      <c r="F19" s="73" t="s">
        <v>29</v>
      </c>
      <c r="G19" s="120" t="s">
        <v>246</v>
      </c>
      <c r="H19" s="44" cm="1">
        <f t="array" ref="H19">IF(SUMPRODUCT(--EXACT(B19,Layers!$A$3:$A$268))=0,"No match",SUMPRODUCT(--EXACT(B19,Layers!$A$3:$A$268)))</f>
        <v>1</v>
      </c>
    </row>
    <row r="20" spans="1:8" ht="16" customHeight="1" x14ac:dyDescent="0.2">
      <c r="A20" s="102" t="str">
        <f t="shared" si="0"/>
        <v>CMF_1950_GROUND_FLOOR_SPACE</v>
      </c>
      <c r="B20" s="73" t="s">
        <v>248</v>
      </c>
      <c r="C20" s="104" t="s">
        <v>9</v>
      </c>
      <c r="D20" s="103">
        <v>0</v>
      </c>
      <c r="E20" s="73" t="s">
        <v>236</v>
      </c>
      <c r="F20" s="73" t="s">
        <v>29</v>
      </c>
      <c r="G20" s="118" t="s">
        <v>203</v>
      </c>
      <c r="H20" s="44" cm="1">
        <f t="array" ref="H20">IF(SUMPRODUCT(--EXACT(B20,Layers!$A$3:$A$268))=0,"No match",SUMPRODUCT(--EXACT(B20,Layers!$A$3:$A$268)))</f>
        <v>1</v>
      </c>
    </row>
    <row r="21" spans="1:8" ht="16" customHeight="1" x14ac:dyDescent="0.2">
      <c r="A21" s="102" t="str">
        <f t="shared" si="0"/>
        <v>CMF_1950_GROUND_FLOOR_SPACE</v>
      </c>
      <c r="B21" s="73" t="s">
        <v>249</v>
      </c>
      <c r="C21" s="104" t="s">
        <v>9</v>
      </c>
      <c r="D21" s="103">
        <v>1</v>
      </c>
      <c r="E21" s="73" t="s">
        <v>236</v>
      </c>
      <c r="F21" s="73" t="s">
        <v>29</v>
      </c>
      <c r="G21" s="118"/>
      <c r="H21" s="44" cm="1">
        <f t="array" ref="H21">IF(SUMPRODUCT(--EXACT(B21,Layers!$A$3:$A$268))=0,"No match",SUMPRODUCT(--EXACT(B21,Layers!$A$3:$A$268)))</f>
        <v>1</v>
      </c>
    </row>
    <row r="22" spans="1:8" ht="16" customHeight="1" x14ac:dyDescent="0.2">
      <c r="A22" s="102" t="str">
        <f t="shared" si="0"/>
        <v>CMF_1950_GROUND_FLOOR_STRUCTURE</v>
      </c>
      <c r="B22" s="73" t="s">
        <v>250</v>
      </c>
      <c r="C22" s="104" t="s">
        <v>9</v>
      </c>
      <c r="D22" s="103">
        <v>0</v>
      </c>
      <c r="E22" s="73" t="s">
        <v>232</v>
      </c>
      <c r="F22" s="73" t="s">
        <v>29</v>
      </c>
      <c r="G22" s="118" t="s">
        <v>203</v>
      </c>
      <c r="H22" s="44" cm="1">
        <f t="array" ref="H22">IF(SUMPRODUCT(--EXACT(B22,Layers!$A$3:$A$268))=0,"No match",SUMPRODUCT(--EXACT(B22,Layers!$A$3:$A$268)))</f>
        <v>1</v>
      </c>
    </row>
    <row r="23" spans="1:8" ht="16" customHeight="1" x14ac:dyDescent="0.2">
      <c r="A23" s="102" t="str">
        <f t="shared" si="0"/>
        <v>CMF_1950_GROUND_FLOOR_STRUCTURE</v>
      </c>
      <c r="B23" s="73" t="s">
        <v>251</v>
      </c>
      <c r="C23" s="104" t="s">
        <v>9</v>
      </c>
      <c r="D23" s="103">
        <v>1</v>
      </c>
      <c r="E23" s="73" t="s">
        <v>232</v>
      </c>
      <c r="F23" s="73" t="s">
        <v>29</v>
      </c>
      <c r="G23" s="118"/>
      <c r="H23" s="44" cm="1">
        <f t="array" ref="H23">IF(SUMPRODUCT(--EXACT(B23,Layers!$A$3:$A$268))=0,"No match",SUMPRODUCT(--EXACT(B23,Layers!$A$3:$A$268)))</f>
        <v>1</v>
      </c>
    </row>
    <row r="24" spans="1:8" ht="16" customHeight="1" x14ac:dyDescent="0.2">
      <c r="A24" s="102" t="str">
        <f t="shared" si="0"/>
        <v>CMF_1950_GROUND_FLOOR_STRUCTURE</v>
      </c>
      <c r="B24" s="73" t="s">
        <v>252</v>
      </c>
      <c r="C24" s="104" t="s">
        <v>9</v>
      </c>
      <c r="D24" s="103">
        <v>2</v>
      </c>
      <c r="E24" s="73" t="s">
        <v>232</v>
      </c>
      <c r="F24" s="73" t="s">
        <v>29</v>
      </c>
      <c r="G24" s="118"/>
      <c r="H24" s="44" cm="1">
        <f t="array" ref="H24">IF(SUMPRODUCT(--EXACT(B24,Layers!$A$3:$A$268))=0,"No match",SUMPRODUCT(--EXACT(B24,Layers!$A$3:$A$268)))</f>
        <v>1</v>
      </c>
    </row>
    <row r="25" spans="1:8" ht="16" x14ac:dyDescent="0.2">
      <c r="A25" s="102" t="str">
        <f t="shared" si="0"/>
        <v>CMF_1950_INT_WALL_NONLOADBEARING_SKIN</v>
      </c>
      <c r="B25" s="73" t="s">
        <v>249</v>
      </c>
      <c r="C25" s="105" t="s">
        <v>16</v>
      </c>
      <c r="D25" s="103">
        <v>0</v>
      </c>
      <c r="E25" s="73" t="s">
        <v>228</v>
      </c>
      <c r="F25" s="73" t="s">
        <v>29</v>
      </c>
      <c r="G25" s="118"/>
      <c r="H25" s="44" cm="1">
        <f t="array" ref="H25">IF(SUMPRODUCT(--EXACT(B25,Layers!$A$3:$A$268))=0,"No match",SUMPRODUCT(--EXACT(B25,Layers!$A$3:$A$268)))</f>
        <v>1</v>
      </c>
    </row>
    <row r="26" spans="1:8" ht="16" x14ac:dyDescent="0.2">
      <c r="A26" s="102" t="str">
        <f t="shared" si="0"/>
        <v>CMF_1950_INT_WALL_NONLOADBEARING_STRUCTURE</v>
      </c>
      <c r="B26" s="73"/>
      <c r="C26" s="105" t="s">
        <v>16</v>
      </c>
      <c r="D26" s="103">
        <v>0</v>
      </c>
      <c r="E26" s="73" t="s">
        <v>232</v>
      </c>
      <c r="F26" s="73" t="s">
        <v>29</v>
      </c>
      <c r="G26" s="118" t="s">
        <v>253</v>
      </c>
      <c r="H26" s="44" cm="1">
        <f t="array" ref="H26">IF(SUMPRODUCT(--EXACT(B26,Layers!$A$3:$A$268))=0,"No match",SUMPRODUCT(--EXACT(B26,Layers!$A$3:$A$268)))</f>
        <v>186</v>
      </c>
    </row>
    <row r="27" spans="1:8" ht="16" x14ac:dyDescent="0.2">
      <c r="A27" s="102" t="str">
        <f t="shared" si="0"/>
        <v>CMF_1950_INT_WALL_NONLOADBEARING_SPACE</v>
      </c>
      <c r="B27" s="73"/>
      <c r="C27" s="105" t="s">
        <v>16</v>
      </c>
      <c r="D27" s="103">
        <v>0</v>
      </c>
      <c r="E27" s="73" t="s">
        <v>236</v>
      </c>
      <c r="F27" s="73" t="s">
        <v>29</v>
      </c>
      <c r="G27" s="118" t="s">
        <v>253</v>
      </c>
      <c r="H27" s="44" cm="1">
        <f t="array" ref="H27">IF(SUMPRODUCT(--EXACT(B27,Layers!$A$3:$A$268))=0,"No match",SUMPRODUCT(--EXACT(B27,Layers!$A$3:$A$268)))</f>
        <v>186</v>
      </c>
    </row>
    <row r="28" spans="1:8" ht="16" x14ac:dyDescent="0.2">
      <c r="A28" s="102" t="str">
        <f t="shared" si="0"/>
        <v>CMF_1950_INT_WALL_NONLOADBEARING_STRUCTURE</v>
      </c>
      <c r="B28" s="73"/>
      <c r="C28" s="105" t="s">
        <v>16</v>
      </c>
      <c r="D28" s="103">
        <v>0</v>
      </c>
      <c r="E28" s="73" t="s">
        <v>232</v>
      </c>
      <c r="F28" s="73" t="s">
        <v>29</v>
      </c>
      <c r="G28" s="118" t="s">
        <v>253</v>
      </c>
      <c r="H28" s="44" cm="1">
        <f t="array" ref="H28">IF(SUMPRODUCT(--EXACT(B28,Layers!$A$3:$A$268))=0,"No match",SUMPRODUCT(--EXACT(B28,Layers!$A$3:$A$268)))</f>
        <v>186</v>
      </c>
    </row>
    <row r="29" spans="1:8" ht="16" customHeight="1" x14ac:dyDescent="0.2">
      <c r="A29" s="102" t="str">
        <f t="shared" si="0"/>
        <v>CMF_1950_INTERMEDIATE_FLOOR_SPACE</v>
      </c>
      <c r="B29" s="73" t="s">
        <v>248</v>
      </c>
      <c r="C29" s="106" t="s">
        <v>8</v>
      </c>
      <c r="D29" s="103">
        <v>0</v>
      </c>
      <c r="E29" s="73" t="s">
        <v>236</v>
      </c>
      <c r="F29" s="73" t="s">
        <v>29</v>
      </c>
      <c r="G29" s="118"/>
      <c r="H29" s="44" cm="1">
        <f t="array" ref="H29">IF(SUMPRODUCT(--EXACT(B29,Layers!$A$3:$A$268))=0,"No match",SUMPRODUCT(--EXACT(B29,Layers!$A$3:$A$268)))</f>
        <v>1</v>
      </c>
    </row>
    <row r="30" spans="1:8" ht="16" customHeight="1" x14ac:dyDescent="0.2">
      <c r="A30" s="102" t="str">
        <f t="shared" si="0"/>
        <v>CMF_1950_INTERMEDIATE_FLOOR_SPACE</v>
      </c>
      <c r="B30" s="73" t="s">
        <v>250</v>
      </c>
      <c r="C30" s="106" t="s">
        <v>8</v>
      </c>
      <c r="D30" s="103">
        <v>1</v>
      </c>
      <c r="E30" s="73" t="s">
        <v>236</v>
      </c>
      <c r="F30" s="73" t="s">
        <v>29</v>
      </c>
      <c r="G30" s="118"/>
      <c r="H30" s="44" cm="1">
        <f t="array" ref="H30">IF(SUMPRODUCT(--EXACT(B30,Layers!$A$3:$A$268))=0,"No match",SUMPRODUCT(--EXACT(B30,Layers!$A$3:$A$268)))</f>
        <v>1</v>
      </c>
    </row>
    <row r="31" spans="1:8" ht="16" customHeight="1" x14ac:dyDescent="0.2">
      <c r="A31" s="102" t="str">
        <f t="shared" si="0"/>
        <v>CMF_1950_INTERMEDIATE_FLOOR_SPACE</v>
      </c>
      <c r="B31" s="73" t="s">
        <v>251</v>
      </c>
      <c r="C31" s="106" t="s">
        <v>8</v>
      </c>
      <c r="D31" s="103">
        <v>2</v>
      </c>
      <c r="E31" s="73" t="s">
        <v>236</v>
      </c>
      <c r="F31" s="73" t="s">
        <v>29</v>
      </c>
      <c r="G31" s="118"/>
      <c r="H31" s="44" cm="1">
        <f t="array" ref="H31">IF(SUMPRODUCT(--EXACT(B31,Layers!$A$3:$A$268))=0,"No match",SUMPRODUCT(--EXACT(B31,Layers!$A$3:$A$268)))</f>
        <v>1</v>
      </c>
    </row>
    <row r="32" spans="1:8" ht="16" x14ac:dyDescent="0.2">
      <c r="A32" s="102" t="str">
        <f t="shared" si="0"/>
        <v>CMF_1950_INTERMEDIATE_FLOOR_STRUCTURE</v>
      </c>
      <c r="B32" s="73" t="s">
        <v>252</v>
      </c>
      <c r="C32" s="106" t="s">
        <v>8</v>
      </c>
      <c r="D32" s="103">
        <v>0</v>
      </c>
      <c r="E32" s="73" t="s">
        <v>232</v>
      </c>
      <c r="F32" s="73" t="s">
        <v>29</v>
      </c>
      <c r="G32" s="118"/>
      <c r="H32" s="44" cm="1">
        <f t="array" ref="H32">IF(SUMPRODUCT(--EXACT(B32,Layers!$A$3:$A$268))=0,"No match",SUMPRODUCT(--EXACT(B32,Layers!$A$3:$A$268)))</f>
        <v>1</v>
      </c>
    </row>
    <row r="33" spans="1:8" ht="16" x14ac:dyDescent="0.2">
      <c r="A33" s="102" t="str">
        <f t="shared" si="0"/>
        <v>CMF_1950_INTERMEDIATE_FLOOR_SPACE</v>
      </c>
      <c r="B33" s="73" t="s">
        <v>254</v>
      </c>
      <c r="C33" s="106" t="s">
        <v>8</v>
      </c>
      <c r="D33" s="103">
        <v>0</v>
      </c>
      <c r="E33" s="73" t="s">
        <v>236</v>
      </c>
      <c r="F33" s="73" t="s">
        <v>29</v>
      </c>
      <c r="G33" s="118"/>
      <c r="H33" s="44" cm="1">
        <f t="array" ref="H33">IF(SUMPRODUCT(--EXACT(B33,Layers!$A$3:$A$268))=0,"No match",SUMPRODUCT(--EXACT(B33,Layers!$A$3:$A$268)))</f>
        <v>1</v>
      </c>
    </row>
    <row r="34" spans="1:8" ht="16" customHeight="1" x14ac:dyDescent="0.2">
      <c r="A34" s="102" t="str">
        <f t="shared" si="0"/>
        <v>CMF_1960_1_ROOF_SKIN</v>
      </c>
      <c r="B34" s="73" t="s">
        <v>255</v>
      </c>
      <c r="C34" s="73" t="s">
        <v>6</v>
      </c>
      <c r="D34" s="103">
        <v>0</v>
      </c>
      <c r="E34" s="73" t="s">
        <v>228</v>
      </c>
      <c r="F34" s="73" t="s">
        <v>31</v>
      </c>
      <c r="G34" s="120" t="s">
        <v>203</v>
      </c>
      <c r="H34" s="44" cm="1">
        <f t="array" ref="H34">IF(SUMPRODUCT(--EXACT(B34,Layers!$A$3:$A$268))=0,"No match",SUMPRODUCT(--EXACT(B34,Layers!$A$3:$A$268)))</f>
        <v>1</v>
      </c>
    </row>
    <row r="35" spans="1:8" ht="16" customHeight="1" x14ac:dyDescent="0.2">
      <c r="A35" s="102" t="str">
        <f t="shared" si="0"/>
        <v>CMF_1960_1_ROOF_SKIN</v>
      </c>
      <c r="B35" s="73" t="s">
        <v>256</v>
      </c>
      <c r="C35" s="73" t="s">
        <v>6</v>
      </c>
      <c r="D35" s="103">
        <v>1</v>
      </c>
      <c r="E35" s="73" t="s">
        <v>228</v>
      </c>
      <c r="F35" s="73" t="s">
        <v>31</v>
      </c>
      <c r="G35" s="120" t="s">
        <v>257</v>
      </c>
      <c r="H35" s="44" cm="1">
        <f t="array" ref="H35">IF(SUMPRODUCT(--EXACT(B35,Layers!$A$3:$A$268))=0,"No match",SUMPRODUCT(--EXACT(B35,Layers!$A$3:$A$268)))</f>
        <v>1</v>
      </c>
    </row>
    <row r="36" spans="1:8" ht="16" customHeight="1" x14ac:dyDescent="0.2">
      <c r="A36" s="102" t="str">
        <f t="shared" si="0"/>
        <v>CMF_1960_1_ROOF_SKIN</v>
      </c>
      <c r="B36" s="73" t="s">
        <v>258</v>
      </c>
      <c r="C36" s="73" t="s">
        <v>6</v>
      </c>
      <c r="D36" s="103">
        <v>2</v>
      </c>
      <c r="E36" s="73" t="s">
        <v>228</v>
      </c>
      <c r="F36" s="73" t="s">
        <v>31</v>
      </c>
      <c r="G36" s="120" t="s">
        <v>257</v>
      </c>
      <c r="H36" s="44" cm="1">
        <f t="array" ref="H36">IF(SUMPRODUCT(--EXACT(B36,Layers!$A$3:$A$268))=0,"No match",SUMPRODUCT(--EXACT(B36,Layers!$A$3:$A$268)))</f>
        <v>1</v>
      </c>
    </row>
    <row r="37" spans="1:8" ht="16" customHeight="1" x14ac:dyDescent="0.2">
      <c r="A37" s="102" t="str">
        <f t="shared" si="0"/>
        <v>CMF_1960_1_ROOF_SKIN</v>
      </c>
      <c r="B37" s="73" t="s">
        <v>259</v>
      </c>
      <c r="C37" s="73" t="s">
        <v>6</v>
      </c>
      <c r="D37" s="103">
        <v>3</v>
      </c>
      <c r="E37" s="73" t="s">
        <v>228</v>
      </c>
      <c r="F37" s="73" t="s">
        <v>31</v>
      </c>
      <c r="G37" s="120" t="s">
        <v>203</v>
      </c>
      <c r="H37" s="44" cm="1">
        <f t="array" ref="H37">IF(SUMPRODUCT(--EXACT(B37,Layers!$A$3:$A$268))=0,"No match",SUMPRODUCT(--EXACT(B37,Layers!$A$3:$A$268)))</f>
        <v>1</v>
      </c>
    </row>
    <row r="38" spans="1:8" ht="16" customHeight="1" x14ac:dyDescent="0.2">
      <c r="A38" s="102" t="str">
        <f t="shared" si="0"/>
        <v>CMF_1960_1_ROOF_SKIN</v>
      </c>
      <c r="B38" s="73" t="s">
        <v>260</v>
      </c>
      <c r="C38" s="73" t="s">
        <v>6</v>
      </c>
      <c r="D38" s="103">
        <v>4</v>
      </c>
      <c r="E38" s="73" t="s">
        <v>228</v>
      </c>
      <c r="F38" s="73" t="s">
        <v>31</v>
      </c>
      <c r="G38" s="120" t="s">
        <v>203</v>
      </c>
      <c r="H38" s="44" cm="1">
        <f t="array" ref="H38">IF(SUMPRODUCT(--EXACT(B38,Layers!$A$3:$A$268))=0,"No match",SUMPRODUCT(--EXACT(B38,Layers!$A$3:$A$268)))</f>
        <v>1</v>
      </c>
    </row>
    <row r="39" spans="1:8" ht="16" x14ac:dyDescent="0.2">
      <c r="A39" s="102" t="str">
        <f t="shared" si="0"/>
        <v>CMF_1960_1_EXT_WALL_SKIN</v>
      </c>
      <c r="B39" s="73" t="s">
        <v>261</v>
      </c>
      <c r="C39" s="73" t="s">
        <v>17</v>
      </c>
      <c r="D39" s="103">
        <v>0</v>
      </c>
      <c r="E39" s="73" t="s">
        <v>228</v>
      </c>
      <c r="F39" s="73" t="s">
        <v>31</v>
      </c>
      <c r="G39" s="120" t="s">
        <v>203</v>
      </c>
      <c r="H39" s="44" cm="1">
        <f t="array" ref="H39">IF(SUMPRODUCT(--EXACT(B39,Layers!$A$3:$A$268))=0,"No match",SUMPRODUCT(--EXACT(B39,Layers!$A$3:$A$268)))</f>
        <v>1</v>
      </c>
    </row>
    <row r="40" spans="1:8" ht="16" x14ac:dyDescent="0.2">
      <c r="A40" s="102" t="str">
        <f t="shared" si="0"/>
        <v>CMF_1960_1_EXT_WALL_SPACE</v>
      </c>
      <c r="B40" s="73" t="s">
        <v>264</v>
      </c>
      <c r="C40" s="73" t="s">
        <v>17</v>
      </c>
      <c r="D40" s="103">
        <v>0</v>
      </c>
      <c r="E40" s="73" t="s">
        <v>236</v>
      </c>
      <c r="F40" s="73" t="s">
        <v>31</v>
      </c>
      <c r="G40" s="120" t="s">
        <v>203</v>
      </c>
      <c r="H40" s="44" cm="1">
        <f t="array" ref="H40">IF(SUMPRODUCT(--EXACT(B40,Layers!$A$3:$A$268))=0,"No match",SUMPRODUCT(--EXACT(B40,Layers!$A$3:$A$268)))</f>
        <v>1</v>
      </c>
    </row>
    <row r="41" spans="1:8" ht="16" x14ac:dyDescent="0.2">
      <c r="A41" s="102" t="str">
        <f t="shared" si="0"/>
        <v>CMF_1960_1_EXT_WALL_SKIN</v>
      </c>
      <c r="B41" s="73" t="s">
        <v>348</v>
      </c>
      <c r="C41" s="73" t="s">
        <v>17</v>
      </c>
      <c r="D41" s="103">
        <v>0</v>
      </c>
      <c r="E41" s="73" t="s">
        <v>228</v>
      </c>
      <c r="F41" s="73" t="s">
        <v>31</v>
      </c>
      <c r="G41" s="120" t="s">
        <v>203</v>
      </c>
      <c r="H41" s="44" cm="1">
        <f t="array" ref="H41">IF(SUMPRODUCT(--EXACT(B41,Layers!$A$3:$A$268))=0,"No match",SUMPRODUCT(--EXACT(B41,Layers!$A$3:$A$268)))</f>
        <v>1</v>
      </c>
    </row>
    <row r="42" spans="1:8" ht="16" x14ac:dyDescent="0.2">
      <c r="A42" s="102" t="str">
        <f t="shared" si="0"/>
        <v>CMF_1960_1_EXT_WALL_STRUCTURE</v>
      </c>
      <c r="B42" s="73" t="s">
        <v>262</v>
      </c>
      <c r="C42" s="73" t="s">
        <v>17</v>
      </c>
      <c r="D42" s="103">
        <v>0</v>
      </c>
      <c r="E42" s="73" t="s">
        <v>232</v>
      </c>
      <c r="F42" s="73" t="s">
        <v>31</v>
      </c>
      <c r="G42" s="120" t="s">
        <v>263</v>
      </c>
      <c r="H42" s="44" cm="1">
        <f t="array" ref="H42">IF(SUMPRODUCT(--EXACT(B42,Layers!$A$3:$A$268))=0,"No match",SUMPRODUCT(--EXACT(B42,Layers!$A$3:$A$268)))</f>
        <v>1</v>
      </c>
    </row>
    <row r="43" spans="1:8" ht="16" customHeight="1" x14ac:dyDescent="0.2">
      <c r="A43" s="102" t="str">
        <f t="shared" si="0"/>
        <v>CMF_1960_1_EXT_WALL_SPACE</v>
      </c>
      <c r="B43" s="73" t="s">
        <v>265</v>
      </c>
      <c r="C43" s="73" t="s">
        <v>17</v>
      </c>
      <c r="D43" s="103">
        <v>0</v>
      </c>
      <c r="E43" s="73" t="s">
        <v>236</v>
      </c>
      <c r="F43" s="73" t="s">
        <v>31</v>
      </c>
      <c r="G43" s="120" t="s">
        <v>203</v>
      </c>
      <c r="H43" s="44" cm="1">
        <f t="array" ref="H43">IF(SUMPRODUCT(--EXACT(B43,Layers!$A$3:$A$268))=0,"No match",SUMPRODUCT(--EXACT(B43,Layers!$A$3:$A$268)))</f>
        <v>1</v>
      </c>
    </row>
    <row r="44" spans="1:8" ht="16" customHeight="1" x14ac:dyDescent="0.2">
      <c r="A44" s="102" t="str">
        <f t="shared" si="0"/>
        <v>CMF_1960_1_EXT_WALL_SPACE</v>
      </c>
      <c r="B44" s="73" t="s">
        <v>264</v>
      </c>
      <c r="C44" s="73" t="s">
        <v>17</v>
      </c>
      <c r="D44" s="103">
        <v>1</v>
      </c>
      <c r="E44" s="73" t="s">
        <v>236</v>
      </c>
      <c r="F44" s="73" t="s">
        <v>31</v>
      </c>
      <c r="G44" s="120" t="s">
        <v>203</v>
      </c>
      <c r="H44" s="44" cm="1">
        <f t="array" ref="H44">IF(SUMPRODUCT(--EXACT(B44,Layers!$A$3:$A$268))=0,"No match",SUMPRODUCT(--EXACT(B44,Layers!$A$3:$A$268)))</f>
        <v>1</v>
      </c>
    </row>
    <row r="45" spans="1:8" ht="16" customHeight="1" x14ac:dyDescent="0.2">
      <c r="A45" s="102" t="str">
        <f t="shared" si="0"/>
        <v>CMF_1960_1_GROUND_FLOOR_SPACE</v>
      </c>
      <c r="B45" s="73" t="s">
        <v>266</v>
      </c>
      <c r="C45" s="73" t="s">
        <v>9</v>
      </c>
      <c r="D45" s="103">
        <v>0</v>
      </c>
      <c r="E45" s="73" t="s">
        <v>236</v>
      </c>
      <c r="F45" s="73" t="s">
        <v>31</v>
      </c>
      <c r="G45" s="120" t="s">
        <v>203</v>
      </c>
      <c r="H45" s="44" cm="1">
        <f t="array" ref="H45">IF(SUMPRODUCT(--EXACT(B45,Layers!$A$3:$A$268))=0,"No match",SUMPRODUCT(--EXACT(B45,Layers!$A$3:$A$268)))</f>
        <v>1</v>
      </c>
    </row>
    <row r="46" spans="1:8" ht="16" customHeight="1" x14ac:dyDescent="0.2">
      <c r="A46" s="102" t="str">
        <f t="shared" si="0"/>
        <v>CMF_1960_1_GROUND_FLOOR_SPACE</v>
      </c>
      <c r="B46" s="73" t="s">
        <v>267</v>
      </c>
      <c r="C46" s="73" t="s">
        <v>9</v>
      </c>
      <c r="D46" s="103">
        <v>1</v>
      </c>
      <c r="E46" s="73" t="s">
        <v>236</v>
      </c>
      <c r="F46" s="73" t="s">
        <v>31</v>
      </c>
      <c r="G46" s="120" t="s">
        <v>203</v>
      </c>
      <c r="H46" s="44" cm="1">
        <f t="array" ref="H46">IF(SUMPRODUCT(--EXACT(B46,Layers!$A$3:$A$268))=0,"No match",SUMPRODUCT(--EXACT(B46,Layers!$A$3:$A$268)))</f>
        <v>1</v>
      </c>
    </row>
    <row r="47" spans="1:8" ht="16" x14ac:dyDescent="0.2">
      <c r="A47" s="102" t="str">
        <f t="shared" si="0"/>
        <v>CMF_1960_1_GROUND_FLOOR_STRUCTURE</v>
      </c>
      <c r="B47" s="73" t="s">
        <v>243</v>
      </c>
      <c r="C47" s="73" t="s">
        <v>9</v>
      </c>
      <c r="D47" s="103">
        <v>0</v>
      </c>
      <c r="E47" s="73" t="s">
        <v>232</v>
      </c>
      <c r="F47" s="73" t="s">
        <v>31</v>
      </c>
      <c r="G47" s="120" t="s">
        <v>203</v>
      </c>
      <c r="H47" s="44" cm="1">
        <f t="array" ref="H47">IF(SUMPRODUCT(--EXACT(B47,Layers!$A$3:$A$268))=0,"No match",SUMPRODUCT(--EXACT(B47,Layers!$A$3:$A$268)))</f>
        <v>1</v>
      </c>
    </row>
    <row r="48" spans="1:8" ht="16" x14ac:dyDescent="0.2">
      <c r="A48" s="102" t="str">
        <f t="shared" si="0"/>
        <v>CMF_1960_1_GROUND_FLOOR_SKIN</v>
      </c>
      <c r="B48" s="73" t="s">
        <v>268</v>
      </c>
      <c r="C48" s="73" t="s">
        <v>9</v>
      </c>
      <c r="D48" s="103">
        <v>0</v>
      </c>
      <c r="E48" s="73" t="s">
        <v>228</v>
      </c>
      <c r="F48" s="73" t="s">
        <v>31</v>
      </c>
      <c r="G48" s="120" t="s">
        <v>269</v>
      </c>
      <c r="H48" s="44" cm="1">
        <f t="array" ref="H48">IF(SUMPRODUCT(--EXACT(B48,Layers!$A$3:$A$268))=0,"No match",SUMPRODUCT(--EXACT(B48,Layers!$A$3:$A$268)))</f>
        <v>1</v>
      </c>
    </row>
    <row r="49" spans="1:8" ht="16" customHeight="1" x14ac:dyDescent="0.2">
      <c r="A49" s="102" t="str">
        <f t="shared" si="0"/>
        <v>CMF_1960_1_TOP_FLOOR_SPACE</v>
      </c>
      <c r="B49" s="73" t="s">
        <v>270</v>
      </c>
      <c r="C49" s="104" t="s">
        <v>7</v>
      </c>
      <c r="D49" s="103">
        <v>0</v>
      </c>
      <c r="E49" s="73" t="s">
        <v>236</v>
      </c>
      <c r="F49" s="73" t="s">
        <v>31</v>
      </c>
      <c r="G49" s="120" t="s">
        <v>203</v>
      </c>
      <c r="H49" s="44" cm="1">
        <f t="array" ref="H49">IF(SUMPRODUCT(--EXACT(B49,Layers!$A$3:$A$268))=0,"No match",SUMPRODUCT(--EXACT(B49,Layers!$A$3:$A$268)))</f>
        <v>1</v>
      </c>
    </row>
    <row r="50" spans="1:8" ht="16" customHeight="1" x14ac:dyDescent="0.2">
      <c r="A50" s="102" t="str">
        <f t="shared" si="0"/>
        <v>CMF_1960_1_TOP_FLOOR_SPACE</v>
      </c>
      <c r="B50" s="73" t="s">
        <v>271</v>
      </c>
      <c r="C50" s="104" t="s">
        <v>7</v>
      </c>
      <c r="D50" s="103">
        <v>1</v>
      </c>
      <c r="E50" s="73" t="s">
        <v>236</v>
      </c>
      <c r="F50" s="73" t="s">
        <v>31</v>
      </c>
      <c r="G50" s="120" t="s">
        <v>203</v>
      </c>
      <c r="H50" s="44" cm="1">
        <f t="array" ref="H50">IF(SUMPRODUCT(--EXACT(B50,Layers!$A$3:$A$268))=0,"No match",SUMPRODUCT(--EXACT(B50,Layers!$A$3:$A$268)))</f>
        <v>1</v>
      </c>
    </row>
    <row r="51" spans="1:8" ht="16" customHeight="1" x14ac:dyDescent="0.2">
      <c r="A51" s="102" t="str">
        <f t="shared" si="0"/>
        <v>CMF_1960_1_TOP_FLOOR_SPACE</v>
      </c>
      <c r="B51" s="73" t="s">
        <v>349</v>
      </c>
      <c r="C51" s="104" t="s">
        <v>7</v>
      </c>
      <c r="D51" s="103">
        <v>2</v>
      </c>
      <c r="E51" s="73" t="s">
        <v>236</v>
      </c>
      <c r="F51" s="73" t="s">
        <v>31</v>
      </c>
      <c r="G51" s="120" t="s">
        <v>203</v>
      </c>
      <c r="H51" s="44" cm="1">
        <f t="array" ref="H51">IF(SUMPRODUCT(--EXACT(B51,Layers!$A$3:$A$268))=0,"No match",SUMPRODUCT(--EXACT(B51,Layers!$A$3:$A$268)))</f>
        <v>1</v>
      </c>
    </row>
    <row r="52" spans="1:8" ht="16" x14ac:dyDescent="0.2">
      <c r="A52" s="102" t="str">
        <f t="shared" si="0"/>
        <v>CMF_1960_1_TOP_FLOOR_STRUCTURE</v>
      </c>
      <c r="B52" s="73" t="s">
        <v>239</v>
      </c>
      <c r="C52" s="104" t="s">
        <v>7</v>
      </c>
      <c r="D52" s="103">
        <v>0</v>
      </c>
      <c r="E52" s="73" t="s">
        <v>232</v>
      </c>
      <c r="F52" s="73" t="s">
        <v>31</v>
      </c>
      <c r="G52" s="120" t="s">
        <v>203</v>
      </c>
      <c r="H52" s="44" cm="1">
        <f t="array" ref="H52">IF(SUMPRODUCT(--EXACT(B52,Layers!$A$3:$A$268))=0,"No match",SUMPRODUCT(--EXACT(B52,Layers!$A$3:$A$268)))</f>
        <v>1</v>
      </c>
    </row>
    <row r="53" spans="1:8" ht="16" x14ac:dyDescent="0.2">
      <c r="A53" s="102" t="str">
        <f t="shared" si="0"/>
        <v>CMF_1960_1_INT_WALL_LOADBEARING_SPACE</v>
      </c>
      <c r="B53" s="105" t="s">
        <v>254</v>
      </c>
      <c r="C53" s="105" t="s">
        <v>15</v>
      </c>
      <c r="D53" s="103">
        <v>0</v>
      </c>
      <c r="E53" s="73" t="s">
        <v>236</v>
      </c>
      <c r="F53" s="73" t="s">
        <v>31</v>
      </c>
      <c r="G53" s="120"/>
      <c r="H53" s="44" cm="1">
        <f t="array" ref="H53">IF(SUMPRODUCT(--EXACT(B53,Layers!$A$3:$A$268))=0,"No match",SUMPRODUCT(--EXACT(B53,Layers!$A$3:$A$268)))</f>
        <v>1</v>
      </c>
    </row>
    <row r="54" spans="1:8" ht="16" x14ac:dyDescent="0.2">
      <c r="A54" s="102" t="str">
        <f t="shared" si="0"/>
        <v>CMF_1960_1_INT_WALL_LOADBEARING_STRUCTURE</v>
      </c>
      <c r="B54" s="105" t="s">
        <v>252</v>
      </c>
      <c r="C54" s="105" t="s">
        <v>15</v>
      </c>
      <c r="D54" s="103">
        <v>0</v>
      </c>
      <c r="E54" s="73" t="s">
        <v>232</v>
      </c>
      <c r="F54" s="73" t="s">
        <v>31</v>
      </c>
      <c r="G54" s="120"/>
      <c r="H54" s="44" cm="1">
        <f t="array" ref="H54">IF(SUMPRODUCT(--EXACT(B54,Layers!$A$3:$A$268))=0,"No match",SUMPRODUCT(--EXACT(B54,Layers!$A$3:$A$268)))</f>
        <v>1</v>
      </c>
    </row>
    <row r="55" spans="1:8" ht="16" x14ac:dyDescent="0.2">
      <c r="A55" s="102" t="str">
        <f t="shared" si="0"/>
        <v>CMF_1960_1_INT_WALL_NONLOADBEARING_SPACE</v>
      </c>
      <c r="B55" s="105" t="s">
        <v>273</v>
      </c>
      <c r="C55" s="105" t="s">
        <v>16</v>
      </c>
      <c r="D55" s="103">
        <v>0</v>
      </c>
      <c r="E55" s="73" t="s">
        <v>236</v>
      </c>
      <c r="F55" s="73" t="s">
        <v>31</v>
      </c>
      <c r="G55" s="120"/>
      <c r="H55" s="44" cm="1">
        <f t="array" ref="H55">IF(SUMPRODUCT(--EXACT(B55,Layers!$A$3:$A$268))=0,"No match",SUMPRODUCT(--EXACT(B55,Layers!$A$3:$A$268)))</f>
        <v>1</v>
      </c>
    </row>
    <row r="56" spans="1:8" ht="16" x14ac:dyDescent="0.2">
      <c r="A56" s="102" t="str">
        <f t="shared" si="0"/>
        <v>CMF_1960_1_INT_WALL_NONLOADBEARING_STRUCTURE</v>
      </c>
      <c r="B56" s="105" t="s">
        <v>274</v>
      </c>
      <c r="C56" s="105" t="s">
        <v>16</v>
      </c>
      <c r="D56" s="103">
        <v>0</v>
      </c>
      <c r="E56" s="73" t="s">
        <v>232</v>
      </c>
      <c r="F56" s="73" t="s">
        <v>31</v>
      </c>
      <c r="G56" s="120"/>
      <c r="H56" s="44" cm="1">
        <f t="array" ref="H56">IF(SUMPRODUCT(--EXACT(B56,Layers!$A$3:$A$268))=0,"No match",SUMPRODUCT(--EXACT(B56,Layers!$A$3:$A$268)))</f>
        <v>1</v>
      </c>
    </row>
    <row r="57" spans="1:8" ht="16" customHeight="1" x14ac:dyDescent="0.2">
      <c r="A57" s="102" t="str">
        <f t="shared" si="0"/>
        <v>CMF_1960_1_INTERMEDIATE_FLOOR_SPACE</v>
      </c>
      <c r="B57" s="73" t="s">
        <v>266</v>
      </c>
      <c r="C57" s="105" t="s">
        <v>8</v>
      </c>
      <c r="D57" s="103">
        <v>0</v>
      </c>
      <c r="E57" s="73" t="s">
        <v>236</v>
      </c>
      <c r="F57" s="73" t="s">
        <v>31</v>
      </c>
      <c r="G57" s="120"/>
      <c r="H57" s="44" cm="1">
        <f t="array" ref="H57">IF(SUMPRODUCT(--EXACT(B57,Layers!$A$3:$A$268))=0,"No match",SUMPRODUCT(--EXACT(B57,Layers!$A$3:$A$268)))</f>
        <v>1</v>
      </c>
    </row>
    <row r="58" spans="1:8" ht="16" customHeight="1" x14ac:dyDescent="0.2">
      <c r="A58" s="102" t="str">
        <f t="shared" si="0"/>
        <v>CMF_1960_1_INTERMEDIATE_FLOOR_SPACE</v>
      </c>
      <c r="B58" s="73" t="s">
        <v>267</v>
      </c>
      <c r="C58" s="105" t="s">
        <v>8</v>
      </c>
      <c r="D58" s="103">
        <v>1</v>
      </c>
      <c r="E58" s="73" t="s">
        <v>236</v>
      </c>
      <c r="F58" s="73" t="s">
        <v>31</v>
      </c>
      <c r="G58" s="120"/>
      <c r="H58" s="44" cm="1">
        <f t="array" ref="H58">IF(SUMPRODUCT(--EXACT(B58,Layers!$A$3:$A$268))=0,"No match",SUMPRODUCT(--EXACT(B58,Layers!$A$3:$A$268)))</f>
        <v>1</v>
      </c>
    </row>
    <row r="59" spans="1:8" ht="16" x14ac:dyDescent="0.2">
      <c r="A59" s="102" t="str">
        <f t="shared" si="0"/>
        <v>CMF_1960_1_INTERMEDIATE_FLOOR_STRUCTURE</v>
      </c>
      <c r="B59" s="105" t="s">
        <v>252</v>
      </c>
      <c r="C59" s="105" t="s">
        <v>8</v>
      </c>
      <c r="D59" s="103">
        <v>0</v>
      </c>
      <c r="E59" s="73" t="s">
        <v>232</v>
      </c>
      <c r="F59" s="73" t="s">
        <v>31</v>
      </c>
      <c r="G59" s="120"/>
      <c r="H59" s="44" cm="1">
        <f t="array" ref="H59">IF(SUMPRODUCT(--EXACT(B59,Layers!$A$3:$A$268))=0,"No match",SUMPRODUCT(--EXACT(B59,Layers!$A$3:$A$268)))</f>
        <v>1</v>
      </c>
    </row>
    <row r="60" spans="1:8" ht="16" x14ac:dyDescent="0.2">
      <c r="A60" s="102" t="str">
        <f t="shared" si="0"/>
        <v>CMF_1960_1_INTERMEDIATE_FLOOR_SPACE</v>
      </c>
      <c r="B60" s="105" t="s">
        <v>254</v>
      </c>
      <c r="C60" s="105" t="s">
        <v>8</v>
      </c>
      <c r="D60" s="103">
        <v>0</v>
      </c>
      <c r="E60" s="73" t="s">
        <v>236</v>
      </c>
      <c r="F60" s="73" t="s">
        <v>31</v>
      </c>
      <c r="G60" s="120"/>
      <c r="H60" s="44" cm="1">
        <f t="array" ref="H60">IF(SUMPRODUCT(--EXACT(B60,Layers!$A$3:$A$268))=0,"No match",SUMPRODUCT(--EXACT(B60,Layers!$A$3:$A$268)))</f>
        <v>1</v>
      </c>
    </row>
    <row r="61" spans="1:8" ht="16" customHeight="1" x14ac:dyDescent="0.2">
      <c r="A61" s="102" t="str">
        <f t="shared" si="0"/>
        <v>CMF_1960_2_ROOF_SKIN</v>
      </c>
      <c r="B61" s="73" t="s">
        <v>255</v>
      </c>
      <c r="C61" s="73" t="s">
        <v>6</v>
      </c>
      <c r="D61" s="103">
        <v>0</v>
      </c>
      <c r="E61" s="73" t="s">
        <v>228</v>
      </c>
      <c r="F61" s="73" t="s">
        <v>34</v>
      </c>
      <c r="G61" s="120" t="s">
        <v>203</v>
      </c>
      <c r="H61" s="44" cm="1">
        <f t="array" ref="H61">IF(SUMPRODUCT(--EXACT(B61,Layers!$A$3:$A$268))=0,"No match",SUMPRODUCT(--EXACT(B61,Layers!$A$3:$A$268)))</f>
        <v>1</v>
      </c>
    </row>
    <row r="62" spans="1:8" ht="16" customHeight="1" x14ac:dyDescent="0.2">
      <c r="A62" s="102" t="str">
        <f t="shared" si="0"/>
        <v>CMF_1960_2_ROOF_SKIN</v>
      </c>
      <c r="B62" s="73" t="s">
        <v>275</v>
      </c>
      <c r="C62" s="73" t="s">
        <v>6</v>
      </c>
      <c r="D62" s="103">
        <v>1</v>
      </c>
      <c r="E62" s="73" t="s">
        <v>228</v>
      </c>
      <c r="F62" s="73" t="s">
        <v>34</v>
      </c>
      <c r="G62" s="120" t="s">
        <v>203</v>
      </c>
      <c r="H62" s="44" cm="1">
        <f t="array" ref="H62">IF(SUMPRODUCT(--EXACT(B62,Layers!$A$3:$A$268))=0,"No match",SUMPRODUCT(--EXACT(B62,Layers!$A$3:$A$268)))</f>
        <v>1</v>
      </c>
    </row>
    <row r="63" spans="1:8" ht="16" customHeight="1" x14ac:dyDescent="0.2">
      <c r="A63" s="102" t="str">
        <f t="shared" si="0"/>
        <v>CMF_1960_2_ROOF_SKIN</v>
      </c>
      <c r="B63" s="73" t="s">
        <v>260</v>
      </c>
      <c r="C63" s="73" t="s">
        <v>6</v>
      </c>
      <c r="D63" s="103">
        <v>2</v>
      </c>
      <c r="E63" s="73" t="s">
        <v>228</v>
      </c>
      <c r="F63" s="73" t="s">
        <v>34</v>
      </c>
      <c r="G63" s="120" t="s">
        <v>203</v>
      </c>
      <c r="H63" s="44" cm="1">
        <f t="array" ref="H63">IF(SUMPRODUCT(--EXACT(B63,Layers!$A$3:$A$268))=0,"No match",SUMPRODUCT(--EXACT(B63,Layers!$A$3:$A$268)))</f>
        <v>1</v>
      </c>
    </row>
    <row r="64" spans="1:8" ht="16" x14ac:dyDescent="0.2">
      <c r="A64" s="102" t="str">
        <f t="shared" si="0"/>
        <v>CMF_1960_2_ROOF_STRUCTURE</v>
      </c>
      <c r="B64" s="73" t="s">
        <v>276</v>
      </c>
      <c r="C64" s="73" t="s">
        <v>6</v>
      </c>
      <c r="D64" s="103">
        <v>0</v>
      </c>
      <c r="E64" s="73" t="s">
        <v>232</v>
      </c>
      <c r="F64" s="73" t="s">
        <v>34</v>
      </c>
      <c r="G64" s="120" t="s">
        <v>203</v>
      </c>
      <c r="H64" s="44" cm="1">
        <f t="array" ref="H64">IF(SUMPRODUCT(--EXACT(B64,Layers!$A$3:$A$268))=0,"No match",SUMPRODUCT(--EXACT(B64,Layers!$A$3:$A$268)))</f>
        <v>1</v>
      </c>
    </row>
    <row r="65" spans="1:8" ht="16" customHeight="1" x14ac:dyDescent="0.2">
      <c r="A65" s="102" t="str">
        <f t="shared" si="0"/>
        <v>CMF_1960_2_TOP_FLOOR_SPACE</v>
      </c>
      <c r="B65" s="73" t="s">
        <v>272</v>
      </c>
      <c r="C65" s="73" t="s">
        <v>7</v>
      </c>
      <c r="D65" s="103">
        <v>0</v>
      </c>
      <c r="E65" s="73" t="s">
        <v>236</v>
      </c>
      <c r="F65" s="73" t="s">
        <v>34</v>
      </c>
      <c r="G65" s="120" t="s">
        <v>203</v>
      </c>
      <c r="H65" s="44" t="str" cm="1">
        <f t="array" ref="H65">IF(SUMPRODUCT(--EXACT(B65,Layers!$A$3:$A$268))=0,"No match",SUMPRODUCT(--EXACT(B65,Layers!$A$3:$A$268)))</f>
        <v>No match</v>
      </c>
    </row>
    <row r="66" spans="1:8" ht="16" customHeight="1" x14ac:dyDescent="0.2">
      <c r="A66" s="102" t="str">
        <f t="shared" si="0"/>
        <v>CMF_1960_2_TOP_FLOOR_SPACE</v>
      </c>
      <c r="B66" s="73" t="s">
        <v>271</v>
      </c>
      <c r="C66" s="73" t="s">
        <v>7</v>
      </c>
      <c r="D66" s="103">
        <v>1</v>
      </c>
      <c r="E66" s="73" t="s">
        <v>236</v>
      </c>
      <c r="F66" s="73" t="s">
        <v>34</v>
      </c>
      <c r="G66" s="120" t="s">
        <v>203</v>
      </c>
      <c r="H66" s="44" cm="1">
        <f t="array" ref="H66">IF(SUMPRODUCT(--EXACT(B66,Layers!$A$3:$A$268))=0,"No match",SUMPRODUCT(--EXACT(B66,Layers!$A$3:$A$268)))</f>
        <v>1</v>
      </c>
    </row>
    <row r="67" spans="1:8" ht="16" x14ac:dyDescent="0.2">
      <c r="A67" s="102" t="str">
        <f t="shared" ref="A67:A130" si="1">F67&amp;"_"&amp;C67&amp;"_"&amp;E67</f>
        <v>CMF_1960_2_TOP_FLOOR_STRUCTURE</v>
      </c>
      <c r="B67" s="73" t="s">
        <v>252</v>
      </c>
      <c r="C67" s="73" t="s">
        <v>7</v>
      </c>
      <c r="D67" s="103">
        <v>0</v>
      </c>
      <c r="E67" s="73" t="s">
        <v>232</v>
      </c>
      <c r="F67" s="73" t="s">
        <v>34</v>
      </c>
      <c r="G67" s="120" t="s">
        <v>203</v>
      </c>
      <c r="H67" s="44" cm="1">
        <f t="array" ref="H67">IF(SUMPRODUCT(--EXACT(B67,Layers!$A$3:$A$268))=0,"No match",SUMPRODUCT(--EXACT(B67,Layers!$A$3:$A$268)))</f>
        <v>1</v>
      </c>
    </row>
    <row r="68" spans="1:8" ht="16" x14ac:dyDescent="0.2">
      <c r="A68" s="102" t="str">
        <f t="shared" si="1"/>
        <v>CMF_1960_2_EXT_WALL_SKIN</v>
      </c>
      <c r="B68" s="105" t="s">
        <v>254</v>
      </c>
      <c r="C68" s="73" t="s">
        <v>17</v>
      </c>
      <c r="D68" s="103">
        <v>0</v>
      </c>
      <c r="E68" s="73" t="s">
        <v>228</v>
      </c>
      <c r="F68" s="73" t="s">
        <v>34</v>
      </c>
      <c r="G68" s="120" t="s">
        <v>203</v>
      </c>
      <c r="H68" s="44" cm="1">
        <f t="array" ref="H68">IF(SUMPRODUCT(--EXACT(B68,Layers!$A$3:$A$268))=0,"No match",SUMPRODUCT(--EXACT(B68,Layers!$A$3:$A$268)))</f>
        <v>1</v>
      </c>
    </row>
    <row r="69" spans="1:8" ht="16" customHeight="1" x14ac:dyDescent="0.2">
      <c r="A69" s="102" t="str">
        <f t="shared" si="1"/>
        <v>CMF_1960_2_EXT_WALL_STRUCTURE</v>
      </c>
      <c r="B69" s="73" t="s">
        <v>277</v>
      </c>
      <c r="C69" s="73" t="s">
        <v>17</v>
      </c>
      <c r="D69" s="103">
        <v>1</v>
      </c>
      <c r="E69" s="73" t="s">
        <v>232</v>
      </c>
      <c r="F69" s="73" t="s">
        <v>34</v>
      </c>
      <c r="G69" s="120" t="s">
        <v>203</v>
      </c>
      <c r="H69" s="44" cm="1">
        <f t="array" ref="H69">IF(SUMPRODUCT(--EXACT(B69,Layers!$A$3:$A$268))=0,"No match",SUMPRODUCT(--EXACT(B69,Layers!$A$3:$A$268)))</f>
        <v>1</v>
      </c>
    </row>
    <row r="70" spans="1:8" ht="16" customHeight="1" x14ac:dyDescent="0.2">
      <c r="A70" s="102" t="str">
        <f t="shared" si="1"/>
        <v>CMF_1960_2_EXT_WALL_STRUCTURE</v>
      </c>
      <c r="B70" s="73" t="s">
        <v>243</v>
      </c>
      <c r="C70" s="73" t="s">
        <v>17</v>
      </c>
      <c r="D70" s="103">
        <v>1</v>
      </c>
      <c r="E70" s="73" t="s">
        <v>232</v>
      </c>
      <c r="F70" s="73" t="s">
        <v>34</v>
      </c>
      <c r="G70" s="120" t="s">
        <v>203</v>
      </c>
      <c r="H70" s="44" cm="1">
        <f t="array" ref="H70">IF(SUMPRODUCT(--EXACT(B70,Layers!$A$3:$A$268))=0,"No match",SUMPRODUCT(--EXACT(B70,Layers!$A$3:$A$268)))</f>
        <v>1</v>
      </c>
    </row>
    <row r="71" spans="1:8" ht="16" x14ac:dyDescent="0.2">
      <c r="A71" s="102" t="str">
        <f t="shared" si="1"/>
        <v>CMF_1960_2_EXT_WALL_SPACE</v>
      </c>
      <c r="B71" s="73" t="s">
        <v>278</v>
      </c>
      <c r="C71" s="73" t="s">
        <v>17</v>
      </c>
      <c r="D71" s="103">
        <v>0</v>
      </c>
      <c r="E71" s="73" t="s">
        <v>236</v>
      </c>
      <c r="F71" s="73" t="s">
        <v>34</v>
      </c>
      <c r="G71" s="120" t="s">
        <v>203</v>
      </c>
      <c r="H71" s="44" cm="1">
        <f t="array" ref="H71">IF(SUMPRODUCT(--EXACT(B71,Layers!$A$3:$A$268))=0,"No match",SUMPRODUCT(--EXACT(B71,Layers!$A$3:$A$268)))</f>
        <v>1</v>
      </c>
    </row>
    <row r="72" spans="1:8" ht="16" customHeight="1" x14ac:dyDescent="0.2">
      <c r="A72" s="102" t="str">
        <f t="shared" si="1"/>
        <v>CMF_1960_2_EXT_WALL_SKIN</v>
      </c>
      <c r="B72" s="73" t="s">
        <v>279</v>
      </c>
      <c r="C72" s="73" t="s">
        <v>17</v>
      </c>
      <c r="D72" s="103">
        <v>0</v>
      </c>
      <c r="E72" s="73" t="s">
        <v>228</v>
      </c>
      <c r="F72" s="73" t="s">
        <v>34</v>
      </c>
      <c r="G72" s="120"/>
      <c r="H72" s="44" cm="1">
        <f t="array" ref="H72">IF(SUMPRODUCT(--EXACT(B72,Layers!$A$3:$A$268))=0,"No match",SUMPRODUCT(--EXACT(B72,Layers!$A$3:$A$268)))</f>
        <v>1</v>
      </c>
    </row>
    <row r="73" spans="1:8" ht="16" customHeight="1" x14ac:dyDescent="0.2">
      <c r="A73" s="102" t="str">
        <f t="shared" si="1"/>
        <v>CMF_1960_2_EXT_WALL_SKIN</v>
      </c>
      <c r="B73" s="73" t="s">
        <v>280</v>
      </c>
      <c r="C73" s="73" t="s">
        <v>17</v>
      </c>
      <c r="D73" s="103">
        <v>1</v>
      </c>
      <c r="E73" s="73" t="s">
        <v>228</v>
      </c>
      <c r="F73" s="73" t="s">
        <v>34</v>
      </c>
      <c r="G73" s="120" t="s">
        <v>203</v>
      </c>
      <c r="H73" s="44" cm="1">
        <f t="array" ref="H73">IF(SUMPRODUCT(--EXACT(B73,Layers!$A$3:$A$268))=0,"No match",SUMPRODUCT(--EXACT(B73,Layers!$A$3:$A$268)))</f>
        <v>1</v>
      </c>
    </row>
    <row r="74" spans="1:8" ht="16" x14ac:dyDescent="0.2">
      <c r="A74" s="102" t="str">
        <f t="shared" si="1"/>
        <v>CMF_1960_2_EXT_WALL_STRUCTURE</v>
      </c>
      <c r="B74" s="73" t="s">
        <v>281</v>
      </c>
      <c r="C74" s="73" t="s">
        <v>17</v>
      </c>
      <c r="D74" s="103">
        <v>0</v>
      </c>
      <c r="E74" s="73" t="s">
        <v>232</v>
      </c>
      <c r="F74" s="73" t="s">
        <v>34</v>
      </c>
      <c r="G74" s="120" t="s">
        <v>203</v>
      </c>
      <c r="H74" s="44" cm="1">
        <f t="array" ref="H74">IF(SUMPRODUCT(--EXACT(B74,Layers!$A$3:$A$268))=0,"No match",SUMPRODUCT(--EXACT(B74,Layers!$A$3:$A$268)))</f>
        <v>1</v>
      </c>
    </row>
    <row r="75" spans="1:8" ht="16" customHeight="1" x14ac:dyDescent="0.2">
      <c r="A75" s="102" t="str">
        <f t="shared" si="1"/>
        <v>CMF_1960_2_EXT_WALL_SPACE</v>
      </c>
      <c r="B75" s="73" t="s">
        <v>282</v>
      </c>
      <c r="C75" s="73" t="s">
        <v>17</v>
      </c>
      <c r="D75" s="103">
        <v>0</v>
      </c>
      <c r="E75" s="73" t="s">
        <v>236</v>
      </c>
      <c r="F75" s="73" t="s">
        <v>34</v>
      </c>
      <c r="G75" s="120"/>
      <c r="H75" s="44" cm="1">
        <f t="array" ref="H75">IF(SUMPRODUCT(--EXACT(B75,Layers!$A$3:$A$268))=0,"No match",SUMPRODUCT(--EXACT(B75,Layers!$A$3:$A$268)))</f>
        <v>1</v>
      </c>
    </row>
    <row r="76" spans="1:8" ht="16" customHeight="1" x14ac:dyDescent="0.2">
      <c r="A76" s="102" t="str">
        <f t="shared" si="1"/>
        <v>CMF_1960_2_EXT_WALL_SPACE</v>
      </c>
      <c r="B76" s="73" t="s">
        <v>273</v>
      </c>
      <c r="C76" s="73" t="s">
        <v>17</v>
      </c>
      <c r="D76" s="103">
        <v>1</v>
      </c>
      <c r="E76" s="73" t="s">
        <v>236</v>
      </c>
      <c r="F76" s="73" t="s">
        <v>34</v>
      </c>
      <c r="G76" s="120" t="s">
        <v>203</v>
      </c>
      <c r="H76" s="44" cm="1">
        <f t="array" ref="H76">IF(SUMPRODUCT(--EXACT(B76,Layers!$A$3:$A$268))=0,"No match",SUMPRODUCT(--EXACT(B76,Layers!$A$3:$A$268)))</f>
        <v>1</v>
      </c>
    </row>
    <row r="77" spans="1:8" ht="16" x14ac:dyDescent="0.2">
      <c r="A77" s="102" t="str">
        <f t="shared" si="1"/>
        <v>CMF_1960_2_INT_WALL_LOADBEARING_SPACE</v>
      </c>
      <c r="B77" s="73" t="s">
        <v>278</v>
      </c>
      <c r="C77" s="104" t="s">
        <v>15</v>
      </c>
      <c r="D77" s="103">
        <v>0</v>
      </c>
      <c r="E77" s="73" t="s">
        <v>236</v>
      </c>
      <c r="F77" s="73" t="s">
        <v>34</v>
      </c>
      <c r="G77" s="120" t="s">
        <v>203</v>
      </c>
      <c r="H77" s="44" cm="1">
        <f t="array" ref="H77">IF(SUMPRODUCT(--EXACT(B77,Layers!$A$3:$A$268))=0,"No match",SUMPRODUCT(--EXACT(B77,Layers!$A$3:$A$268)))</f>
        <v>1</v>
      </c>
    </row>
    <row r="78" spans="1:8" ht="16" x14ac:dyDescent="0.2">
      <c r="A78" s="102" t="str">
        <f t="shared" si="1"/>
        <v>CMF_1960_2_INT_WALL_LOADBEARING_STRUCTURE</v>
      </c>
      <c r="B78" s="73" t="s">
        <v>243</v>
      </c>
      <c r="C78" s="104" t="s">
        <v>15</v>
      </c>
      <c r="D78" s="90">
        <v>0</v>
      </c>
      <c r="E78" s="73" t="s">
        <v>232</v>
      </c>
      <c r="F78" s="73" t="s">
        <v>34</v>
      </c>
      <c r="G78" s="120" t="s">
        <v>203</v>
      </c>
      <c r="H78" s="44" cm="1">
        <f t="array" ref="H78">IF(SUMPRODUCT(--EXACT(B78,Layers!$A$3:$A$268))=0,"No match",SUMPRODUCT(--EXACT(B78,Layers!$A$3:$A$268)))</f>
        <v>1</v>
      </c>
    </row>
    <row r="79" spans="1:8" ht="16" customHeight="1" x14ac:dyDescent="0.2">
      <c r="A79" s="102" t="str">
        <f t="shared" si="1"/>
        <v>CMF_1940_1_ROOF_SKIN</v>
      </c>
      <c r="B79" s="73" t="s">
        <v>283</v>
      </c>
      <c r="C79" s="73" t="s">
        <v>6</v>
      </c>
      <c r="D79" s="103">
        <v>0</v>
      </c>
      <c r="E79" s="73" t="s">
        <v>228</v>
      </c>
      <c r="F79" s="73" t="s">
        <v>23</v>
      </c>
      <c r="G79" s="120" t="s">
        <v>203</v>
      </c>
      <c r="H79" s="44" cm="1">
        <f t="array" ref="H79">IF(SUMPRODUCT(--EXACT(B79,Layers!$A$3:$A$268))=0,"No match",SUMPRODUCT(--EXACT(B79,Layers!$A$3:$A$268)))</f>
        <v>1</v>
      </c>
    </row>
    <row r="80" spans="1:8" ht="16" customHeight="1" x14ac:dyDescent="0.2">
      <c r="A80" s="102" t="str">
        <f t="shared" si="1"/>
        <v>CMF_1940_1_ROOF_SKIN</v>
      </c>
      <c r="B80" s="73" t="s">
        <v>284</v>
      </c>
      <c r="C80" s="73" t="s">
        <v>6</v>
      </c>
      <c r="D80" s="103">
        <v>1</v>
      </c>
      <c r="E80" s="73" t="s">
        <v>228</v>
      </c>
      <c r="F80" s="73" t="s">
        <v>23</v>
      </c>
      <c r="G80" s="120" t="s">
        <v>203</v>
      </c>
      <c r="H80" s="44" cm="1">
        <f t="array" ref="H80">IF(SUMPRODUCT(--EXACT(B80,Layers!$A$3:$A$268))=0,"No match",SUMPRODUCT(--EXACT(B80,Layers!$A$3:$A$268)))</f>
        <v>1</v>
      </c>
    </row>
    <row r="81" spans="1:8" ht="16" customHeight="1" x14ac:dyDescent="0.2">
      <c r="A81" s="102" t="str">
        <f t="shared" si="1"/>
        <v>CMF_1940_1_ROOF_SKIN</v>
      </c>
      <c r="B81" s="73" t="s">
        <v>285</v>
      </c>
      <c r="C81" s="73" t="s">
        <v>6</v>
      </c>
      <c r="D81" s="103">
        <v>2</v>
      </c>
      <c r="E81" s="73" t="s">
        <v>228</v>
      </c>
      <c r="F81" s="73" t="s">
        <v>23</v>
      </c>
      <c r="G81" s="120"/>
      <c r="H81" s="44" cm="1">
        <f t="array" ref="H81">IF(SUMPRODUCT(--EXACT(B81,Layers!$A$3:$A$268))=0,"No match",SUMPRODUCT(--EXACT(B81,Layers!$A$3:$A$268)))</f>
        <v>1</v>
      </c>
    </row>
    <row r="82" spans="1:8" ht="16" customHeight="1" x14ac:dyDescent="0.2">
      <c r="A82" s="102" t="str">
        <f t="shared" si="1"/>
        <v>CMF_1940_1_ROOF_SKIN</v>
      </c>
      <c r="B82" s="73" t="s">
        <v>260</v>
      </c>
      <c r="C82" s="73" t="s">
        <v>6</v>
      </c>
      <c r="D82" s="103">
        <v>3</v>
      </c>
      <c r="E82" s="73" t="s">
        <v>228</v>
      </c>
      <c r="F82" s="73" t="s">
        <v>23</v>
      </c>
      <c r="G82" s="120" t="s">
        <v>203</v>
      </c>
      <c r="H82" s="44" cm="1">
        <f t="array" ref="H82">IF(SUMPRODUCT(--EXACT(B82,Layers!$A$3:$A$268))=0,"No match",SUMPRODUCT(--EXACT(B82,Layers!$A$3:$A$268)))</f>
        <v>1</v>
      </c>
    </row>
    <row r="83" spans="1:8" ht="16" customHeight="1" x14ac:dyDescent="0.2">
      <c r="A83" s="102" t="str">
        <f t="shared" si="1"/>
        <v>CMF_1940_1_TOP_FLOOR_SPACE</v>
      </c>
      <c r="B83" s="73" t="s">
        <v>286</v>
      </c>
      <c r="C83" s="73" t="s">
        <v>7</v>
      </c>
      <c r="D83" s="103">
        <v>0</v>
      </c>
      <c r="E83" s="73" t="s">
        <v>236</v>
      </c>
      <c r="F83" s="73" t="s">
        <v>23</v>
      </c>
      <c r="G83" s="120" t="s">
        <v>203</v>
      </c>
      <c r="H83" s="44" cm="1">
        <f t="array" ref="H83">IF(SUMPRODUCT(--EXACT(B83,Layers!$A$3:$A$268))=0,"No match",SUMPRODUCT(--EXACT(B83,Layers!$A$3:$A$268)))</f>
        <v>1</v>
      </c>
    </row>
    <row r="84" spans="1:8" ht="16" customHeight="1" x14ac:dyDescent="0.2">
      <c r="A84" s="102" t="str">
        <f t="shared" si="1"/>
        <v>CMF_1940_1_TOP_FLOOR_SPACE</v>
      </c>
      <c r="B84" s="73" t="s">
        <v>270</v>
      </c>
      <c r="C84" s="73" t="s">
        <v>7</v>
      </c>
      <c r="D84" s="103">
        <v>1</v>
      </c>
      <c r="E84" s="73" t="s">
        <v>236</v>
      </c>
      <c r="F84" s="73" t="s">
        <v>23</v>
      </c>
      <c r="G84" s="120" t="s">
        <v>203</v>
      </c>
      <c r="H84" s="44" cm="1">
        <f t="array" ref="H84">IF(SUMPRODUCT(--EXACT(B84,Layers!$A$3:$A$268))=0,"No match",SUMPRODUCT(--EXACT(B84,Layers!$A$3:$A$268)))</f>
        <v>1</v>
      </c>
    </row>
    <row r="85" spans="1:8" ht="16" customHeight="1" x14ac:dyDescent="0.2">
      <c r="A85" s="102" t="str">
        <f t="shared" si="1"/>
        <v>CMF_1940_1_TOP_FLOOR_SPACE</v>
      </c>
      <c r="B85" s="73" t="s">
        <v>287</v>
      </c>
      <c r="C85" s="73" t="s">
        <v>7</v>
      </c>
      <c r="D85" s="103">
        <v>2</v>
      </c>
      <c r="E85" s="73" t="s">
        <v>236</v>
      </c>
      <c r="F85" s="73" t="s">
        <v>23</v>
      </c>
      <c r="G85" s="120" t="s">
        <v>203</v>
      </c>
      <c r="H85" s="44" cm="1">
        <f t="array" ref="H85">IF(SUMPRODUCT(--EXACT(B85,Layers!$A$3:$A$268))=0,"No match",SUMPRODUCT(--EXACT(B85,Layers!$A$3:$A$268)))</f>
        <v>1</v>
      </c>
    </row>
    <row r="86" spans="1:8" ht="16" x14ac:dyDescent="0.2">
      <c r="A86" s="102" t="str">
        <f t="shared" si="1"/>
        <v>CMF_1940_1_TOP_FLOOR_STRUCTURE</v>
      </c>
      <c r="B86" s="73" t="s">
        <v>239</v>
      </c>
      <c r="C86" s="73" t="s">
        <v>7</v>
      </c>
      <c r="D86" s="103">
        <v>0</v>
      </c>
      <c r="E86" s="73" t="s">
        <v>232</v>
      </c>
      <c r="F86" s="73" t="s">
        <v>23</v>
      </c>
      <c r="G86" s="120" t="s">
        <v>203</v>
      </c>
      <c r="H86" s="44" cm="1">
        <f t="array" ref="H86">IF(SUMPRODUCT(--EXACT(B86,Layers!$A$3:$A$268))=0,"No match",SUMPRODUCT(--EXACT(B86,Layers!$A$3:$A$268)))</f>
        <v>1</v>
      </c>
    </row>
    <row r="87" spans="1:8" ht="16" customHeight="1" x14ac:dyDescent="0.2">
      <c r="A87" s="102" t="str">
        <f t="shared" si="1"/>
        <v>CMF_1940_1_INTERMEDIATE_FLOOR_SPACE</v>
      </c>
      <c r="B87" s="73" t="s">
        <v>235</v>
      </c>
      <c r="C87" s="104" t="s">
        <v>8</v>
      </c>
      <c r="D87" s="103">
        <v>0</v>
      </c>
      <c r="E87" s="73" t="s">
        <v>236</v>
      </c>
      <c r="F87" s="73" t="s">
        <v>23</v>
      </c>
      <c r="G87" s="120" t="s">
        <v>203</v>
      </c>
      <c r="H87" s="44" cm="1">
        <f t="array" ref="H87">IF(SUMPRODUCT(--EXACT(B87,Layers!$A$3:$A$268))=0,"No match",SUMPRODUCT(--EXACT(B87,Layers!$A$3:$A$268)))</f>
        <v>1</v>
      </c>
    </row>
    <row r="88" spans="1:8" ht="16" customHeight="1" x14ac:dyDescent="0.2">
      <c r="A88" s="102" t="str">
        <f t="shared" si="1"/>
        <v>CMF_1940_1_INTERMEDIATE_FLOOR_SPACE</v>
      </c>
      <c r="B88" s="73" t="s">
        <v>288</v>
      </c>
      <c r="C88" s="104" t="s">
        <v>8</v>
      </c>
      <c r="D88" s="103">
        <v>1</v>
      </c>
      <c r="E88" s="73" t="s">
        <v>236</v>
      </c>
      <c r="F88" s="73" t="s">
        <v>23</v>
      </c>
      <c r="G88" s="120" t="s">
        <v>203</v>
      </c>
      <c r="H88" s="44" cm="1">
        <f t="array" ref="H88">IF(SUMPRODUCT(--EXACT(B88,Layers!$A$3:$A$268))=0,"No match",SUMPRODUCT(--EXACT(B88,Layers!$A$3:$A$268)))</f>
        <v>1</v>
      </c>
    </row>
    <row r="89" spans="1:8" ht="16" customHeight="1" x14ac:dyDescent="0.2">
      <c r="A89" s="102" t="str">
        <f t="shared" si="1"/>
        <v>CMF_1940_1_INTERMEDIATE_FLOOR_SPACE</v>
      </c>
      <c r="B89" s="73" t="s">
        <v>286</v>
      </c>
      <c r="C89" s="104" t="s">
        <v>8</v>
      </c>
      <c r="D89" s="103">
        <v>2</v>
      </c>
      <c r="E89" s="73" t="s">
        <v>236</v>
      </c>
      <c r="F89" s="73" t="s">
        <v>23</v>
      </c>
      <c r="G89" s="120" t="s">
        <v>203</v>
      </c>
      <c r="H89" s="44" cm="1">
        <f t="array" ref="H89">IF(SUMPRODUCT(--EXACT(B89,Layers!$A$3:$A$268))=0,"No match",SUMPRODUCT(--EXACT(B89,Layers!$A$3:$A$268)))</f>
        <v>1</v>
      </c>
    </row>
    <row r="90" spans="1:8" ht="16" x14ac:dyDescent="0.2">
      <c r="A90" s="102" t="str">
        <f t="shared" si="1"/>
        <v>CMF_1940_1_INTERMEDIATE_FLOOR_STRUCTURE</v>
      </c>
      <c r="B90" s="73" t="s">
        <v>252</v>
      </c>
      <c r="C90" s="104" t="s">
        <v>8</v>
      </c>
      <c r="D90" s="103">
        <v>0</v>
      </c>
      <c r="E90" s="73" t="s">
        <v>232</v>
      </c>
      <c r="F90" s="73" t="s">
        <v>23</v>
      </c>
      <c r="G90" s="120" t="s">
        <v>203</v>
      </c>
      <c r="H90" s="44" cm="1">
        <f t="array" ref="H90">IF(SUMPRODUCT(--EXACT(B90,Layers!$A$3:$A$268))=0,"No match",SUMPRODUCT(--EXACT(B90,Layers!$A$3:$A$268)))</f>
        <v>1</v>
      </c>
    </row>
    <row r="91" spans="1:8" ht="16" customHeight="1" x14ac:dyDescent="0.2">
      <c r="A91" s="102" t="str">
        <f t="shared" si="1"/>
        <v>CMF_1940_1_INTERMEDIATE_FLOOR_SPACE</v>
      </c>
      <c r="B91" s="73" t="s">
        <v>289</v>
      </c>
      <c r="C91" s="104" t="s">
        <v>8</v>
      </c>
      <c r="D91" s="103">
        <v>0</v>
      </c>
      <c r="E91" s="73" t="s">
        <v>236</v>
      </c>
      <c r="F91" s="73" t="s">
        <v>23</v>
      </c>
      <c r="G91" s="120" t="s">
        <v>290</v>
      </c>
      <c r="H91" s="44" cm="1">
        <f t="array" ref="H91">IF(SUMPRODUCT(--EXACT(B91,Layers!$A$3:$A$268))=0,"No match",SUMPRODUCT(--EXACT(B91,Layers!$A$3:$A$268)))</f>
        <v>1</v>
      </c>
    </row>
    <row r="92" spans="1:8" ht="16" customHeight="1" x14ac:dyDescent="0.2">
      <c r="A92" s="102" t="str">
        <f t="shared" si="1"/>
        <v>CMF_1940_1_INTERMEDIATE_FLOOR_SPACE</v>
      </c>
      <c r="B92" s="73" t="s">
        <v>235</v>
      </c>
      <c r="C92" s="104" t="s">
        <v>8</v>
      </c>
      <c r="D92" s="103">
        <v>1</v>
      </c>
      <c r="E92" s="73" t="s">
        <v>236</v>
      </c>
      <c r="F92" s="73" t="s">
        <v>23</v>
      </c>
      <c r="G92" s="120" t="s">
        <v>291</v>
      </c>
      <c r="H92" s="44" cm="1">
        <f t="array" ref="H92">IF(SUMPRODUCT(--EXACT(B92,Layers!$A$3:$A$268))=0,"No match",SUMPRODUCT(--EXACT(B92,Layers!$A$3:$A$268)))</f>
        <v>1</v>
      </c>
    </row>
    <row r="93" spans="1:8" ht="16" customHeight="1" x14ac:dyDescent="0.2">
      <c r="A93" s="102" t="str">
        <f t="shared" si="1"/>
        <v>CMF_1940_1_INTERMEDIATE_FLOOR_SPACE</v>
      </c>
      <c r="B93" s="73" t="s">
        <v>251</v>
      </c>
      <c r="C93" s="104" t="s">
        <v>8</v>
      </c>
      <c r="D93" s="103">
        <v>2</v>
      </c>
      <c r="E93" s="73" t="s">
        <v>236</v>
      </c>
      <c r="F93" s="73" t="s">
        <v>23</v>
      </c>
      <c r="G93" s="120" t="s">
        <v>203</v>
      </c>
      <c r="H93" s="44" cm="1">
        <f t="array" ref="H93">IF(SUMPRODUCT(--EXACT(B93,Layers!$A$3:$A$268))=0,"No match",SUMPRODUCT(--EXACT(B93,Layers!$A$3:$A$268)))</f>
        <v>1</v>
      </c>
    </row>
    <row r="94" spans="1:8" ht="16" x14ac:dyDescent="0.2">
      <c r="A94" s="102" t="str">
        <f t="shared" si="1"/>
        <v>CMF_1940_1_EXT_WALL_SKIN</v>
      </c>
      <c r="B94" s="73" t="s">
        <v>278</v>
      </c>
      <c r="C94" s="73" t="s">
        <v>17</v>
      </c>
      <c r="D94" s="103">
        <v>0</v>
      </c>
      <c r="E94" s="73" t="s">
        <v>228</v>
      </c>
      <c r="F94" s="73" t="s">
        <v>23</v>
      </c>
      <c r="G94" s="120" t="s">
        <v>292</v>
      </c>
      <c r="H94" s="44" cm="1">
        <f t="array" ref="H94">IF(SUMPRODUCT(--EXACT(B94,Layers!$A$3:$A$268))=0,"No match",SUMPRODUCT(--EXACT(B94,Layers!$A$3:$A$268)))</f>
        <v>1</v>
      </c>
    </row>
    <row r="95" spans="1:8" ht="16" x14ac:dyDescent="0.2">
      <c r="A95" s="102" t="str">
        <f t="shared" si="1"/>
        <v>CMF_1940_1_EXT_WALL_STRUCTURE</v>
      </c>
      <c r="B95" s="73" t="s">
        <v>245</v>
      </c>
      <c r="C95" s="73" t="s">
        <v>17</v>
      </c>
      <c r="D95" s="103">
        <v>0</v>
      </c>
      <c r="E95" s="73" t="s">
        <v>232</v>
      </c>
      <c r="F95" s="73" t="s">
        <v>23</v>
      </c>
      <c r="G95" s="120" t="s">
        <v>203</v>
      </c>
      <c r="H95" s="44" cm="1">
        <f t="array" ref="H95">IF(SUMPRODUCT(--EXACT(B95,Layers!$A$3:$A$268))=0,"No match",SUMPRODUCT(--EXACT(B95,Layers!$A$3:$A$268)))</f>
        <v>1</v>
      </c>
    </row>
    <row r="96" spans="1:8" ht="16" x14ac:dyDescent="0.2">
      <c r="A96" s="102" t="str">
        <f t="shared" si="1"/>
        <v>CMF_1940_1_EXT_WALL_SPACE</v>
      </c>
      <c r="B96" s="73" t="s">
        <v>278</v>
      </c>
      <c r="C96" s="73" t="s">
        <v>17</v>
      </c>
      <c r="D96" s="103">
        <v>0</v>
      </c>
      <c r="E96" s="73" t="s">
        <v>236</v>
      </c>
      <c r="F96" s="73" t="s">
        <v>23</v>
      </c>
      <c r="G96" s="120" t="s">
        <v>293</v>
      </c>
      <c r="H96" s="44" cm="1">
        <f t="array" ref="H96">IF(SUMPRODUCT(--EXACT(B96,Layers!$A$3:$A$268))=0,"No match",SUMPRODUCT(--EXACT(B96,Layers!$A$3:$A$268)))</f>
        <v>1</v>
      </c>
    </row>
    <row r="97" spans="1:8" ht="16" x14ac:dyDescent="0.2">
      <c r="A97" s="102" t="str">
        <f t="shared" si="1"/>
        <v>CMF_1940_1_INT_WALL_LOADBEARING_SPACE</v>
      </c>
      <c r="B97" s="73" t="s">
        <v>278</v>
      </c>
      <c r="C97" s="104" t="s">
        <v>15</v>
      </c>
      <c r="D97" s="103">
        <v>0</v>
      </c>
      <c r="E97" s="73" t="s">
        <v>236</v>
      </c>
      <c r="F97" s="73" t="s">
        <v>23</v>
      </c>
      <c r="G97" s="120" t="s">
        <v>294</v>
      </c>
      <c r="H97" s="44" cm="1">
        <f t="array" ref="H97">IF(SUMPRODUCT(--EXACT(B97,Layers!$A$3:$A$268))=0,"No match",SUMPRODUCT(--EXACT(B97,Layers!$A$3:$A$268)))</f>
        <v>1</v>
      </c>
    </row>
    <row r="98" spans="1:8" ht="16" x14ac:dyDescent="0.2">
      <c r="A98" s="102" t="str">
        <f t="shared" si="1"/>
        <v>CMF_1940_1_INT_WALL_LOADBEARING_STRUCTURE</v>
      </c>
      <c r="B98" s="73" t="s">
        <v>295</v>
      </c>
      <c r="C98" s="104" t="s">
        <v>15</v>
      </c>
      <c r="D98" s="103">
        <v>0</v>
      </c>
      <c r="E98" s="73" t="s">
        <v>232</v>
      </c>
      <c r="F98" s="73" t="s">
        <v>23</v>
      </c>
      <c r="G98" s="120" t="s">
        <v>296</v>
      </c>
      <c r="H98" s="44" cm="1">
        <f t="array" ref="H98">IF(SUMPRODUCT(--EXACT(B98,Layers!$A$3:$A$268))=0,"No match",SUMPRODUCT(--EXACT(B98,Layers!$A$3:$A$268)))</f>
        <v>1</v>
      </c>
    </row>
    <row r="99" spans="1:8" ht="16" customHeight="1" x14ac:dyDescent="0.2">
      <c r="A99" s="102" t="str">
        <f t="shared" si="1"/>
        <v>CMF_1940_1_INT_WALL_NONLOADBEARING_SPACE</v>
      </c>
      <c r="B99" s="73" t="s">
        <v>278</v>
      </c>
      <c r="C99" s="104" t="s">
        <v>16</v>
      </c>
      <c r="D99" s="103">
        <v>0</v>
      </c>
      <c r="E99" s="73" t="s">
        <v>236</v>
      </c>
      <c r="F99" s="73" t="s">
        <v>23</v>
      </c>
      <c r="G99" s="120" t="s">
        <v>296</v>
      </c>
      <c r="H99" s="44" cm="1">
        <f t="array" ref="H99">IF(SUMPRODUCT(--EXACT(B99,Layers!$A$3:$A$268))=0,"No match",SUMPRODUCT(--EXACT(B99,Layers!$A$3:$A$268)))</f>
        <v>1</v>
      </c>
    </row>
    <row r="100" spans="1:8" ht="16" customHeight="1" x14ac:dyDescent="0.2">
      <c r="A100" s="102" t="str">
        <f t="shared" si="1"/>
        <v>CMF_1940_1_INT_WALL_NONLOADBEARING_SPACE</v>
      </c>
      <c r="B100" s="73" t="s">
        <v>297</v>
      </c>
      <c r="C100" s="104" t="s">
        <v>16</v>
      </c>
      <c r="D100" s="103">
        <v>0</v>
      </c>
      <c r="E100" s="73" t="s">
        <v>236</v>
      </c>
      <c r="F100" s="73" t="s">
        <v>23</v>
      </c>
      <c r="G100" s="120" t="s">
        <v>296</v>
      </c>
      <c r="H100" s="44" cm="1">
        <f t="array" ref="H100">IF(SUMPRODUCT(--EXACT(B100,Layers!$A$3:$A$268))=0,"No match",SUMPRODUCT(--EXACT(B100,Layers!$A$3:$A$268)))</f>
        <v>1</v>
      </c>
    </row>
    <row r="101" spans="1:8" ht="16" x14ac:dyDescent="0.2">
      <c r="A101" s="102" t="str">
        <f t="shared" si="1"/>
        <v>CMF_1940_1_GROUND_FLOOR_STRUCTURE</v>
      </c>
      <c r="B101" s="73" t="s">
        <v>252</v>
      </c>
      <c r="C101" s="107" t="s">
        <v>9</v>
      </c>
      <c r="D101" s="108">
        <v>0</v>
      </c>
      <c r="E101" s="107" t="s">
        <v>232</v>
      </c>
      <c r="F101" s="107" t="s">
        <v>23</v>
      </c>
      <c r="G101" s="92" t="s">
        <v>203</v>
      </c>
      <c r="H101" s="44" cm="1">
        <f t="array" ref="H101">IF(SUMPRODUCT(--EXACT(B101,Layers!$A$3:$A$268))=0,"No match",SUMPRODUCT(--EXACT(B101,Layers!$A$3:$A$268)))</f>
        <v>1</v>
      </c>
    </row>
    <row r="102" spans="1:8" ht="16" x14ac:dyDescent="0.2">
      <c r="A102" s="102" t="str">
        <f t="shared" si="1"/>
        <v>CMF_1940_1_GROUND_FLOOR_SPACE</v>
      </c>
      <c r="B102" s="73" t="s">
        <v>251</v>
      </c>
      <c r="C102" s="107" t="s">
        <v>9</v>
      </c>
      <c r="D102" s="108">
        <v>0</v>
      </c>
      <c r="E102" s="107" t="s">
        <v>236</v>
      </c>
      <c r="F102" s="107" t="s">
        <v>23</v>
      </c>
      <c r="G102" s="92" t="s">
        <v>203</v>
      </c>
      <c r="H102" s="44" cm="1">
        <f t="array" ref="H102">IF(SUMPRODUCT(--EXACT(B102,Layers!$A$3:$A$268))=0,"No match",SUMPRODUCT(--EXACT(B102,Layers!$A$3:$A$268)))</f>
        <v>1</v>
      </c>
    </row>
    <row r="103" spans="1:8" ht="16" x14ac:dyDescent="0.2">
      <c r="A103" s="102" t="str">
        <f t="shared" si="1"/>
        <v>CMF_1940_1_GROUND_FLOOR_SPACE</v>
      </c>
      <c r="B103" s="73" t="s">
        <v>235</v>
      </c>
      <c r="C103" s="107" t="s">
        <v>9</v>
      </c>
      <c r="D103" s="108">
        <v>1</v>
      </c>
      <c r="E103" s="107" t="s">
        <v>236</v>
      </c>
      <c r="F103" s="107" t="s">
        <v>23</v>
      </c>
      <c r="G103" s="92" t="s">
        <v>203</v>
      </c>
      <c r="H103" s="44" cm="1">
        <f t="array" ref="H103">IF(SUMPRODUCT(--EXACT(B103,Layers!$A$3:$A$268))=0,"No match",SUMPRODUCT(--EXACT(B103,Layers!$A$3:$A$268)))</f>
        <v>1</v>
      </c>
    </row>
    <row r="104" spans="1:8" ht="16" x14ac:dyDescent="0.2">
      <c r="A104" s="102" t="str">
        <f t="shared" si="1"/>
        <v>CMF_1940_1_GROUND_FLOOR_SPACE</v>
      </c>
      <c r="B104" s="73" t="s">
        <v>289</v>
      </c>
      <c r="C104" s="107" t="s">
        <v>9</v>
      </c>
      <c r="D104" s="108">
        <v>2</v>
      </c>
      <c r="E104" s="107" t="s">
        <v>236</v>
      </c>
      <c r="F104" s="107" t="s">
        <v>23</v>
      </c>
      <c r="G104" s="92" t="s">
        <v>203</v>
      </c>
      <c r="H104" s="44" cm="1">
        <f t="array" ref="H104">IF(SUMPRODUCT(--EXACT(B104,Layers!$A$3:$A$268))=0,"No match",SUMPRODUCT(--EXACT(B104,Layers!$A$3:$A$268)))</f>
        <v>1</v>
      </c>
    </row>
    <row r="105" spans="1:8" ht="16" x14ac:dyDescent="0.2">
      <c r="A105" s="102" t="str">
        <f t="shared" si="1"/>
        <v>CMF_1950_BASEMENT_WALL_SPACE</v>
      </c>
      <c r="B105" s="73" t="s">
        <v>254</v>
      </c>
      <c r="C105" s="73" t="s">
        <v>14</v>
      </c>
      <c r="D105" s="109">
        <v>1</v>
      </c>
      <c r="E105" s="110" t="s">
        <v>236</v>
      </c>
      <c r="F105" s="110" t="s">
        <v>29</v>
      </c>
      <c r="G105" s="111" t="s">
        <v>203</v>
      </c>
      <c r="H105" s="44" cm="1">
        <f t="array" ref="H105">IF(SUMPRODUCT(--EXACT(B105,Layers!$A$3:$A$268))=0,"No match",SUMPRODUCT(--EXACT(B105,Layers!$A$3:$A$268)))</f>
        <v>1</v>
      </c>
    </row>
    <row r="106" spans="1:8" ht="16" x14ac:dyDescent="0.2">
      <c r="A106" s="102" t="str">
        <f t="shared" si="1"/>
        <v>CMF_1950_BASEMENT_WALL_STRUCTURE</v>
      </c>
      <c r="B106" s="73" t="s">
        <v>298</v>
      </c>
      <c r="C106" s="73" t="s">
        <v>14</v>
      </c>
      <c r="D106" s="109">
        <v>0</v>
      </c>
      <c r="E106" s="110" t="s">
        <v>232</v>
      </c>
      <c r="F106" s="110" t="s">
        <v>29</v>
      </c>
      <c r="G106" s="111" t="s">
        <v>203</v>
      </c>
      <c r="H106" s="44" cm="1">
        <f t="array" ref="H106">IF(SUMPRODUCT(--EXACT(B106,Layers!$A$3:$A$268))=0,"No match",SUMPRODUCT(--EXACT(B106,Layers!$A$3:$A$268)))</f>
        <v>1</v>
      </c>
    </row>
    <row r="107" spans="1:8" ht="16" x14ac:dyDescent="0.2">
      <c r="A107" s="102" t="str">
        <f t="shared" si="1"/>
        <v>CMF_1950_BASEMENT_WALL_STRUCTURE</v>
      </c>
      <c r="B107" s="110" t="s">
        <v>295</v>
      </c>
      <c r="C107" s="110" t="s">
        <v>14</v>
      </c>
      <c r="D107" s="109">
        <v>1</v>
      </c>
      <c r="E107" s="110" t="s">
        <v>232</v>
      </c>
      <c r="F107" s="110" t="s">
        <v>29</v>
      </c>
      <c r="G107" s="111" t="s">
        <v>203</v>
      </c>
      <c r="H107" s="44" cm="1">
        <f t="array" ref="H107">IF(SUMPRODUCT(--EXACT(B107,Layers!$A$3:$A$268))=0,"No match",SUMPRODUCT(--EXACT(B107,Layers!$A$3:$A$268)))</f>
        <v>1</v>
      </c>
    </row>
    <row r="108" spans="1:8" ht="16" x14ac:dyDescent="0.2">
      <c r="A108" s="102" t="str">
        <f t="shared" si="1"/>
        <v>CMF_1950_BASEMENT_FLOOR_STRUCTURE</v>
      </c>
      <c r="B108" s="110" t="s">
        <v>299</v>
      </c>
      <c r="C108" s="110" t="s">
        <v>10</v>
      </c>
      <c r="D108" s="109">
        <v>0</v>
      </c>
      <c r="E108" s="110" t="s">
        <v>232</v>
      </c>
      <c r="F108" s="110" t="s">
        <v>29</v>
      </c>
      <c r="G108" s="111" t="s">
        <v>203</v>
      </c>
      <c r="H108" s="44" cm="1">
        <f t="array" ref="H108">IF(SUMPRODUCT(--EXACT(B108,Layers!$A$3:$A$268))=0,"No match",SUMPRODUCT(--EXACT(B108,Layers!$A$3:$A$268)))</f>
        <v>1</v>
      </c>
    </row>
    <row r="109" spans="1:8" ht="15.75" customHeight="1" x14ac:dyDescent="0.2">
      <c r="A109" s="102" t="str">
        <f t="shared" si="1"/>
        <v>CMF_1940_1_BASEMENT_FLOOR_STRUCTURE</v>
      </c>
      <c r="B109" s="105" t="s">
        <v>300</v>
      </c>
      <c r="C109" s="105" t="s">
        <v>10</v>
      </c>
      <c r="D109" s="109">
        <v>0</v>
      </c>
      <c r="E109" s="110" t="s">
        <v>232</v>
      </c>
      <c r="F109" s="110" t="s">
        <v>23</v>
      </c>
      <c r="G109" s="111"/>
      <c r="H109" s="44" cm="1">
        <f t="array" ref="H109">IF(SUMPRODUCT(--EXACT(B109,Layers!$A$3:$A$268))=0,"No match",SUMPRODUCT(--EXACT(B109,Layers!$A$3:$A$268)))</f>
        <v>1</v>
      </c>
    </row>
    <row r="110" spans="1:8" ht="15.75" customHeight="1" x14ac:dyDescent="0.2">
      <c r="A110" s="102" t="str">
        <f t="shared" si="1"/>
        <v>CMF_1940_1_BASEMENT_WALL_SKIN</v>
      </c>
      <c r="B110" s="105" t="s">
        <v>254</v>
      </c>
      <c r="C110" s="105" t="s">
        <v>14</v>
      </c>
      <c r="D110" s="109">
        <v>0</v>
      </c>
      <c r="E110" s="110" t="s">
        <v>228</v>
      </c>
      <c r="F110" s="110" t="s">
        <v>23</v>
      </c>
      <c r="G110" s="111"/>
      <c r="H110" s="44" cm="1">
        <f t="array" ref="H110">IF(SUMPRODUCT(--EXACT(B110,Layers!$A$3:$A$268))=0,"No match",SUMPRODUCT(--EXACT(B110,Layers!$A$3:$A$268)))</f>
        <v>1</v>
      </c>
    </row>
    <row r="111" spans="1:8" ht="15.75" customHeight="1" x14ac:dyDescent="0.2">
      <c r="A111" s="102" t="str">
        <f t="shared" si="1"/>
        <v>CMF_1940_1_BASEMENT_WALL_STRUCTURE</v>
      </c>
      <c r="B111" s="105" t="s">
        <v>301</v>
      </c>
      <c r="C111" s="105" t="s">
        <v>14</v>
      </c>
      <c r="D111" s="109">
        <v>0</v>
      </c>
      <c r="E111" s="110" t="s">
        <v>232</v>
      </c>
      <c r="F111" s="110" t="s">
        <v>23</v>
      </c>
      <c r="G111" s="111"/>
      <c r="H111" s="44" cm="1">
        <f t="array" ref="H111">IF(SUMPRODUCT(--EXACT(B111,Layers!$A$3:$A$268))=0,"No match",SUMPRODUCT(--EXACT(B111,Layers!$A$3:$A$268)))</f>
        <v>1</v>
      </c>
    </row>
    <row r="112" spans="1:8" ht="15.75" customHeight="1" x14ac:dyDescent="0.2">
      <c r="A112" s="102" t="str">
        <f t="shared" si="1"/>
        <v>CMF_1940_1_BASEMENT_WALL_SPACE</v>
      </c>
      <c r="B112" s="105" t="s">
        <v>302</v>
      </c>
      <c r="C112" s="105" t="s">
        <v>14</v>
      </c>
      <c r="D112" s="109">
        <v>0</v>
      </c>
      <c r="E112" s="110" t="s">
        <v>236</v>
      </c>
      <c r="F112" s="110" t="s">
        <v>23</v>
      </c>
      <c r="G112" s="111"/>
      <c r="H112" s="44" cm="1">
        <f t="array" ref="H112">IF(SUMPRODUCT(--EXACT(B112,Layers!$A$3:$A$268))=0,"No match",SUMPRODUCT(--EXACT(B112,Layers!$A$3:$A$268)))</f>
        <v>1</v>
      </c>
    </row>
    <row r="113" spans="1:8" ht="15.75" customHeight="1" x14ac:dyDescent="0.2">
      <c r="A113" s="112" t="str">
        <f t="shared" si="1"/>
        <v>CMF_1950_INT_WALL_LOADBEARING_STRUCTURE</v>
      </c>
      <c r="B113" s="113" t="s">
        <v>295</v>
      </c>
      <c r="C113" s="113" t="s">
        <v>15</v>
      </c>
      <c r="D113" s="114">
        <v>0</v>
      </c>
      <c r="E113" s="115" t="s">
        <v>232</v>
      </c>
      <c r="F113" s="115" t="s">
        <v>29</v>
      </c>
      <c r="G113" s="116"/>
      <c r="H113" s="33" cm="1">
        <f t="array" ref="H113">IF(SUMPRODUCT(--EXACT(B113,Layers!$A$3:$A$268))=0,"No match",SUMPRODUCT(--EXACT(B113,Layers!$A$3:$A$268)))</f>
        <v>1</v>
      </c>
    </row>
    <row r="114" spans="1:8" ht="15.75" customHeight="1" x14ac:dyDescent="0.2">
      <c r="A114" s="112" t="str">
        <f t="shared" si="1"/>
        <v>CMF_1960_2_INTERMEDIATE_FLOOR_STRUCTURE</v>
      </c>
      <c r="B114" s="65" t="s">
        <v>252</v>
      </c>
      <c r="C114" s="65" t="s">
        <v>8</v>
      </c>
      <c r="D114" s="33">
        <v>3</v>
      </c>
      <c r="E114" s="65" t="s">
        <v>232</v>
      </c>
      <c r="F114" s="65" t="s">
        <v>34</v>
      </c>
      <c r="G114" s="33"/>
      <c r="H114" s="33" cm="1">
        <f t="array" ref="H114">IF(SUMPRODUCT(--EXACT(B114,Layers!$A$3:$A$268))=0,"No match",SUMPRODUCT(--EXACT(B114,Layers!$A$3:$A$268)))</f>
        <v>1</v>
      </c>
    </row>
    <row r="115" spans="1:8" ht="15.75" customHeight="1" x14ac:dyDescent="0.2">
      <c r="A115" s="112" t="str">
        <f t="shared" si="1"/>
        <v>CMF_1960_2_INTERMEDIATE_FLOOR_SPACE</v>
      </c>
      <c r="B115" s="65" t="s">
        <v>266</v>
      </c>
      <c r="C115" s="65" t="s">
        <v>8</v>
      </c>
      <c r="D115" s="33">
        <v>0</v>
      </c>
      <c r="E115" s="65" t="s">
        <v>236</v>
      </c>
      <c r="F115" s="65" t="s">
        <v>34</v>
      </c>
      <c r="G115" s="33"/>
      <c r="H115" s="33" cm="1">
        <f t="array" ref="H115">IF(SUMPRODUCT(--EXACT(B115,Layers!$A$3:$A$268))=0,"No match",SUMPRODUCT(--EXACT(B115,Layers!$A$3:$A$268)))</f>
        <v>1</v>
      </c>
    </row>
    <row r="116" spans="1:8" ht="15.75" customHeight="1" x14ac:dyDescent="0.2">
      <c r="A116" s="112" t="str">
        <f t="shared" si="1"/>
        <v>CMF_1960_2_INTERMEDIATE_FLOOR_STRUCTURE</v>
      </c>
      <c r="B116" s="65" t="s">
        <v>235</v>
      </c>
      <c r="C116" s="65" t="s">
        <v>8</v>
      </c>
      <c r="D116" s="33">
        <v>0</v>
      </c>
      <c r="E116" s="65" t="s">
        <v>232</v>
      </c>
      <c r="F116" s="65" t="s">
        <v>34</v>
      </c>
      <c r="G116" s="33"/>
      <c r="H116" s="33" cm="1">
        <f t="array" ref="H116">IF(SUMPRODUCT(--EXACT(B116,Layers!$A$3:$A$268))=0,"No match",SUMPRODUCT(--EXACT(B116,Layers!$A$3:$A$268)))</f>
        <v>1</v>
      </c>
    </row>
    <row r="117" spans="1:8" ht="15.75" customHeight="1" x14ac:dyDescent="0.2">
      <c r="A117" s="112" t="str">
        <f t="shared" si="1"/>
        <v>CMF_1960_2_INTERMEDIATE_FLOOR_STRUCTURE</v>
      </c>
      <c r="B117" s="65" t="s">
        <v>303</v>
      </c>
      <c r="C117" s="65" t="s">
        <v>8</v>
      </c>
      <c r="D117" s="33">
        <v>1</v>
      </c>
      <c r="E117" s="65" t="s">
        <v>232</v>
      </c>
      <c r="F117" s="65" t="s">
        <v>34</v>
      </c>
      <c r="G117" s="33"/>
      <c r="H117" s="33" cm="1">
        <f t="array" ref="H117">IF(SUMPRODUCT(--EXACT(B117,Layers!$A$3:$A$268))=0,"No match",SUMPRODUCT(--EXACT(B117,Layers!$A$3:$A$268)))</f>
        <v>1</v>
      </c>
    </row>
    <row r="118" spans="1:8" ht="15.75" customHeight="1" x14ac:dyDescent="0.2">
      <c r="A118" s="112" t="str">
        <f t="shared" si="1"/>
        <v>CMF_1960_2_INTERMEDIATE_FLOOR_STRUCTURE</v>
      </c>
      <c r="B118" s="65" t="s">
        <v>304</v>
      </c>
      <c r="C118" s="65" t="s">
        <v>8</v>
      </c>
      <c r="D118" s="33">
        <v>2</v>
      </c>
      <c r="E118" s="65" t="s">
        <v>232</v>
      </c>
      <c r="F118" s="65" t="s">
        <v>34</v>
      </c>
      <c r="G118" s="33"/>
      <c r="H118" s="33" cm="1">
        <f t="array" ref="H118">IF(SUMPRODUCT(--EXACT(B118,Layers!$A$3:$A$268))=0,"No match",SUMPRODUCT(--EXACT(B118,Layers!$A$3:$A$268)))</f>
        <v>1</v>
      </c>
    </row>
    <row r="119" spans="1:8" ht="15.75" customHeight="1" x14ac:dyDescent="0.2">
      <c r="A119" s="112" t="str">
        <f t="shared" si="1"/>
        <v>CMF_1960_2_GROUND_FLOOR_STRUCTURE</v>
      </c>
      <c r="B119" s="65" t="s">
        <v>252</v>
      </c>
      <c r="C119" s="65" t="s">
        <v>9</v>
      </c>
      <c r="D119" s="33">
        <v>3</v>
      </c>
      <c r="E119" s="65" t="s">
        <v>232</v>
      </c>
      <c r="F119" s="65" t="s">
        <v>34</v>
      </c>
      <c r="G119" s="33"/>
      <c r="H119" s="33" cm="1">
        <f t="array" ref="H119">IF(SUMPRODUCT(--EXACT(B119,Layers!$A$3:$A$268))=0,"No match",SUMPRODUCT(--EXACT(B119,Layers!$A$3:$A$268)))</f>
        <v>1</v>
      </c>
    </row>
    <row r="120" spans="1:8" ht="15.75" customHeight="1" x14ac:dyDescent="0.2">
      <c r="A120" s="112" t="str">
        <f t="shared" si="1"/>
        <v>CMF_1960_2_GROUND_FLOOR_SPACE</v>
      </c>
      <c r="B120" s="65" t="s">
        <v>266</v>
      </c>
      <c r="C120" s="65" t="s">
        <v>9</v>
      </c>
      <c r="D120" s="33">
        <v>0</v>
      </c>
      <c r="E120" s="65" t="s">
        <v>236</v>
      </c>
      <c r="F120" s="65" t="s">
        <v>34</v>
      </c>
      <c r="G120" s="33"/>
      <c r="H120" s="33" cm="1">
        <f t="array" ref="H120">IF(SUMPRODUCT(--EXACT(B120,Layers!$A$3:$A$268))=0,"No match",SUMPRODUCT(--EXACT(B120,Layers!$A$3:$A$268)))</f>
        <v>1</v>
      </c>
    </row>
    <row r="121" spans="1:8" ht="15.75" customHeight="1" x14ac:dyDescent="0.2">
      <c r="A121" s="112" t="str">
        <f t="shared" si="1"/>
        <v>CMF_1960_2_GROUND_FLOOR_STRUCTURE</v>
      </c>
      <c r="B121" s="65" t="s">
        <v>235</v>
      </c>
      <c r="C121" s="65" t="s">
        <v>9</v>
      </c>
      <c r="D121" s="33">
        <v>0</v>
      </c>
      <c r="E121" s="65" t="s">
        <v>232</v>
      </c>
      <c r="F121" s="65" t="s">
        <v>34</v>
      </c>
      <c r="G121" s="33"/>
      <c r="H121" s="33" cm="1">
        <f t="array" ref="H121">IF(SUMPRODUCT(--EXACT(B121,Layers!$A$3:$A$268))=0,"No match",SUMPRODUCT(--EXACT(B121,Layers!$A$3:$A$268)))</f>
        <v>1</v>
      </c>
    </row>
    <row r="122" spans="1:8" ht="15.75" customHeight="1" x14ac:dyDescent="0.2">
      <c r="A122" s="112" t="str">
        <f t="shared" si="1"/>
        <v>CMF_1960_2_GROUND_FLOOR_STRUCTURE</v>
      </c>
      <c r="B122" s="65" t="s">
        <v>303</v>
      </c>
      <c r="C122" s="65" t="s">
        <v>9</v>
      </c>
      <c r="D122" s="33">
        <v>1</v>
      </c>
      <c r="E122" s="65" t="s">
        <v>232</v>
      </c>
      <c r="F122" s="65" t="s">
        <v>34</v>
      </c>
      <c r="G122" s="33"/>
      <c r="H122" s="33" cm="1">
        <f t="array" ref="H122">IF(SUMPRODUCT(--EXACT(B122,Layers!$A$3:$A$268))=0,"No match",SUMPRODUCT(--EXACT(B122,Layers!$A$3:$A$268)))</f>
        <v>1</v>
      </c>
    </row>
    <row r="123" spans="1:8" ht="15.75" customHeight="1" x14ac:dyDescent="0.2">
      <c r="A123" s="112" t="str">
        <f t="shared" si="1"/>
        <v>CMF_1960_2_GROUND_FLOOR_STRUCTURE</v>
      </c>
      <c r="B123" s="65" t="s">
        <v>304</v>
      </c>
      <c r="C123" s="65" t="s">
        <v>9</v>
      </c>
      <c r="D123" s="33">
        <v>2</v>
      </c>
      <c r="E123" s="65" t="s">
        <v>232</v>
      </c>
      <c r="F123" s="65" t="s">
        <v>34</v>
      </c>
      <c r="G123" s="33"/>
      <c r="H123" s="33" cm="1">
        <f t="array" ref="H123">IF(SUMPRODUCT(--EXACT(B123,Layers!$A$3:$A$268))=0,"No match",SUMPRODUCT(--EXACT(B123,Layers!$A$3:$A$268)))</f>
        <v>1</v>
      </c>
    </row>
    <row r="124" spans="1:8" ht="15.75" customHeight="1" x14ac:dyDescent="0.2">
      <c r="A124" s="112" t="str">
        <f t="shared" si="1"/>
        <v>CMF_1960_2_BASEMENT_FLOOR_STRUCTURE</v>
      </c>
      <c r="B124" s="65" t="s">
        <v>297</v>
      </c>
      <c r="C124" s="65" t="s">
        <v>10</v>
      </c>
      <c r="D124" s="33">
        <v>0</v>
      </c>
      <c r="E124" s="65" t="s">
        <v>232</v>
      </c>
      <c r="F124" s="65" t="s">
        <v>34</v>
      </c>
      <c r="G124" s="33"/>
      <c r="H124" s="33" cm="1">
        <f t="array" ref="H124">IF(SUMPRODUCT(--EXACT(B124,Layers!$A$3:$A$268))=0,"No match",SUMPRODUCT(--EXACT(B124,Layers!$A$3:$A$268)))</f>
        <v>1</v>
      </c>
    </row>
    <row r="125" spans="1:8" ht="15.75" customHeight="1" x14ac:dyDescent="0.2">
      <c r="A125" s="112" t="str">
        <f t="shared" si="1"/>
        <v>CMF_1960_2_BASEMENT_FLOOR_STRUCTURE</v>
      </c>
      <c r="B125" s="65" t="s">
        <v>305</v>
      </c>
      <c r="C125" s="65" t="s">
        <v>10</v>
      </c>
      <c r="D125" s="33">
        <v>1</v>
      </c>
      <c r="E125" s="65" t="s">
        <v>232</v>
      </c>
      <c r="F125" s="65" t="s">
        <v>34</v>
      </c>
      <c r="G125" s="33"/>
      <c r="H125" s="33" cm="1">
        <f t="array" ref="H125">IF(SUMPRODUCT(--EXACT(B125,Layers!$A$3:$A$268))=0,"No match",SUMPRODUCT(--EXACT(B125,Layers!$A$3:$A$268)))</f>
        <v>1</v>
      </c>
    </row>
    <row r="126" spans="1:8" ht="15.75" customHeight="1" x14ac:dyDescent="0.2">
      <c r="A126" s="112" t="str">
        <f t="shared" si="1"/>
        <v>CMF_1960_2_BASEMENT_FLOOR_STRUCTURE</v>
      </c>
      <c r="B126" s="65" t="s">
        <v>282</v>
      </c>
      <c r="C126" s="65" t="s">
        <v>10</v>
      </c>
      <c r="D126" s="33">
        <v>2</v>
      </c>
      <c r="E126" s="65" t="s">
        <v>232</v>
      </c>
      <c r="F126" s="65" t="s">
        <v>34</v>
      </c>
      <c r="G126" s="33"/>
      <c r="H126" s="33" cm="1">
        <f t="array" ref="H126">IF(SUMPRODUCT(--EXACT(B126,Layers!$A$3:$A$268))=0,"No match",SUMPRODUCT(--EXACT(B126,Layers!$A$3:$A$268)))</f>
        <v>1</v>
      </c>
    </row>
    <row r="127" spans="1:8" ht="15.75" customHeight="1" x14ac:dyDescent="0.2">
      <c r="A127" s="112" t="str">
        <f t="shared" si="1"/>
        <v>CMF_1960_2_BASEMENT_FLOOR_STRUCTURE</v>
      </c>
      <c r="B127" s="65" t="s">
        <v>303</v>
      </c>
      <c r="C127" s="65" t="s">
        <v>10</v>
      </c>
      <c r="D127" s="33">
        <v>3</v>
      </c>
      <c r="E127" s="65" t="s">
        <v>232</v>
      </c>
      <c r="F127" s="65" t="s">
        <v>34</v>
      </c>
      <c r="G127" s="33"/>
      <c r="H127" s="33" cm="1">
        <f t="array" ref="H127">IF(SUMPRODUCT(--EXACT(B127,Layers!$A$3:$A$268))=0,"No match",SUMPRODUCT(--EXACT(B127,Layers!$A$3:$A$268)))</f>
        <v>1</v>
      </c>
    </row>
    <row r="128" spans="1:8" ht="15.75" customHeight="1" x14ac:dyDescent="0.2">
      <c r="A128" s="112" t="str">
        <f t="shared" si="1"/>
        <v>CMF_1960_2_BASEMENT_FLOOR_STRUCTURE</v>
      </c>
      <c r="B128" s="65" t="s">
        <v>306</v>
      </c>
      <c r="C128" s="65" t="s">
        <v>10</v>
      </c>
      <c r="D128" s="33">
        <v>4</v>
      </c>
      <c r="E128" s="65" t="s">
        <v>232</v>
      </c>
      <c r="F128" s="65" t="s">
        <v>34</v>
      </c>
      <c r="G128" s="33"/>
      <c r="H128" s="33" cm="1">
        <f t="array" ref="H128">IF(SUMPRODUCT(--EXACT(B128,Layers!$A$3:$A$268))=0,"No match",SUMPRODUCT(--EXACT(B128,Layers!$A$3:$A$268)))</f>
        <v>1</v>
      </c>
    </row>
    <row r="129" spans="1:8" ht="15.75" customHeight="1" x14ac:dyDescent="0.2">
      <c r="A129" s="112" t="str">
        <f t="shared" si="1"/>
        <v>CMF_1960_2_BASEMENT_WALL_STRUCTURE</v>
      </c>
      <c r="B129" s="65" t="s">
        <v>299</v>
      </c>
      <c r="C129" s="65" t="s">
        <v>14</v>
      </c>
      <c r="D129" s="33">
        <v>0</v>
      </c>
      <c r="E129" s="65" t="s">
        <v>232</v>
      </c>
      <c r="F129" s="65" t="s">
        <v>34</v>
      </c>
      <c r="G129" s="33"/>
      <c r="H129" s="33" cm="1">
        <f t="array" ref="H129">IF(SUMPRODUCT(--EXACT(B129,Layers!$A$3:$A$268))=0,"No match",SUMPRODUCT(--EXACT(B129,Layers!$A$3:$A$268)))</f>
        <v>1</v>
      </c>
    </row>
    <row r="130" spans="1:8" ht="15.75" customHeight="1" x14ac:dyDescent="0.2">
      <c r="A130" s="121" t="str">
        <f t="shared" si="1"/>
        <v>CMF_1960_2_INT_WALL_NONLOADBEARING_SPACE</v>
      </c>
      <c r="B130" s="65"/>
      <c r="C130" s="65" t="s">
        <v>16</v>
      </c>
      <c r="D130" s="33">
        <v>0</v>
      </c>
      <c r="E130" s="65" t="s">
        <v>236</v>
      </c>
      <c r="F130" s="65" t="s">
        <v>34</v>
      </c>
      <c r="G130" s="118" t="s">
        <v>253</v>
      </c>
      <c r="H130" s="33" cm="1">
        <f t="array" ref="H130">IF(SUMPRODUCT(--EXACT(B130,Layers!$A$3:$A$268))=0,"No match",SUMPRODUCT(--EXACT(B130,Layers!$A$3:$A$268)))</f>
        <v>186</v>
      </c>
    </row>
    <row r="131" spans="1:8" ht="15.75" customHeight="1" x14ac:dyDescent="0.2">
      <c r="A131" s="121" t="str">
        <f t="shared" ref="A131:A152" si="2">F131&amp;"_"&amp;C131&amp;"_"&amp;E131</f>
        <v>CMF_1960_2_INT_WALL_NONLOADBEARING_STRUCTURE</v>
      </c>
      <c r="B131" s="65"/>
      <c r="C131" s="65" t="s">
        <v>16</v>
      </c>
      <c r="D131" s="33">
        <v>0</v>
      </c>
      <c r="E131" s="65" t="s">
        <v>232</v>
      </c>
      <c r="F131" s="65" t="s">
        <v>34</v>
      </c>
      <c r="G131" s="122" t="s">
        <v>253</v>
      </c>
      <c r="H131" s="33" cm="1">
        <f t="array" ref="H131">IF(SUMPRODUCT(--EXACT(B131,Layers!$A$3:$A$268))=0,"No match",SUMPRODUCT(--EXACT(B131,Layers!$A$3:$A$268)))</f>
        <v>186</v>
      </c>
    </row>
    <row r="132" spans="1:8" ht="15.75" customHeight="1" x14ac:dyDescent="0.2">
      <c r="A132" s="121" t="str">
        <f t="shared" si="2"/>
        <v>CMF_1970_ROOF_SKIN</v>
      </c>
      <c r="B132" s="65" t="s">
        <v>307</v>
      </c>
      <c r="C132" s="65" t="s">
        <v>6</v>
      </c>
      <c r="D132" s="33">
        <v>0</v>
      </c>
      <c r="E132" s="65" t="s">
        <v>228</v>
      </c>
      <c r="F132" s="65" t="s">
        <v>38</v>
      </c>
      <c r="G132" s="33"/>
      <c r="H132" s="33" cm="1">
        <f t="array" ref="H132">IF(SUMPRODUCT(--EXACT(B132,Layers!$A$3:$A$268))=0,"No match",SUMPRODUCT(--EXACT(B132,Layers!$A$3:$A$268)))</f>
        <v>1</v>
      </c>
    </row>
    <row r="133" spans="1:8" ht="15.75" customHeight="1" x14ac:dyDescent="0.2">
      <c r="A133" s="121" t="str">
        <f t="shared" si="2"/>
        <v>CMF_1970_ROOF_SKIN</v>
      </c>
      <c r="B133" s="65" t="s">
        <v>227</v>
      </c>
      <c r="C133" s="65" t="s">
        <v>6</v>
      </c>
      <c r="D133" s="33">
        <v>1</v>
      </c>
      <c r="E133" s="65" t="s">
        <v>228</v>
      </c>
      <c r="F133" s="65" t="s">
        <v>38</v>
      </c>
      <c r="G133" s="33"/>
      <c r="H133" s="33" cm="1">
        <f t="array" ref="H133">IF(SUMPRODUCT(--EXACT(B133,Layers!$A$3:$A$268))=0,"No match",SUMPRODUCT(--EXACT(B133,Layers!$A$3:$A$268)))</f>
        <v>1</v>
      </c>
    </row>
    <row r="134" spans="1:8" ht="15.75" customHeight="1" x14ac:dyDescent="0.2">
      <c r="A134" s="121" t="str">
        <f t="shared" si="2"/>
        <v>CMF_1970_TOP_FLOOR_SKIN</v>
      </c>
      <c r="B134" s="65" t="s">
        <v>308</v>
      </c>
      <c r="C134" s="65" t="s">
        <v>7</v>
      </c>
      <c r="D134" s="33">
        <v>0</v>
      </c>
      <c r="E134" s="65" t="s">
        <v>228</v>
      </c>
      <c r="F134" s="65" t="s">
        <v>38</v>
      </c>
      <c r="G134" s="33"/>
      <c r="H134" s="33" cm="1">
        <f t="array" ref="H134">IF(SUMPRODUCT(--EXACT(B134,Layers!$A$3:$A$268))=0,"No match",SUMPRODUCT(--EXACT(B134,Layers!$A$3:$A$268)))</f>
        <v>1</v>
      </c>
    </row>
    <row r="135" spans="1:8" ht="15.75" customHeight="1" x14ac:dyDescent="0.2">
      <c r="A135" s="121" t="str">
        <f t="shared" si="2"/>
        <v>CMF_1970_TOP_FLOOR_STRUCTURE</v>
      </c>
      <c r="B135" s="65" t="s">
        <v>309</v>
      </c>
      <c r="C135" s="65" t="s">
        <v>7</v>
      </c>
      <c r="D135" s="33">
        <v>0</v>
      </c>
      <c r="E135" s="65" t="s">
        <v>232</v>
      </c>
      <c r="F135" s="65" t="s">
        <v>38</v>
      </c>
      <c r="G135" s="33"/>
      <c r="H135" s="33" cm="1">
        <f t="array" ref="H135">IF(SUMPRODUCT(--EXACT(B135,Layers!$A$3:$A$268))=0,"No match",SUMPRODUCT(--EXACT(B135,Layers!$A$3:$A$268)))</f>
        <v>1</v>
      </c>
    </row>
    <row r="136" spans="1:8" ht="15.75" customHeight="1" x14ac:dyDescent="0.2">
      <c r="A136" s="121" t="str">
        <f t="shared" si="2"/>
        <v>CMF_1970_INTERMEDIATE_FLOOR_STRUCTURE</v>
      </c>
      <c r="B136" s="65" t="s">
        <v>309</v>
      </c>
      <c r="C136" s="65" t="s">
        <v>8</v>
      </c>
      <c r="D136" s="33">
        <v>0</v>
      </c>
      <c r="E136" s="65" t="s">
        <v>232</v>
      </c>
      <c r="F136" s="65" t="s">
        <v>38</v>
      </c>
      <c r="G136" s="33"/>
      <c r="H136" s="33" cm="1">
        <f t="array" ref="H136">IF(SUMPRODUCT(--EXACT(B136,Layers!$A$3:$A$268))=0,"No match",SUMPRODUCT(--EXACT(B136,Layers!$A$3:$A$268)))</f>
        <v>1</v>
      </c>
    </row>
    <row r="137" spans="1:8" ht="15.75" customHeight="1" x14ac:dyDescent="0.2">
      <c r="A137" s="121" t="str">
        <f t="shared" si="2"/>
        <v>CMF_1970_INTERMEDIATE_FLOOR_SPACE</v>
      </c>
      <c r="B137" s="65" t="s">
        <v>248</v>
      </c>
      <c r="C137" s="65" t="s">
        <v>8</v>
      </c>
      <c r="D137" s="33">
        <v>0</v>
      </c>
      <c r="E137" s="65" t="s">
        <v>236</v>
      </c>
      <c r="F137" s="65" t="s">
        <v>38</v>
      </c>
      <c r="G137" s="33"/>
      <c r="H137" s="33" cm="1">
        <f t="array" ref="H137">IF(SUMPRODUCT(--EXACT(B137,Layers!$A$3:$A$268))=0,"No match",SUMPRODUCT(--EXACT(B137,Layers!$A$3:$A$268)))</f>
        <v>1</v>
      </c>
    </row>
    <row r="138" spans="1:8" ht="15.75" customHeight="1" x14ac:dyDescent="0.2">
      <c r="A138" s="121" t="str">
        <f t="shared" si="2"/>
        <v>CMF_1970_EXT_WALL_STRUCTURE</v>
      </c>
      <c r="B138" s="65" t="s">
        <v>310</v>
      </c>
      <c r="C138" s="65" t="s">
        <v>17</v>
      </c>
      <c r="D138" s="33">
        <v>0</v>
      </c>
      <c r="E138" s="65" t="s">
        <v>232</v>
      </c>
      <c r="F138" s="65" t="s">
        <v>38</v>
      </c>
      <c r="G138" s="33"/>
      <c r="H138" s="33" cm="1">
        <f t="array" ref="H138">IF(SUMPRODUCT(--EXACT(B138,Layers!$A$3:$A$268))=0,"No match",SUMPRODUCT(--EXACT(B138,Layers!$A$3:$A$268)))</f>
        <v>1</v>
      </c>
    </row>
    <row r="139" spans="1:8" ht="15.75" customHeight="1" x14ac:dyDescent="0.2">
      <c r="A139" s="121" t="str">
        <f t="shared" si="2"/>
        <v>CMF_1970_EXT_WALL_SKIN</v>
      </c>
      <c r="B139" s="65" t="s">
        <v>254</v>
      </c>
      <c r="C139" s="65" t="s">
        <v>17</v>
      </c>
      <c r="D139" s="33">
        <v>0</v>
      </c>
      <c r="E139" s="65" t="s">
        <v>228</v>
      </c>
      <c r="F139" s="65" t="s">
        <v>38</v>
      </c>
      <c r="G139" s="33"/>
      <c r="H139" s="33" cm="1">
        <f t="array" ref="H139">IF(SUMPRODUCT(--EXACT(B139,Layers!$A$3:$A$268))=0,"No match",SUMPRODUCT(--EXACT(B139,Layers!$A$3:$A$268)))</f>
        <v>1</v>
      </c>
    </row>
    <row r="140" spans="1:8" ht="15.75" customHeight="1" x14ac:dyDescent="0.2">
      <c r="A140" s="121" t="str">
        <f t="shared" si="2"/>
        <v>CMF_1970_EXT_WALL_SPACE</v>
      </c>
      <c r="B140" s="65" t="s">
        <v>273</v>
      </c>
      <c r="C140" s="65" t="s">
        <v>17</v>
      </c>
      <c r="D140" s="33">
        <v>0</v>
      </c>
      <c r="E140" s="65" t="s">
        <v>236</v>
      </c>
      <c r="F140" s="65" t="s">
        <v>38</v>
      </c>
      <c r="G140" s="33"/>
      <c r="H140" s="33" cm="1">
        <f t="array" ref="H140">IF(SUMPRODUCT(--EXACT(B140,Layers!$A$3:$A$268))=0,"No match",SUMPRODUCT(--EXACT(B140,Layers!$A$3:$A$268)))</f>
        <v>1</v>
      </c>
    </row>
    <row r="141" spans="1:8" ht="15.75" customHeight="1" x14ac:dyDescent="0.2">
      <c r="A141" s="121" t="str">
        <f t="shared" si="2"/>
        <v>CMF_1970_INT_WALL_LOADBEARING_STRUCTURE</v>
      </c>
      <c r="B141" s="65" t="s">
        <v>243</v>
      </c>
      <c r="C141" s="65" t="s">
        <v>15</v>
      </c>
      <c r="D141" s="33">
        <v>0</v>
      </c>
      <c r="E141" s="65" t="s">
        <v>232</v>
      </c>
      <c r="F141" s="65" t="s">
        <v>38</v>
      </c>
      <c r="G141" s="33"/>
      <c r="H141" s="33" cm="1">
        <f t="array" ref="H141">IF(SUMPRODUCT(--EXACT(B141,Layers!$A$3:$A$268))=0,"No match",SUMPRODUCT(--EXACT(B141,Layers!$A$3:$A$268)))</f>
        <v>1</v>
      </c>
    </row>
    <row r="142" spans="1:8" ht="15.75" customHeight="1" x14ac:dyDescent="0.2">
      <c r="A142" s="121" t="str">
        <f t="shared" si="2"/>
        <v>CMF_1970_GROUND_FLOOR_STRUCTURE</v>
      </c>
      <c r="B142" s="65" t="s">
        <v>295</v>
      </c>
      <c r="C142" s="65" t="s">
        <v>9</v>
      </c>
      <c r="D142" s="33">
        <v>0</v>
      </c>
      <c r="E142" s="65" t="s">
        <v>232</v>
      </c>
      <c r="F142" s="65" t="s">
        <v>38</v>
      </c>
      <c r="G142" s="33"/>
      <c r="H142" s="33" cm="1">
        <f t="array" ref="H142">IF(SUMPRODUCT(--EXACT(B142,Layers!$A$3:$A$268))=0,"No match",SUMPRODUCT(--EXACT(B142,Layers!$A$3:$A$268)))</f>
        <v>1</v>
      </c>
    </row>
    <row r="143" spans="1:8" ht="15.75" customHeight="1" x14ac:dyDescent="0.2">
      <c r="A143" s="121" t="str">
        <f t="shared" si="2"/>
        <v>CMF_1970_GROUND_FLOOR_STRUCTURE</v>
      </c>
      <c r="B143" s="65" t="s">
        <v>311</v>
      </c>
      <c r="C143" s="65" t="s">
        <v>9</v>
      </c>
      <c r="D143" s="33">
        <v>1</v>
      </c>
      <c r="E143" s="65" t="s">
        <v>232</v>
      </c>
      <c r="F143" s="65" t="s">
        <v>38</v>
      </c>
      <c r="G143" s="33"/>
      <c r="H143" s="33" cm="1">
        <f t="array" ref="H143">IF(SUMPRODUCT(--EXACT(B143,Layers!$A$3:$A$268))=0,"No match",SUMPRODUCT(--EXACT(B143,Layers!$A$3:$A$268)))</f>
        <v>1</v>
      </c>
    </row>
    <row r="144" spans="1:8" ht="15.75" customHeight="1" x14ac:dyDescent="0.2">
      <c r="A144" s="121" t="str">
        <f t="shared" si="2"/>
        <v>CMF_1970_GROUND_FLOOR_SPACE</v>
      </c>
      <c r="B144" s="65" t="s">
        <v>248</v>
      </c>
      <c r="C144" s="65" t="s">
        <v>9</v>
      </c>
      <c r="D144" s="33">
        <v>0</v>
      </c>
      <c r="E144" s="65" t="s">
        <v>236</v>
      </c>
      <c r="F144" s="65" t="s">
        <v>38</v>
      </c>
      <c r="G144" s="33"/>
      <c r="H144" s="33" cm="1">
        <f t="array" ref="H144">IF(SUMPRODUCT(--EXACT(B144,Layers!$A$3:$A$268))=0,"No match",SUMPRODUCT(--EXACT(B144,Layers!$A$3:$A$268)))</f>
        <v>1</v>
      </c>
    </row>
    <row r="145" spans="1:8" ht="15.75" customHeight="1" x14ac:dyDescent="0.2">
      <c r="A145" s="121" t="str">
        <f t="shared" si="2"/>
        <v>CMF_1970_BASEMENT_FLOOR_SKIN</v>
      </c>
      <c r="B145" s="65"/>
      <c r="C145" s="65" t="s">
        <v>10</v>
      </c>
      <c r="D145" s="33">
        <v>0</v>
      </c>
      <c r="E145" s="65" t="s">
        <v>228</v>
      </c>
      <c r="F145" s="65" t="s">
        <v>38</v>
      </c>
      <c r="G145" s="33" t="s">
        <v>253</v>
      </c>
      <c r="H145" s="33" cm="1">
        <f t="array" ref="H145">IF(SUMPRODUCT(--EXACT(B145,Layers!$A$3:$A$268))=0,"No match",SUMPRODUCT(--EXACT(B145,Layers!$A$3:$A$268)))</f>
        <v>186</v>
      </c>
    </row>
    <row r="146" spans="1:8" ht="15.75" customHeight="1" x14ac:dyDescent="0.2">
      <c r="A146" s="121" t="str">
        <f t="shared" si="2"/>
        <v>CMF_1970_BASEMENT_FLOOR_STRUCTURE</v>
      </c>
      <c r="B146" s="65"/>
      <c r="C146" s="65" t="s">
        <v>10</v>
      </c>
      <c r="D146" s="33">
        <v>0</v>
      </c>
      <c r="E146" s="65" t="s">
        <v>232</v>
      </c>
      <c r="F146" s="65" t="s">
        <v>38</v>
      </c>
      <c r="G146" s="33" t="s">
        <v>253</v>
      </c>
      <c r="H146" s="33" cm="1">
        <f t="array" ref="H146">IF(SUMPRODUCT(--EXACT(B146,Layers!$A$3:$A$268))=0,"No match",SUMPRODUCT(--EXACT(B146,Layers!$A$3:$A$268)))</f>
        <v>186</v>
      </c>
    </row>
    <row r="147" spans="1:8" ht="15.75" customHeight="1" x14ac:dyDescent="0.2">
      <c r="A147" s="121" t="str">
        <f t="shared" si="2"/>
        <v>CMF_1970_BASEMENT_FLOOR_SPACE</v>
      </c>
      <c r="B147" s="65"/>
      <c r="C147" s="65" t="s">
        <v>10</v>
      </c>
      <c r="D147" s="33">
        <v>0</v>
      </c>
      <c r="E147" s="65" t="s">
        <v>236</v>
      </c>
      <c r="F147" s="65" t="s">
        <v>38</v>
      </c>
      <c r="G147" s="33" t="s">
        <v>253</v>
      </c>
      <c r="H147" s="33" cm="1">
        <f t="array" ref="H147">IF(SUMPRODUCT(--EXACT(B147,Layers!$A$3:$A$268))=0,"No match",SUMPRODUCT(--EXACT(B147,Layers!$A$3:$A$268)))</f>
        <v>186</v>
      </c>
    </row>
    <row r="148" spans="1:8" ht="15.75" customHeight="1" x14ac:dyDescent="0.2">
      <c r="A148" s="121" t="str">
        <f t="shared" si="2"/>
        <v>CMF_1970_INT_WALL_NONLOADBEARING_SPACE</v>
      </c>
      <c r="B148" s="65"/>
      <c r="C148" s="65" t="s">
        <v>16</v>
      </c>
      <c r="D148" s="33">
        <v>0</v>
      </c>
      <c r="E148" s="65" t="s">
        <v>236</v>
      </c>
      <c r="F148" s="65" t="s">
        <v>38</v>
      </c>
      <c r="G148" s="33" t="s">
        <v>253</v>
      </c>
      <c r="H148" s="33" cm="1">
        <f t="array" ref="H148">IF(SUMPRODUCT(--EXACT(B148,Layers!$A$3:$A$268))=0,"No match",SUMPRODUCT(--EXACT(B148,Layers!$A$3:$A$268)))</f>
        <v>186</v>
      </c>
    </row>
    <row r="149" spans="1:8" ht="15.75" customHeight="1" x14ac:dyDescent="0.2">
      <c r="A149" s="121" t="str">
        <f t="shared" si="2"/>
        <v>CMF_1970_INT_WALL_NONLOADBEARING_STRUCTURE</v>
      </c>
      <c r="B149" s="65"/>
      <c r="C149" s="65" t="s">
        <v>16</v>
      </c>
      <c r="D149" s="33">
        <v>0</v>
      </c>
      <c r="E149" s="65" t="s">
        <v>232</v>
      </c>
      <c r="F149" s="65" t="s">
        <v>38</v>
      </c>
      <c r="G149" s="33" t="s">
        <v>253</v>
      </c>
      <c r="H149" s="33" cm="1">
        <f t="array" ref="H149">IF(SUMPRODUCT(--EXACT(B149,Layers!$A$3:$A$268))=0,"No match",SUMPRODUCT(--EXACT(B149,Layers!$A$3:$A$268)))</f>
        <v>186</v>
      </c>
    </row>
    <row r="150" spans="1:8" ht="15.75" customHeight="1" x14ac:dyDescent="0.2">
      <c r="A150" s="121" t="str">
        <f t="shared" si="2"/>
        <v>CMF_1970_BASEMENT_WALL_SKIN</v>
      </c>
      <c r="B150" s="65"/>
      <c r="C150" s="65" t="s">
        <v>14</v>
      </c>
      <c r="D150" s="33">
        <v>0</v>
      </c>
      <c r="E150" s="65" t="s">
        <v>228</v>
      </c>
      <c r="F150" s="65" t="s">
        <v>38</v>
      </c>
      <c r="G150" s="33" t="s">
        <v>253</v>
      </c>
      <c r="H150" s="33" cm="1">
        <f t="array" ref="H150">IF(SUMPRODUCT(--EXACT(B150,Layers!$A$3:$A$268))=0,"No match",SUMPRODUCT(--EXACT(B150,Layers!$A$3:$A$268)))</f>
        <v>186</v>
      </c>
    </row>
    <row r="151" spans="1:8" ht="15.75" customHeight="1" x14ac:dyDescent="0.2">
      <c r="A151" s="121" t="str">
        <f t="shared" si="2"/>
        <v>CMF_1970_BASEMENT_WALL_STRUCTURE</v>
      </c>
      <c r="B151" s="65"/>
      <c r="C151" s="65" t="s">
        <v>14</v>
      </c>
      <c r="D151" s="33">
        <v>0</v>
      </c>
      <c r="E151" s="65" t="s">
        <v>232</v>
      </c>
      <c r="F151" s="65" t="s">
        <v>38</v>
      </c>
      <c r="G151" s="33" t="s">
        <v>253</v>
      </c>
      <c r="H151" s="33" cm="1">
        <f t="array" ref="H151">IF(SUMPRODUCT(--EXACT(B151,Layers!$A$3:$A$268))=0,"No match",SUMPRODUCT(--EXACT(B151,Layers!$A$3:$A$268)))</f>
        <v>186</v>
      </c>
    </row>
    <row r="152" spans="1:8" ht="15.75" customHeight="1" x14ac:dyDescent="0.2">
      <c r="A152" s="121" t="str">
        <f t="shared" si="2"/>
        <v>CMF_1970_BASEMENT_WALL_SPACE</v>
      </c>
      <c r="B152" s="65"/>
      <c r="C152" s="65" t="s">
        <v>14</v>
      </c>
      <c r="D152" s="33">
        <v>0</v>
      </c>
      <c r="E152" s="65" t="s">
        <v>236</v>
      </c>
      <c r="F152" s="65" t="s">
        <v>38</v>
      </c>
      <c r="G152" s="33" t="s">
        <v>253</v>
      </c>
      <c r="H152" s="33" cm="1">
        <f t="array" ref="H152">IF(SUMPRODUCT(--EXACT(B152,Layers!$A$3:$A$268))=0,"No match",SUMPRODUCT(--EXACT(B152,Layers!$A$3:$A$268)))</f>
        <v>186</v>
      </c>
    </row>
    <row r="153" spans="1:8" ht="15.75" customHeight="1" x14ac:dyDescent="0.2">
      <c r="A153" s="121" t="str">
        <f t="shared" ref="A153:A179" si="3">F153&amp;"_"&amp;C153&amp;"_"&amp;E153</f>
        <v>CMF_1980_ROOF_SKIN</v>
      </c>
      <c r="B153" s="65" t="s">
        <v>307</v>
      </c>
      <c r="C153" s="65" t="s">
        <v>6</v>
      </c>
      <c r="D153" s="33">
        <v>0</v>
      </c>
      <c r="E153" s="65" t="s">
        <v>228</v>
      </c>
      <c r="F153" s="65" t="s">
        <v>41</v>
      </c>
      <c r="G153" s="33"/>
      <c r="H153" s="124" cm="1">
        <f t="array" ref="H153">IF(SUMPRODUCT(--EXACT(B153,Layers!$A$3:$A$268))=0,"No match",SUMPRODUCT(--EXACT(B153,Layers!$A$3:$A$268)))</f>
        <v>1</v>
      </c>
    </row>
    <row r="154" spans="1:8" ht="15.75" customHeight="1" x14ac:dyDescent="0.2">
      <c r="A154" s="121" t="str">
        <f t="shared" si="3"/>
        <v>CMF_1980_ROOF_SKIN</v>
      </c>
      <c r="B154" s="65" t="s">
        <v>227</v>
      </c>
      <c r="C154" s="65" t="s">
        <v>6</v>
      </c>
      <c r="D154" s="33">
        <v>1</v>
      </c>
      <c r="E154" s="65" t="s">
        <v>228</v>
      </c>
      <c r="F154" s="65" t="s">
        <v>41</v>
      </c>
      <c r="G154" s="33"/>
      <c r="H154" s="124" cm="1">
        <f t="array" ref="H154">IF(SUMPRODUCT(--EXACT(B154,Layers!$A$3:$A$268))=0,"No match",SUMPRODUCT(--EXACT(B154,Layers!$A$3:$A$268)))</f>
        <v>1</v>
      </c>
    </row>
    <row r="155" spans="1:8" ht="15.75" customHeight="1" x14ac:dyDescent="0.2">
      <c r="A155" s="121" t="str">
        <f t="shared" si="3"/>
        <v>CMF_1980_TOP_FLOOR_SKIN</v>
      </c>
      <c r="B155" s="65" t="s">
        <v>308</v>
      </c>
      <c r="C155" s="65" t="s">
        <v>7</v>
      </c>
      <c r="D155" s="33">
        <v>0</v>
      </c>
      <c r="E155" s="65" t="s">
        <v>228</v>
      </c>
      <c r="F155" s="65" t="s">
        <v>41</v>
      </c>
      <c r="G155" s="33"/>
      <c r="H155" s="124" cm="1">
        <f t="array" ref="H155">IF(SUMPRODUCT(--EXACT(B155,Layers!$A$3:$A$268))=0,"No match",SUMPRODUCT(--EXACT(B155,Layers!$A$3:$A$268)))</f>
        <v>1</v>
      </c>
    </row>
    <row r="156" spans="1:8" ht="15.75" customHeight="1" x14ac:dyDescent="0.2">
      <c r="A156" s="121" t="str">
        <f t="shared" si="3"/>
        <v>CMF_1980_TOP_FLOOR_STRUCTURE</v>
      </c>
      <c r="B156" s="65" t="s">
        <v>309</v>
      </c>
      <c r="C156" s="65" t="s">
        <v>7</v>
      </c>
      <c r="D156" s="33">
        <v>0</v>
      </c>
      <c r="E156" s="65" t="s">
        <v>232</v>
      </c>
      <c r="F156" s="65" t="s">
        <v>41</v>
      </c>
      <c r="G156" s="33"/>
      <c r="H156" s="124" cm="1">
        <f t="array" ref="H156">IF(SUMPRODUCT(--EXACT(B156,Layers!$A$3:$A$268))=0,"No match",SUMPRODUCT(--EXACT(B156,Layers!$A$3:$A$268)))</f>
        <v>1</v>
      </c>
    </row>
    <row r="157" spans="1:8" ht="15.75" customHeight="1" x14ac:dyDescent="0.2">
      <c r="A157" s="121" t="str">
        <f t="shared" si="3"/>
        <v>CMF_1980_INTERMEDIATE_FLOOR_STRUCTURE</v>
      </c>
      <c r="B157" s="65" t="s">
        <v>309</v>
      </c>
      <c r="C157" s="65" t="s">
        <v>8</v>
      </c>
      <c r="D157" s="33">
        <v>0</v>
      </c>
      <c r="E157" s="65" t="s">
        <v>232</v>
      </c>
      <c r="F157" s="65" t="s">
        <v>41</v>
      </c>
      <c r="G157" s="33"/>
      <c r="H157" s="124" cm="1">
        <f t="array" ref="H157">IF(SUMPRODUCT(--EXACT(B157,Layers!$A$3:$A$268))=0,"No match",SUMPRODUCT(--EXACT(B157,Layers!$A$3:$A$268)))</f>
        <v>1</v>
      </c>
    </row>
    <row r="158" spans="1:8" ht="15.75" customHeight="1" x14ac:dyDescent="0.2">
      <c r="A158" s="121" t="str">
        <f t="shared" si="3"/>
        <v>CMF_1980_INTERMEDIATE_FLOOR_SPACE</v>
      </c>
      <c r="B158" s="65" t="s">
        <v>248</v>
      </c>
      <c r="C158" s="65" t="s">
        <v>8</v>
      </c>
      <c r="D158" s="33">
        <v>0</v>
      </c>
      <c r="E158" s="65" t="s">
        <v>236</v>
      </c>
      <c r="F158" s="65" t="s">
        <v>41</v>
      </c>
      <c r="G158" s="33"/>
      <c r="H158" s="124" cm="1">
        <f t="array" ref="H158">IF(SUMPRODUCT(--EXACT(B158,Layers!$A$3:$A$268))=0,"No match",SUMPRODUCT(--EXACT(B158,Layers!$A$3:$A$268)))</f>
        <v>1</v>
      </c>
    </row>
    <row r="159" spans="1:8" ht="15.75" customHeight="1" x14ac:dyDescent="0.2">
      <c r="A159" s="121" t="str">
        <f t="shared" si="3"/>
        <v>CMF_1980_EXT_WALL_STRUCTURE</v>
      </c>
      <c r="B159" s="65" t="s">
        <v>310</v>
      </c>
      <c r="C159" s="65" t="s">
        <v>17</v>
      </c>
      <c r="D159" s="33">
        <v>0</v>
      </c>
      <c r="E159" s="65" t="s">
        <v>232</v>
      </c>
      <c r="F159" s="65" t="s">
        <v>41</v>
      </c>
      <c r="G159" s="33"/>
      <c r="H159" s="124" cm="1">
        <f t="array" ref="H159">IF(SUMPRODUCT(--EXACT(B159,Layers!$A$3:$A$268))=0,"No match",SUMPRODUCT(--EXACT(B159,Layers!$A$3:$A$268)))</f>
        <v>1</v>
      </c>
    </row>
    <row r="160" spans="1:8" ht="15.75" customHeight="1" x14ac:dyDescent="0.2">
      <c r="A160" s="121" t="str">
        <f t="shared" si="3"/>
        <v>CMF_1980_EXT_WALL_SKIN</v>
      </c>
      <c r="B160" s="65" t="s">
        <v>254</v>
      </c>
      <c r="C160" s="65" t="s">
        <v>17</v>
      </c>
      <c r="D160" s="33">
        <v>0</v>
      </c>
      <c r="E160" s="65" t="s">
        <v>228</v>
      </c>
      <c r="F160" s="65" t="s">
        <v>41</v>
      </c>
      <c r="G160" s="33"/>
      <c r="H160" s="124" cm="1">
        <f t="array" ref="H160">IF(SUMPRODUCT(--EXACT(B160,Layers!$A$3:$A$268))=0,"No match",SUMPRODUCT(--EXACT(B160,Layers!$A$3:$A$268)))</f>
        <v>1</v>
      </c>
    </row>
    <row r="161" spans="1:8" ht="15.75" customHeight="1" x14ac:dyDescent="0.2">
      <c r="A161" s="121" t="str">
        <f t="shared" si="3"/>
        <v>CMF_1980_EXT_WALL_SPACE</v>
      </c>
      <c r="B161" s="65" t="s">
        <v>273</v>
      </c>
      <c r="C161" s="65" t="s">
        <v>17</v>
      </c>
      <c r="D161" s="33">
        <v>0</v>
      </c>
      <c r="E161" s="65" t="s">
        <v>236</v>
      </c>
      <c r="F161" s="65" t="s">
        <v>41</v>
      </c>
      <c r="G161" s="33"/>
      <c r="H161" s="124" cm="1">
        <f t="array" ref="H161">IF(SUMPRODUCT(--EXACT(B161,Layers!$A$3:$A$268))=0,"No match",SUMPRODUCT(--EXACT(B161,Layers!$A$3:$A$268)))</f>
        <v>1</v>
      </c>
    </row>
    <row r="162" spans="1:8" ht="15.75" customHeight="1" x14ac:dyDescent="0.2">
      <c r="A162" s="121" t="str">
        <f t="shared" si="3"/>
        <v>CMF_1980_INT_WALL_LOADBEARING_STRUCTURE</v>
      </c>
      <c r="B162" s="65" t="s">
        <v>243</v>
      </c>
      <c r="C162" s="65" t="s">
        <v>15</v>
      </c>
      <c r="D162" s="33">
        <v>0</v>
      </c>
      <c r="E162" s="65" t="s">
        <v>232</v>
      </c>
      <c r="F162" s="65" t="s">
        <v>41</v>
      </c>
      <c r="G162" s="33"/>
      <c r="H162" s="124" cm="1">
        <f t="array" ref="H162">IF(SUMPRODUCT(--EXACT(B162,Layers!$A$3:$A$268))=0,"No match",SUMPRODUCT(--EXACT(B162,Layers!$A$3:$A$268)))</f>
        <v>1</v>
      </c>
    </row>
    <row r="163" spans="1:8" ht="15.75" customHeight="1" x14ac:dyDescent="0.2">
      <c r="A163" s="121" t="str">
        <f t="shared" si="3"/>
        <v>CMF_1980_GROUND_FLOOR_STRUCTURE</v>
      </c>
      <c r="B163" s="65" t="s">
        <v>295</v>
      </c>
      <c r="C163" s="65" t="s">
        <v>9</v>
      </c>
      <c r="D163" s="33">
        <v>0</v>
      </c>
      <c r="E163" s="65" t="s">
        <v>232</v>
      </c>
      <c r="F163" s="65" t="s">
        <v>41</v>
      </c>
      <c r="G163" s="33"/>
      <c r="H163" s="124" cm="1">
        <f t="array" ref="H163">IF(SUMPRODUCT(--EXACT(B163,Layers!$A$3:$A$268))=0,"No match",SUMPRODUCT(--EXACT(B163,Layers!$A$3:$A$268)))</f>
        <v>1</v>
      </c>
    </row>
    <row r="164" spans="1:8" ht="15.75" customHeight="1" x14ac:dyDescent="0.2">
      <c r="A164" s="121" t="str">
        <f t="shared" si="3"/>
        <v>CMF_1980_GROUND_FLOOR_STRUCTURE</v>
      </c>
      <c r="B164" s="65" t="s">
        <v>311</v>
      </c>
      <c r="C164" s="65" t="s">
        <v>9</v>
      </c>
      <c r="D164" s="33">
        <v>1</v>
      </c>
      <c r="E164" s="65" t="s">
        <v>232</v>
      </c>
      <c r="F164" s="65" t="s">
        <v>41</v>
      </c>
      <c r="G164" s="33"/>
      <c r="H164" s="124" cm="1">
        <f t="array" ref="H164">IF(SUMPRODUCT(--EXACT(B164,Layers!$A$3:$A$268))=0,"No match",SUMPRODUCT(--EXACT(B164,Layers!$A$3:$A$268)))</f>
        <v>1</v>
      </c>
    </row>
    <row r="165" spans="1:8" ht="15.75" customHeight="1" x14ac:dyDescent="0.2">
      <c r="A165" s="121" t="str">
        <f t="shared" si="3"/>
        <v>CMF_1980_GROUND_FLOOR_SPACE</v>
      </c>
      <c r="B165" s="65" t="s">
        <v>248</v>
      </c>
      <c r="C165" s="65" t="s">
        <v>9</v>
      </c>
      <c r="D165" s="33">
        <v>0</v>
      </c>
      <c r="E165" s="65" t="s">
        <v>236</v>
      </c>
      <c r="F165" s="65" t="s">
        <v>41</v>
      </c>
      <c r="G165" s="33"/>
      <c r="H165" s="124" cm="1">
        <f t="array" ref="H165">IF(SUMPRODUCT(--EXACT(B165,Layers!$A$3:$A$268))=0,"No match",SUMPRODUCT(--EXACT(B165,Layers!$A$3:$A$268)))</f>
        <v>1</v>
      </c>
    </row>
    <row r="166" spans="1:8" ht="15.75" customHeight="1" x14ac:dyDescent="0.2">
      <c r="A166" s="121" t="str">
        <f t="shared" si="3"/>
        <v>CMF_1980_BASEMENT_FLOOR_SKIN</v>
      </c>
      <c r="B166" s="65"/>
      <c r="C166" s="65" t="s">
        <v>10</v>
      </c>
      <c r="D166" s="33">
        <v>0</v>
      </c>
      <c r="E166" s="65" t="s">
        <v>228</v>
      </c>
      <c r="F166" s="65" t="s">
        <v>41</v>
      </c>
      <c r="G166" s="33" t="s">
        <v>253</v>
      </c>
      <c r="H166" s="124" cm="1">
        <f t="array" ref="H166">IF(SUMPRODUCT(--EXACT(B166,Layers!$A$3:$A$268))=0,"No match",SUMPRODUCT(--EXACT(B166,Layers!$A$3:$A$268)))</f>
        <v>186</v>
      </c>
    </row>
    <row r="167" spans="1:8" ht="15.75" customHeight="1" x14ac:dyDescent="0.2">
      <c r="A167" s="121" t="str">
        <f t="shared" si="3"/>
        <v>CMF_1980_BASEMENT_FLOOR_STRUCTURE</v>
      </c>
      <c r="B167" s="65"/>
      <c r="C167" s="65" t="s">
        <v>10</v>
      </c>
      <c r="D167" s="33">
        <v>0</v>
      </c>
      <c r="E167" s="65" t="s">
        <v>232</v>
      </c>
      <c r="F167" s="65" t="s">
        <v>41</v>
      </c>
      <c r="G167" s="33" t="s">
        <v>253</v>
      </c>
      <c r="H167" s="124" cm="1">
        <f t="array" ref="H167">IF(SUMPRODUCT(--EXACT(B167,Layers!$A$3:$A$268))=0,"No match",SUMPRODUCT(--EXACT(B167,Layers!$A$3:$A$268)))</f>
        <v>186</v>
      </c>
    </row>
    <row r="168" spans="1:8" ht="15.75" customHeight="1" x14ac:dyDescent="0.2">
      <c r="A168" s="121" t="str">
        <f t="shared" si="3"/>
        <v>CMF_1980_BASEMENT_FLOOR_SPACE</v>
      </c>
      <c r="B168" s="65"/>
      <c r="C168" s="65" t="s">
        <v>10</v>
      </c>
      <c r="D168" s="33">
        <v>0</v>
      </c>
      <c r="E168" s="65" t="s">
        <v>236</v>
      </c>
      <c r="F168" s="65" t="s">
        <v>41</v>
      </c>
      <c r="G168" s="33" t="s">
        <v>253</v>
      </c>
      <c r="H168" s="124" cm="1">
        <f t="array" ref="H168">IF(SUMPRODUCT(--EXACT(B168,Layers!$A$3:$A$268))=0,"No match",SUMPRODUCT(--EXACT(B168,Layers!$A$3:$A$268)))</f>
        <v>186</v>
      </c>
    </row>
    <row r="169" spans="1:8" ht="15.75" customHeight="1" x14ac:dyDescent="0.2">
      <c r="A169" s="121" t="str">
        <f t="shared" si="3"/>
        <v>CMF_1980_INT_WALL_NONLOADBEARING_SPACE</v>
      </c>
      <c r="B169" s="65"/>
      <c r="C169" s="65" t="s">
        <v>16</v>
      </c>
      <c r="D169" s="33">
        <v>0</v>
      </c>
      <c r="E169" s="65" t="s">
        <v>236</v>
      </c>
      <c r="F169" s="65" t="s">
        <v>41</v>
      </c>
      <c r="G169" s="33" t="s">
        <v>253</v>
      </c>
      <c r="H169" s="124" cm="1">
        <f t="array" ref="H169">IF(SUMPRODUCT(--EXACT(B169,Layers!$A$3:$A$268))=0,"No match",SUMPRODUCT(--EXACT(B169,Layers!$A$3:$A$268)))</f>
        <v>186</v>
      </c>
    </row>
    <row r="170" spans="1:8" ht="15.75" customHeight="1" x14ac:dyDescent="0.2">
      <c r="A170" s="121" t="str">
        <f t="shared" si="3"/>
        <v>CMF_1980_INT_WALL_NONLOADBEARING_STRUCTURE</v>
      </c>
      <c r="B170" s="65"/>
      <c r="C170" s="65" t="s">
        <v>16</v>
      </c>
      <c r="D170" s="33">
        <v>0</v>
      </c>
      <c r="E170" s="65" t="s">
        <v>232</v>
      </c>
      <c r="F170" s="65" t="s">
        <v>41</v>
      </c>
      <c r="G170" s="33" t="s">
        <v>253</v>
      </c>
      <c r="H170" s="124" cm="1">
        <f t="array" ref="H170">IF(SUMPRODUCT(--EXACT(B170,Layers!$A$3:$A$268))=0,"No match",SUMPRODUCT(--EXACT(B170,Layers!$A$3:$A$268)))</f>
        <v>186</v>
      </c>
    </row>
    <row r="171" spans="1:8" ht="15.75" customHeight="1" x14ac:dyDescent="0.2">
      <c r="A171" s="121" t="str">
        <f t="shared" si="3"/>
        <v>CMF_1980_BASEMENT_WALL_SKIN</v>
      </c>
      <c r="B171" s="65"/>
      <c r="C171" s="65" t="s">
        <v>14</v>
      </c>
      <c r="D171" s="33">
        <v>0</v>
      </c>
      <c r="E171" s="65" t="s">
        <v>228</v>
      </c>
      <c r="F171" s="65" t="s">
        <v>41</v>
      </c>
      <c r="G171" s="33" t="s">
        <v>253</v>
      </c>
      <c r="H171" s="124" cm="1">
        <f t="array" ref="H171">IF(SUMPRODUCT(--EXACT(B171,Layers!$A$3:$A$268))=0,"No match",SUMPRODUCT(--EXACT(B171,Layers!$A$3:$A$268)))</f>
        <v>186</v>
      </c>
    </row>
    <row r="172" spans="1:8" ht="15.75" customHeight="1" x14ac:dyDescent="0.2">
      <c r="A172" s="121" t="str">
        <f t="shared" si="3"/>
        <v>CMF_1980_BASEMENT_WALL_STRUCTURE</v>
      </c>
      <c r="B172" s="65"/>
      <c r="C172" s="65" t="s">
        <v>14</v>
      </c>
      <c r="D172" s="33">
        <v>0</v>
      </c>
      <c r="E172" s="65" t="s">
        <v>232</v>
      </c>
      <c r="F172" s="65" t="s">
        <v>41</v>
      </c>
      <c r="G172" s="33" t="s">
        <v>253</v>
      </c>
      <c r="H172" s="124" cm="1">
        <f t="array" ref="H172">IF(SUMPRODUCT(--EXACT(B172,Layers!$A$3:$A$268))=0,"No match",SUMPRODUCT(--EXACT(B172,Layers!$A$3:$A$268)))</f>
        <v>186</v>
      </c>
    </row>
    <row r="173" spans="1:8" ht="15.75" customHeight="1" x14ac:dyDescent="0.2">
      <c r="A173" s="121" t="str">
        <f t="shared" si="3"/>
        <v>CMF_1980_BASEMENT_WALL_SPACE</v>
      </c>
      <c r="B173" s="65"/>
      <c r="C173" s="65" t="s">
        <v>14</v>
      </c>
      <c r="D173" s="33">
        <v>0</v>
      </c>
      <c r="E173" s="65" t="s">
        <v>236</v>
      </c>
      <c r="F173" s="65" t="s">
        <v>41</v>
      </c>
      <c r="G173" s="33" t="s">
        <v>253</v>
      </c>
      <c r="H173" s="124" cm="1">
        <f t="array" ref="H173">IF(SUMPRODUCT(--EXACT(B173,Layers!$A$3:$A$268))=0,"No match",SUMPRODUCT(--EXACT(B173,Layers!$A$3:$A$268)))</f>
        <v>186</v>
      </c>
    </row>
    <row r="174" spans="1:8" ht="15.75" customHeight="1" x14ac:dyDescent="0.2">
      <c r="A174" s="121" t="str">
        <f t="shared" si="3"/>
        <v>CMF_1960_1_BASEMENT_FLOOR_SKIN</v>
      </c>
      <c r="B174" s="65"/>
      <c r="C174" s="65" t="s">
        <v>10</v>
      </c>
      <c r="D174" s="33">
        <v>0</v>
      </c>
      <c r="E174" s="65" t="s">
        <v>228</v>
      </c>
      <c r="F174" s="65" t="s">
        <v>31</v>
      </c>
      <c r="G174" s="33" t="s">
        <v>253</v>
      </c>
      <c r="H174" s="124" cm="1">
        <f t="array" ref="H174">IF(SUMPRODUCT(--EXACT(B174,Layers!$A$3:$A$268))=0,"No match",SUMPRODUCT(--EXACT(B174,Layers!$A$3:$A$268)))</f>
        <v>186</v>
      </c>
    </row>
    <row r="175" spans="1:8" ht="15.75" customHeight="1" x14ac:dyDescent="0.2">
      <c r="A175" s="121" t="str">
        <f t="shared" si="3"/>
        <v>CMF_1960_1_BASEMENT_FLOOR_STRUCTURE</v>
      </c>
      <c r="B175" s="65"/>
      <c r="C175" s="65" t="s">
        <v>10</v>
      </c>
      <c r="D175" s="33">
        <v>0</v>
      </c>
      <c r="E175" s="65" t="s">
        <v>232</v>
      </c>
      <c r="F175" s="65" t="s">
        <v>31</v>
      </c>
      <c r="G175" s="33" t="s">
        <v>253</v>
      </c>
      <c r="H175" s="124" cm="1">
        <f t="array" ref="H175">IF(SUMPRODUCT(--EXACT(B175,Layers!$A$3:$A$268))=0,"No match",SUMPRODUCT(--EXACT(B175,Layers!$A$3:$A$268)))</f>
        <v>186</v>
      </c>
    </row>
    <row r="176" spans="1:8" ht="15.75" customHeight="1" x14ac:dyDescent="0.2">
      <c r="A176" s="121" t="str">
        <f t="shared" si="3"/>
        <v>CMF_1960_1_BASEMENT_FLOOR_SPACE</v>
      </c>
      <c r="B176" s="65"/>
      <c r="C176" s="65" t="s">
        <v>10</v>
      </c>
      <c r="D176" s="33">
        <v>0</v>
      </c>
      <c r="E176" s="65" t="s">
        <v>236</v>
      </c>
      <c r="F176" s="65" t="s">
        <v>31</v>
      </c>
      <c r="G176" s="33" t="s">
        <v>253</v>
      </c>
      <c r="H176" s="124" cm="1">
        <f t="array" ref="H176">IF(SUMPRODUCT(--EXACT(B176,Layers!$A$3:$A$268))=0,"No match",SUMPRODUCT(--EXACT(B176,Layers!$A$3:$A$268)))</f>
        <v>186</v>
      </c>
    </row>
    <row r="177" spans="1:8" ht="15.75" customHeight="1" x14ac:dyDescent="0.2">
      <c r="A177" s="121" t="str">
        <f t="shared" si="3"/>
        <v>CMF_1960_1_BASEMENT_WALL_SKIN</v>
      </c>
      <c r="B177" s="65"/>
      <c r="C177" s="65" t="s">
        <v>14</v>
      </c>
      <c r="D177" s="33">
        <v>0</v>
      </c>
      <c r="E177" s="65" t="s">
        <v>228</v>
      </c>
      <c r="F177" s="65" t="s">
        <v>31</v>
      </c>
      <c r="G177" s="33" t="s">
        <v>253</v>
      </c>
      <c r="H177" s="124" cm="1">
        <f t="array" ref="H177">IF(SUMPRODUCT(--EXACT(B177,Layers!$A$3:$A$268))=0,"No match",SUMPRODUCT(--EXACT(B177,Layers!$A$3:$A$268)))</f>
        <v>186</v>
      </c>
    </row>
    <row r="178" spans="1:8" ht="15.75" customHeight="1" x14ac:dyDescent="0.2">
      <c r="A178" s="121" t="str">
        <f t="shared" si="3"/>
        <v>CMF_1960_1_BASEMENT_WALL_STRUCTURE</v>
      </c>
      <c r="B178" s="65"/>
      <c r="C178" s="65" t="s">
        <v>14</v>
      </c>
      <c r="D178" s="33">
        <v>0</v>
      </c>
      <c r="E178" s="65" t="s">
        <v>232</v>
      </c>
      <c r="F178" s="65" t="s">
        <v>31</v>
      </c>
      <c r="G178" s="33" t="s">
        <v>253</v>
      </c>
      <c r="H178" s="124" cm="1">
        <f t="array" ref="H178">IF(SUMPRODUCT(--EXACT(B178,Layers!$A$3:$A$268))=0,"No match",SUMPRODUCT(--EXACT(B178,Layers!$A$3:$A$268)))</f>
        <v>186</v>
      </c>
    </row>
    <row r="179" spans="1:8" ht="15.75" customHeight="1" x14ac:dyDescent="0.2">
      <c r="A179" s="121" t="str">
        <f t="shared" si="3"/>
        <v>CMF_1960_1_BASEMENT_WALL_SPACE</v>
      </c>
      <c r="B179" s="65"/>
      <c r="C179" s="65" t="s">
        <v>14</v>
      </c>
      <c r="D179" s="33">
        <v>0</v>
      </c>
      <c r="E179" s="65" t="s">
        <v>236</v>
      </c>
      <c r="F179" s="65" t="s">
        <v>31</v>
      </c>
      <c r="G179" s="33" t="s">
        <v>253</v>
      </c>
      <c r="H179" s="124" cm="1">
        <f t="array" ref="H179">IF(SUMPRODUCT(--EXACT(B179,Layers!$A$3:$A$268))=0,"No match",SUMPRODUCT(--EXACT(B179,Layers!$A$3:$A$268)))</f>
        <v>186</v>
      </c>
    </row>
    <row r="180" spans="1:8" ht="15.75" customHeight="1" x14ac:dyDescent="0.2">
      <c r="A180" s="29"/>
      <c r="B180" s="29"/>
      <c r="C180" s="29"/>
      <c r="D180" s="29"/>
      <c r="E180" s="29"/>
      <c r="F180" s="29"/>
      <c r="G180" s="29"/>
    </row>
    <row r="181" spans="1:8" ht="15.75" customHeight="1" x14ac:dyDescent="0.2">
      <c r="A181" s="29"/>
      <c r="B181" s="29"/>
      <c r="C181" s="29"/>
      <c r="D181" s="29"/>
      <c r="E181" s="29"/>
      <c r="F181" s="29"/>
      <c r="G181" s="29"/>
    </row>
    <row r="182" spans="1:8" ht="15.75" customHeight="1" x14ac:dyDescent="0.2">
      <c r="A182" s="29"/>
      <c r="B182" s="29"/>
      <c r="C182" s="29"/>
      <c r="D182" s="29"/>
      <c r="E182" s="29"/>
      <c r="F182" s="29"/>
      <c r="G182" s="29"/>
    </row>
    <row r="183" spans="1:8" ht="15.75" customHeight="1" x14ac:dyDescent="0.2">
      <c r="A183" s="29"/>
      <c r="B183" s="29"/>
      <c r="C183" s="29"/>
      <c r="D183" s="29"/>
      <c r="E183" s="29"/>
      <c r="F183" s="29"/>
      <c r="G183" s="29"/>
    </row>
    <row r="184" spans="1:8" ht="15.75" customHeight="1" x14ac:dyDescent="0.2">
      <c r="A184" s="29"/>
      <c r="B184" s="29"/>
      <c r="C184" s="29"/>
      <c r="D184" s="29"/>
      <c r="E184" s="29"/>
      <c r="F184" s="29"/>
      <c r="G184" s="29"/>
    </row>
    <row r="185" spans="1:8" ht="15.75" customHeight="1" x14ac:dyDescent="0.2">
      <c r="A185" s="29"/>
      <c r="B185" s="29"/>
      <c r="C185" s="29"/>
      <c r="D185" s="29"/>
      <c r="E185" s="29"/>
      <c r="F185" s="29"/>
      <c r="G185" s="29"/>
    </row>
    <row r="186" spans="1:8" ht="15.75" customHeight="1" x14ac:dyDescent="0.2">
      <c r="A186" s="29"/>
      <c r="B186" s="29"/>
      <c r="C186" s="29"/>
      <c r="D186" s="29"/>
      <c r="E186" s="29"/>
      <c r="F186" s="29"/>
      <c r="G186" s="29"/>
    </row>
    <row r="187" spans="1:8" ht="15.75" customHeight="1" x14ac:dyDescent="0.2">
      <c r="A187" s="29"/>
      <c r="B187" s="29"/>
      <c r="C187" s="29"/>
      <c r="D187" s="29"/>
      <c r="E187" s="29"/>
      <c r="F187" s="29"/>
      <c r="G187" s="29"/>
    </row>
    <row r="188" spans="1:8" ht="15.75" customHeight="1" x14ac:dyDescent="0.2">
      <c r="A188" s="29"/>
      <c r="B188" s="29"/>
      <c r="C188" s="29"/>
      <c r="D188" s="29"/>
      <c r="E188" s="29"/>
      <c r="F188" s="29"/>
      <c r="G188" s="29"/>
    </row>
    <row r="189" spans="1:8" ht="15.75" customHeight="1" x14ac:dyDescent="0.2">
      <c r="A189" s="29"/>
      <c r="B189" s="29"/>
      <c r="C189" s="29"/>
      <c r="D189" s="29"/>
      <c r="E189" s="29"/>
      <c r="F189" s="29"/>
      <c r="G189" s="29"/>
    </row>
    <row r="190" spans="1:8" ht="15.75" customHeight="1" x14ac:dyDescent="0.2">
      <c r="A190" s="29"/>
      <c r="B190" s="29"/>
      <c r="C190" s="29"/>
      <c r="D190" s="29"/>
      <c r="E190" s="29"/>
      <c r="F190" s="29"/>
      <c r="G190" s="29"/>
    </row>
    <row r="191" spans="1:8" ht="15.75" customHeight="1" x14ac:dyDescent="0.2">
      <c r="A191" s="29"/>
      <c r="B191" s="29"/>
      <c r="C191" s="29"/>
      <c r="D191" s="29"/>
      <c r="E191" s="29"/>
      <c r="F191" s="29"/>
      <c r="G191" s="29"/>
    </row>
    <row r="192" spans="1:8" ht="15.75" customHeight="1" x14ac:dyDescent="0.2">
      <c r="A192" s="29"/>
      <c r="B192" s="29"/>
      <c r="C192" s="29"/>
      <c r="D192" s="29"/>
      <c r="E192" s="29"/>
      <c r="F192" s="29"/>
      <c r="G192" s="29"/>
    </row>
    <row r="193" spans="1:7" ht="15.75" customHeight="1" x14ac:dyDescent="0.2">
      <c r="A193" s="29"/>
      <c r="B193" s="29"/>
      <c r="C193" s="29"/>
      <c r="D193" s="29"/>
      <c r="E193" s="29"/>
      <c r="F193" s="29"/>
      <c r="G193" s="29"/>
    </row>
    <row r="194" spans="1:7" ht="15.75" customHeight="1" x14ac:dyDescent="0.2">
      <c r="A194" s="29"/>
      <c r="B194" s="29"/>
      <c r="C194" s="29"/>
      <c r="D194" s="29"/>
      <c r="E194" s="29"/>
      <c r="F194" s="29"/>
      <c r="G194" s="29"/>
    </row>
    <row r="195" spans="1:7" ht="15.75" customHeight="1" x14ac:dyDescent="0.2">
      <c r="A195" s="29"/>
      <c r="B195" s="29"/>
      <c r="C195" s="29"/>
      <c r="D195" s="29"/>
      <c r="E195" s="29"/>
      <c r="F195" s="29"/>
      <c r="G195" s="29"/>
    </row>
    <row r="196" spans="1:7" ht="15.75" customHeight="1" x14ac:dyDescent="0.2">
      <c r="A196" s="29"/>
      <c r="B196" s="29"/>
      <c r="C196" s="29"/>
      <c r="D196" s="29"/>
      <c r="E196" s="29"/>
      <c r="F196" s="29"/>
      <c r="G196" s="29"/>
    </row>
    <row r="197" spans="1:7" ht="15.75" customHeight="1" x14ac:dyDescent="0.2">
      <c r="A197" s="29"/>
      <c r="B197" s="29"/>
      <c r="C197" s="29"/>
      <c r="D197" s="29"/>
      <c r="E197" s="29"/>
      <c r="F197" s="29"/>
      <c r="G197" s="29"/>
    </row>
    <row r="198" spans="1:7" ht="15.75" customHeight="1" x14ac:dyDescent="0.2">
      <c r="A198" s="29"/>
      <c r="B198" s="29"/>
      <c r="C198" s="29"/>
      <c r="D198" s="29"/>
      <c r="E198" s="29"/>
      <c r="F198" s="29"/>
      <c r="G198" s="29"/>
    </row>
    <row r="199" spans="1:7" ht="15.75" customHeight="1" x14ac:dyDescent="0.2">
      <c r="A199" s="29"/>
      <c r="B199" s="29"/>
      <c r="C199" s="29"/>
      <c r="D199" s="29"/>
      <c r="E199" s="29"/>
      <c r="F199" s="29"/>
      <c r="G199" s="29"/>
    </row>
    <row r="200" spans="1:7" ht="15.75" customHeight="1" x14ac:dyDescent="0.2">
      <c r="A200" s="29"/>
      <c r="B200" s="29"/>
      <c r="C200" s="29"/>
      <c r="D200" s="29"/>
      <c r="E200" s="29"/>
      <c r="F200" s="29"/>
      <c r="G200" s="29"/>
    </row>
    <row r="201" spans="1:7" ht="15.75" customHeight="1" x14ac:dyDescent="0.2">
      <c r="A201" s="29"/>
      <c r="B201" s="29"/>
      <c r="C201" s="29"/>
      <c r="D201" s="29"/>
      <c r="E201" s="29"/>
      <c r="F201" s="29"/>
      <c r="G201" s="29"/>
    </row>
    <row r="202" spans="1:7" ht="15.75" customHeight="1" x14ac:dyDescent="0.2">
      <c r="A202" s="29"/>
      <c r="B202" s="29"/>
      <c r="C202" s="29"/>
      <c r="D202" s="29"/>
      <c r="E202" s="29"/>
      <c r="F202" s="29"/>
      <c r="G202" s="29"/>
    </row>
    <row r="203" spans="1:7" ht="15.75" customHeight="1" x14ac:dyDescent="0.2">
      <c r="A203" s="29"/>
      <c r="B203" s="29"/>
      <c r="C203" s="29"/>
      <c r="D203" s="29"/>
      <c r="E203" s="29"/>
      <c r="F203" s="29"/>
      <c r="G203" s="29"/>
    </row>
    <row r="204" spans="1:7" ht="15.75" customHeight="1" x14ac:dyDescent="0.2">
      <c r="A204" s="29"/>
      <c r="B204" s="29"/>
      <c r="C204" s="29"/>
      <c r="D204" s="29"/>
      <c r="E204" s="29"/>
      <c r="F204" s="29"/>
      <c r="G204" s="29"/>
    </row>
    <row r="205" spans="1:7" ht="15.75" customHeight="1" x14ac:dyDescent="0.2">
      <c r="A205" s="29"/>
      <c r="B205" s="29"/>
      <c r="C205" s="29"/>
      <c r="D205" s="29"/>
      <c r="E205" s="29"/>
      <c r="F205" s="29"/>
      <c r="G205" s="29"/>
    </row>
    <row r="206" spans="1:7" ht="15.75" customHeight="1" x14ac:dyDescent="0.2">
      <c r="A206" s="29"/>
      <c r="B206" s="29"/>
      <c r="C206" s="29"/>
      <c r="D206" s="29"/>
      <c r="E206" s="29"/>
      <c r="F206" s="29"/>
      <c r="G206" s="29"/>
    </row>
    <row r="207" spans="1:7" ht="15.75" customHeight="1" x14ac:dyDescent="0.2">
      <c r="A207" s="29"/>
      <c r="B207" s="29"/>
      <c r="C207" s="29"/>
      <c r="D207" s="29"/>
      <c r="E207" s="29"/>
      <c r="F207" s="29"/>
      <c r="G207" s="29"/>
    </row>
    <row r="208" spans="1:7" ht="15.75" customHeight="1" x14ac:dyDescent="0.2">
      <c r="A208" s="29"/>
      <c r="B208" s="29"/>
      <c r="C208" s="29"/>
      <c r="D208" s="29"/>
      <c r="E208" s="29"/>
      <c r="F208" s="29"/>
      <c r="G208" s="29"/>
    </row>
    <row r="209" spans="1:7" ht="15.75" customHeight="1" x14ac:dyDescent="0.2">
      <c r="A209" s="29"/>
      <c r="B209" s="29"/>
      <c r="C209" s="29"/>
      <c r="D209" s="29"/>
      <c r="E209" s="29"/>
      <c r="F209" s="29"/>
      <c r="G209" s="29"/>
    </row>
    <row r="210" spans="1:7" ht="15.75" customHeight="1" x14ac:dyDescent="0.2">
      <c r="A210" s="29"/>
      <c r="B210" s="29"/>
      <c r="C210" s="29"/>
      <c r="D210" s="29"/>
      <c r="E210" s="29"/>
      <c r="F210" s="29"/>
      <c r="G210" s="29"/>
    </row>
    <row r="211" spans="1:7" ht="15.75" customHeight="1" x14ac:dyDescent="0.2">
      <c r="A211" s="29"/>
      <c r="B211" s="29"/>
      <c r="C211" s="29"/>
      <c r="D211" s="29"/>
      <c r="E211" s="29"/>
      <c r="F211" s="29"/>
      <c r="G211" s="29"/>
    </row>
    <row r="212" spans="1:7" ht="15.75" customHeight="1" x14ac:dyDescent="0.2">
      <c r="A212" s="29"/>
      <c r="B212" s="29"/>
      <c r="C212" s="29"/>
      <c r="D212" s="29"/>
      <c r="E212" s="29"/>
      <c r="F212" s="29"/>
      <c r="G212" s="29"/>
    </row>
    <row r="213" spans="1:7" ht="15.75" customHeight="1" x14ac:dyDescent="0.2">
      <c r="A213" s="29"/>
      <c r="B213" s="29"/>
      <c r="C213" s="29"/>
      <c r="D213" s="29"/>
      <c r="E213" s="29"/>
      <c r="F213" s="29"/>
      <c r="G213" s="29"/>
    </row>
    <row r="214" spans="1:7" ht="15.75" customHeight="1" x14ac:dyDescent="0.2">
      <c r="A214" s="29"/>
      <c r="B214" s="29"/>
      <c r="C214" s="29"/>
      <c r="D214" s="29"/>
      <c r="E214" s="29"/>
      <c r="F214" s="29"/>
      <c r="G214" s="29"/>
    </row>
    <row r="215" spans="1:7" ht="15.75" customHeight="1" x14ac:dyDescent="0.2">
      <c r="A215" s="29"/>
      <c r="B215" s="29"/>
      <c r="C215" s="29"/>
      <c r="D215" s="29"/>
      <c r="E215" s="29"/>
      <c r="F215" s="29"/>
      <c r="G215" s="29"/>
    </row>
    <row r="216" spans="1:7" ht="15.75" customHeight="1" x14ac:dyDescent="0.2">
      <c r="A216" s="29"/>
      <c r="B216" s="29"/>
      <c r="C216" s="29"/>
      <c r="D216" s="29"/>
      <c r="E216" s="29"/>
      <c r="F216" s="29"/>
      <c r="G216" s="29"/>
    </row>
    <row r="217" spans="1:7" ht="15.75" customHeight="1" x14ac:dyDescent="0.2">
      <c r="A217" s="29"/>
      <c r="B217" s="29"/>
      <c r="C217" s="29"/>
      <c r="D217" s="29"/>
      <c r="E217" s="29"/>
      <c r="F217" s="29"/>
      <c r="G217" s="29"/>
    </row>
    <row r="218" spans="1:7" ht="15.75" customHeight="1" x14ac:dyDescent="0.2">
      <c r="A218" s="29"/>
      <c r="B218" s="29"/>
      <c r="C218" s="29"/>
      <c r="D218" s="29"/>
      <c r="E218" s="29"/>
      <c r="F218" s="29"/>
      <c r="G218" s="29"/>
    </row>
    <row r="219" spans="1:7" ht="15.75" customHeight="1" x14ac:dyDescent="0.2">
      <c r="B219" s="29"/>
      <c r="C219" s="29"/>
      <c r="D219" s="29"/>
      <c r="E219" s="29"/>
      <c r="F219" s="29"/>
      <c r="G219" s="29"/>
    </row>
    <row r="220" spans="1:7" ht="15.75" customHeight="1" x14ac:dyDescent="0.2">
      <c r="B220" s="29"/>
      <c r="C220" s="29"/>
      <c r="D220" s="29"/>
      <c r="E220" s="29"/>
      <c r="F220" s="29"/>
      <c r="G220" s="29"/>
    </row>
    <row r="221" spans="1:7" ht="15.75" customHeight="1" x14ac:dyDescent="0.2">
      <c r="B221" s="29"/>
      <c r="C221" s="29"/>
      <c r="D221" s="29"/>
      <c r="E221" s="29"/>
      <c r="F221" s="29"/>
      <c r="G221" s="29"/>
    </row>
    <row r="222" spans="1:7" ht="15.75" customHeight="1" x14ac:dyDescent="0.2">
      <c r="B222" s="29"/>
      <c r="C222" s="29"/>
      <c r="D222" s="29"/>
      <c r="E222" s="29"/>
      <c r="F222" s="29"/>
      <c r="G222" s="29"/>
    </row>
    <row r="223" spans="1:7" ht="15.75" customHeight="1" x14ac:dyDescent="0.2">
      <c r="B223" s="29"/>
      <c r="C223" s="29"/>
      <c r="D223" s="29"/>
      <c r="E223" s="29"/>
      <c r="F223" s="29"/>
      <c r="G223" s="29"/>
    </row>
    <row r="224" spans="1:7" ht="15.75" customHeight="1" x14ac:dyDescent="0.2">
      <c r="B224" s="29"/>
      <c r="C224" s="29"/>
      <c r="D224" s="29"/>
      <c r="E224" s="29"/>
      <c r="F224" s="29"/>
      <c r="G224" s="29"/>
    </row>
    <row r="225" spans="2:7" ht="15.75" customHeight="1" x14ac:dyDescent="0.2">
      <c r="B225" s="29"/>
      <c r="C225" s="29"/>
      <c r="D225" s="29"/>
      <c r="E225" s="29"/>
      <c r="F225" s="29"/>
      <c r="G225" s="29"/>
    </row>
    <row r="226" spans="2:7" ht="15.75" customHeight="1" x14ac:dyDescent="0.2">
      <c r="B226" s="29"/>
      <c r="C226" s="29"/>
      <c r="D226" s="29"/>
      <c r="E226" s="29"/>
      <c r="F226" s="29"/>
      <c r="G226" s="29"/>
    </row>
    <row r="227" spans="2:7" ht="15.75" customHeight="1" x14ac:dyDescent="0.2">
      <c r="B227" s="29"/>
      <c r="C227" s="29"/>
      <c r="D227" s="29"/>
      <c r="E227" s="29"/>
      <c r="F227" s="29"/>
      <c r="G227" s="29"/>
    </row>
    <row r="228" spans="2:7" ht="15.75" customHeight="1" x14ac:dyDescent="0.2">
      <c r="B228" s="29"/>
      <c r="C228" s="29"/>
      <c r="D228" s="29"/>
      <c r="E228" s="29"/>
      <c r="F228" s="29"/>
      <c r="G228" s="29"/>
    </row>
    <row r="229" spans="2:7" ht="15.75" customHeight="1" x14ac:dyDescent="0.2">
      <c r="B229" s="29"/>
      <c r="C229" s="29"/>
      <c r="D229" s="29"/>
      <c r="E229" s="29"/>
      <c r="F229" s="29"/>
      <c r="G229" s="29"/>
    </row>
    <row r="230" spans="2:7" ht="15.75" customHeight="1" x14ac:dyDescent="0.2">
      <c r="B230" s="29"/>
      <c r="C230" s="29"/>
      <c r="D230" s="29"/>
      <c r="E230" s="29"/>
      <c r="F230" s="29"/>
      <c r="G230" s="29"/>
    </row>
    <row r="231" spans="2:7" ht="15.75" customHeight="1" x14ac:dyDescent="0.2">
      <c r="B231" s="29"/>
      <c r="C231" s="29"/>
      <c r="D231" s="29"/>
      <c r="E231" s="29"/>
      <c r="F231" s="29"/>
      <c r="G231" s="29"/>
    </row>
    <row r="232" spans="2:7" ht="15.75" customHeight="1" x14ac:dyDescent="0.2">
      <c r="B232" s="29"/>
      <c r="C232" s="29"/>
      <c r="D232" s="29"/>
      <c r="E232" s="29"/>
      <c r="F232" s="29"/>
      <c r="G232" s="29"/>
    </row>
    <row r="233" spans="2:7" ht="15.75" customHeight="1" x14ac:dyDescent="0.2">
      <c r="B233" s="29"/>
      <c r="C233" s="29"/>
      <c r="D233" s="29"/>
      <c r="E233" s="29"/>
      <c r="F233" s="29"/>
      <c r="G233" s="29"/>
    </row>
    <row r="234" spans="2:7" ht="15.75" customHeight="1" x14ac:dyDescent="0.2">
      <c r="B234" s="29"/>
      <c r="C234" s="29"/>
      <c r="D234" s="29"/>
      <c r="E234" s="29"/>
      <c r="F234" s="29"/>
      <c r="G234" s="29"/>
    </row>
    <row r="235" spans="2:7" ht="15.75" customHeight="1" x14ac:dyDescent="0.2">
      <c r="B235" s="29"/>
      <c r="C235" s="29"/>
      <c r="D235" s="29"/>
      <c r="E235" s="29"/>
      <c r="F235" s="29"/>
      <c r="G235" s="29"/>
    </row>
    <row r="236" spans="2:7" ht="15.75" customHeight="1" x14ac:dyDescent="0.2">
      <c r="B236" s="29"/>
      <c r="C236" s="29"/>
      <c r="D236" s="29"/>
      <c r="E236" s="29"/>
      <c r="F236" s="29"/>
      <c r="G236" s="29"/>
    </row>
    <row r="237" spans="2:7" ht="15.75" customHeight="1" x14ac:dyDescent="0.2">
      <c r="B237" s="29"/>
      <c r="C237" s="29"/>
      <c r="D237" s="29"/>
      <c r="E237" s="29"/>
      <c r="F237" s="29"/>
      <c r="G237" s="29"/>
    </row>
    <row r="238" spans="2:7" ht="15.75" customHeight="1" x14ac:dyDescent="0.2">
      <c r="B238" s="29"/>
      <c r="C238" s="29"/>
      <c r="D238" s="29"/>
      <c r="E238" s="29"/>
      <c r="F238" s="29"/>
      <c r="G238" s="29"/>
    </row>
    <row r="239" spans="2:7" ht="15.75" customHeight="1" x14ac:dyDescent="0.2">
      <c r="B239" s="29"/>
      <c r="C239" s="29"/>
      <c r="D239" s="29"/>
      <c r="E239" s="29"/>
      <c r="F239" s="29"/>
      <c r="G239" s="29"/>
    </row>
    <row r="240" spans="2:7" ht="15.75" customHeight="1" x14ac:dyDescent="0.2">
      <c r="B240" s="29"/>
      <c r="C240" s="29"/>
      <c r="D240" s="29"/>
      <c r="E240" s="29"/>
      <c r="F240" s="29"/>
      <c r="G240" s="29"/>
    </row>
    <row r="241" spans="2:7" ht="15.75" customHeight="1" x14ac:dyDescent="0.2">
      <c r="B241" s="29"/>
      <c r="C241" s="29"/>
      <c r="D241" s="29"/>
      <c r="E241" s="29"/>
      <c r="F241" s="29"/>
      <c r="G241" s="29"/>
    </row>
    <row r="242" spans="2:7" ht="15.75" customHeight="1" x14ac:dyDescent="0.2">
      <c r="B242" s="29"/>
      <c r="C242" s="29"/>
      <c r="D242" s="29"/>
      <c r="E242" s="29"/>
      <c r="F242" s="29"/>
      <c r="G242" s="29"/>
    </row>
    <row r="243" spans="2:7" ht="15.75" customHeight="1" x14ac:dyDescent="0.2">
      <c r="B243" s="29"/>
      <c r="C243" s="29"/>
      <c r="D243" s="29"/>
      <c r="E243" s="29"/>
      <c r="F243" s="29"/>
      <c r="G243" s="29"/>
    </row>
    <row r="244" spans="2:7" ht="15.75" customHeight="1" x14ac:dyDescent="0.2">
      <c r="B244" s="29"/>
      <c r="C244" s="29"/>
      <c r="D244" s="29"/>
      <c r="E244" s="29"/>
      <c r="F244" s="29"/>
      <c r="G244" s="29"/>
    </row>
    <row r="245" spans="2:7" ht="15.75" customHeight="1" x14ac:dyDescent="0.2">
      <c r="B245" s="29"/>
      <c r="C245" s="29"/>
      <c r="D245" s="29"/>
      <c r="E245" s="29"/>
      <c r="F245" s="29"/>
      <c r="G245" s="29"/>
    </row>
    <row r="246" spans="2:7" ht="15.75" customHeight="1" x14ac:dyDescent="0.2">
      <c r="B246" s="29"/>
      <c r="C246" s="29"/>
      <c r="D246" s="29"/>
      <c r="E246" s="29"/>
      <c r="F246" s="29"/>
      <c r="G246" s="29"/>
    </row>
    <row r="247" spans="2:7" ht="15.75" customHeight="1" x14ac:dyDescent="0.2">
      <c r="B247" s="29"/>
      <c r="C247" s="29"/>
      <c r="D247" s="29"/>
      <c r="E247" s="29"/>
      <c r="F247" s="29"/>
      <c r="G247" s="29"/>
    </row>
    <row r="248" spans="2:7" ht="15.75" customHeight="1" x14ac:dyDescent="0.2">
      <c r="B248" s="29"/>
      <c r="C248" s="29"/>
      <c r="D248" s="29"/>
      <c r="E248" s="29"/>
      <c r="F248" s="29"/>
      <c r="G248" s="29"/>
    </row>
    <row r="249" spans="2:7" ht="15.75" customHeight="1" x14ac:dyDescent="0.2">
      <c r="B249" s="29"/>
      <c r="C249" s="29"/>
      <c r="D249" s="29"/>
      <c r="E249" s="29"/>
      <c r="F249" s="29"/>
      <c r="G249" s="29"/>
    </row>
    <row r="250" spans="2:7" ht="15.75" customHeight="1" x14ac:dyDescent="0.2">
      <c r="B250" s="29"/>
      <c r="C250" s="29"/>
      <c r="D250" s="29"/>
      <c r="E250" s="29"/>
      <c r="F250" s="29"/>
      <c r="G250" s="29"/>
    </row>
    <row r="251" spans="2:7" ht="15.75" customHeight="1" x14ac:dyDescent="0.2">
      <c r="B251" s="29"/>
      <c r="C251" s="29"/>
      <c r="D251" s="29"/>
      <c r="E251" s="29"/>
      <c r="F251" s="29"/>
      <c r="G251" s="29"/>
    </row>
    <row r="252" spans="2:7" ht="15.75" customHeight="1" x14ac:dyDescent="0.2">
      <c r="B252" s="29"/>
      <c r="C252" s="29"/>
      <c r="D252" s="29"/>
      <c r="E252" s="29"/>
      <c r="F252" s="29"/>
      <c r="G252" s="29"/>
    </row>
    <row r="253" spans="2:7" ht="15.75" customHeight="1" x14ac:dyDescent="0.2">
      <c r="B253" s="29"/>
      <c r="C253" s="29"/>
      <c r="D253" s="29"/>
      <c r="E253" s="29"/>
      <c r="F253" s="29"/>
      <c r="G253" s="29"/>
    </row>
    <row r="254" spans="2:7" ht="15.75" customHeight="1" x14ac:dyDescent="0.2">
      <c r="B254" s="29"/>
      <c r="C254" s="29"/>
      <c r="D254" s="29"/>
      <c r="E254" s="29"/>
      <c r="F254" s="29"/>
      <c r="G254" s="29"/>
    </row>
    <row r="255" spans="2:7" ht="15.75" customHeight="1" x14ac:dyDescent="0.2">
      <c r="B255" s="29"/>
      <c r="C255" s="29"/>
      <c r="D255" s="29"/>
      <c r="E255" s="29"/>
      <c r="F255" s="29"/>
      <c r="G255" s="29"/>
    </row>
    <row r="256" spans="2:7" ht="15.75" customHeight="1" x14ac:dyDescent="0.2">
      <c r="B256" s="29"/>
      <c r="C256" s="29"/>
      <c r="D256" s="29"/>
      <c r="E256" s="29"/>
      <c r="F256" s="29"/>
      <c r="G256" s="29"/>
    </row>
    <row r="257" spans="2:7" ht="15.75" customHeight="1" x14ac:dyDescent="0.2">
      <c r="B257" s="29"/>
      <c r="C257" s="29"/>
      <c r="D257" s="29"/>
      <c r="E257" s="29"/>
      <c r="F257" s="29"/>
      <c r="G257" s="29"/>
    </row>
    <row r="258" spans="2:7" ht="15.75" customHeight="1" x14ac:dyDescent="0.2">
      <c r="B258" s="29"/>
      <c r="C258" s="29"/>
      <c r="D258" s="29"/>
      <c r="E258" s="29"/>
      <c r="F258" s="29"/>
      <c r="G258" s="29"/>
    </row>
    <row r="259" spans="2:7" ht="15.75" customHeight="1" x14ac:dyDescent="0.2">
      <c r="B259" s="29"/>
      <c r="C259" s="29"/>
      <c r="D259" s="29"/>
      <c r="E259" s="29"/>
      <c r="F259" s="29"/>
      <c r="G259" s="29"/>
    </row>
    <row r="260" spans="2:7" ht="15.75" customHeight="1" x14ac:dyDescent="0.2">
      <c r="B260" s="29"/>
      <c r="C260" s="29"/>
      <c r="D260" s="29"/>
      <c r="E260" s="29"/>
      <c r="F260" s="29"/>
      <c r="G260" s="29"/>
    </row>
    <row r="261" spans="2:7" ht="15.75" customHeight="1" x14ac:dyDescent="0.2">
      <c r="B261" s="29"/>
      <c r="C261" s="29"/>
      <c r="D261" s="29"/>
      <c r="E261" s="29"/>
      <c r="F261" s="29"/>
      <c r="G261" s="29"/>
    </row>
    <row r="262" spans="2:7" ht="15.75" customHeight="1" x14ac:dyDescent="0.2">
      <c r="B262" s="29"/>
      <c r="C262" s="29"/>
      <c r="D262" s="29"/>
      <c r="E262" s="29"/>
      <c r="F262" s="29"/>
      <c r="G262" s="29"/>
    </row>
    <row r="263" spans="2:7" ht="15.75" customHeight="1" x14ac:dyDescent="0.2">
      <c r="B263" s="29"/>
      <c r="C263" s="29"/>
      <c r="D263" s="29"/>
      <c r="E263" s="29"/>
      <c r="F263" s="29"/>
      <c r="G263" s="29"/>
    </row>
    <row r="264" spans="2:7" ht="15.75" customHeight="1" x14ac:dyDescent="0.2">
      <c r="B264" s="29"/>
      <c r="C264" s="29"/>
      <c r="D264" s="29"/>
      <c r="E264" s="29"/>
      <c r="F264" s="29"/>
      <c r="G264" s="29"/>
    </row>
    <row r="265" spans="2:7" ht="15.75" customHeight="1" x14ac:dyDescent="0.2">
      <c r="B265" s="29"/>
      <c r="C265" s="29"/>
      <c r="D265" s="29"/>
      <c r="E265" s="29"/>
      <c r="F265" s="29"/>
      <c r="G265" s="29"/>
    </row>
    <row r="266" spans="2:7" ht="15.75" customHeight="1" x14ac:dyDescent="0.2">
      <c r="B266" s="29"/>
      <c r="C266" s="29"/>
      <c r="D266" s="29"/>
      <c r="E266" s="29"/>
      <c r="F266" s="29"/>
      <c r="G266" s="29"/>
    </row>
    <row r="267" spans="2:7" ht="15.75" customHeight="1" x14ac:dyDescent="0.2">
      <c r="B267" s="29"/>
      <c r="C267" s="29"/>
      <c r="D267" s="29"/>
      <c r="E267" s="29"/>
      <c r="F267" s="29"/>
      <c r="G267" s="29"/>
    </row>
    <row r="268" spans="2:7" ht="15.75" customHeight="1" x14ac:dyDescent="0.2">
      <c r="B268" s="29"/>
      <c r="C268" s="29"/>
      <c r="D268" s="29"/>
      <c r="E268" s="29"/>
      <c r="F268" s="29"/>
      <c r="G268" s="29"/>
    </row>
    <row r="269" spans="2:7" ht="15.75" customHeight="1" x14ac:dyDescent="0.2">
      <c r="B269" s="29"/>
      <c r="C269" s="29"/>
      <c r="D269" s="29"/>
      <c r="E269" s="29"/>
      <c r="F269" s="29"/>
      <c r="G269" s="29"/>
    </row>
    <row r="270" spans="2:7" ht="15.75" customHeight="1" x14ac:dyDescent="0.2">
      <c r="B270" s="29"/>
      <c r="C270" s="29"/>
      <c r="D270" s="29"/>
      <c r="E270" s="29"/>
      <c r="F270" s="29"/>
      <c r="G270" s="29"/>
    </row>
    <row r="271" spans="2:7" ht="15.75" customHeight="1" x14ac:dyDescent="0.2">
      <c r="B271" s="29"/>
      <c r="C271" s="29"/>
      <c r="D271" s="29"/>
      <c r="E271" s="29"/>
      <c r="F271" s="29"/>
      <c r="G271" s="29"/>
    </row>
    <row r="272" spans="2:7" ht="15.75" customHeight="1" x14ac:dyDescent="0.2">
      <c r="B272" s="29"/>
      <c r="C272" s="29"/>
      <c r="D272" s="29"/>
      <c r="E272" s="29"/>
      <c r="F272" s="29"/>
      <c r="G272" s="29"/>
    </row>
    <row r="273" spans="2:7" ht="15.75" customHeight="1" x14ac:dyDescent="0.2">
      <c r="B273" s="29"/>
      <c r="C273" s="29"/>
      <c r="D273" s="29"/>
      <c r="E273" s="29"/>
      <c r="F273" s="29"/>
      <c r="G273" s="29"/>
    </row>
    <row r="274" spans="2:7" ht="15.75" customHeight="1" x14ac:dyDescent="0.2">
      <c r="B274" s="29"/>
      <c r="C274" s="29"/>
      <c r="D274" s="29"/>
      <c r="E274" s="29"/>
      <c r="F274" s="29"/>
      <c r="G274" s="29"/>
    </row>
    <row r="275" spans="2:7" ht="15.75" customHeight="1" x14ac:dyDescent="0.2">
      <c r="B275" s="29"/>
      <c r="C275" s="29"/>
      <c r="D275" s="29"/>
      <c r="E275" s="29"/>
      <c r="F275" s="29"/>
      <c r="G275" s="29"/>
    </row>
    <row r="276" spans="2:7" ht="15.75" customHeight="1" x14ac:dyDescent="0.2">
      <c r="B276" s="29"/>
      <c r="C276" s="29"/>
      <c r="D276" s="29"/>
      <c r="E276" s="29"/>
      <c r="F276" s="29"/>
      <c r="G276" s="29"/>
    </row>
    <row r="277" spans="2:7" ht="15.75" customHeight="1" x14ac:dyDescent="0.2">
      <c r="B277" s="29"/>
      <c r="C277" s="29"/>
      <c r="D277" s="29"/>
      <c r="E277" s="29"/>
      <c r="F277" s="29"/>
      <c r="G277" s="29"/>
    </row>
    <row r="278" spans="2:7" ht="15.75" customHeight="1" x14ac:dyDescent="0.2">
      <c r="B278" s="29"/>
      <c r="C278" s="29"/>
      <c r="D278" s="29"/>
      <c r="E278" s="29"/>
      <c r="F278" s="29"/>
      <c r="G278" s="29"/>
    </row>
    <row r="279" spans="2:7" ht="15.75" customHeight="1" x14ac:dyDescent="0.2">
      <c r="B279" s="29"/>
      <c r="C279" s="29"/>
      <c r="D279" s="29"/>
      <c r="E279" s="29"/>
      <c r="F279" s="29"/>
      <c r="G279" s="29"/>
    </row>
    <row r="280" spans="2:7" ht="15.75" customHeight="1" x14ac:dyDescent="0.2">
      <c r="B280" s="29"/>
      <c r="C280" s="29"/>
      <c r="D280" s="29"/>
      <c r="E280" s="29"/>
      <c r="F280" s="29"/>
      <c r="G280" s="29"/>
    </row>
    <row r="281" spans="2:7" ht="15.75" customHeight="1" x14ac:dyDescent="0.2">
      <c r="B281" s="29"/>
      <c r="C281" s="29"/>
      <c r="D281" s="29"/>
      <c r="E281" s="29"/>
      <c r="F281" s="29"/>
      <c r="G281" s="29"/>
    </row>
    <row r="282" spans="2:7" ht="15.75" customHeight="1" x14ac:dyDescent="0.2">
      <c r="B282" s="29"/>
      <c r="C282" s="29"/>
      <c r="D282" s="29"/>
      <c r="E282" s="29"/>
      <c r="F282" s="29"/>
      <c r="G282" s="29"/>
    </row>
    <row r="283" spans="2:7" ht="15.75" customHeight="1" x14ac:dyDescent="0.2">
      <c r="B283" s="29"/>
      <c r="C283" s="29"/>
      <c r="D283" s="29"/>
      <c r="E283" s="29"/>
      <c r="F283" s="29"/>
      <c r="G283" s="29"/>
    </row>
    <row r="284" spans="2:7" ht="15.75" customHeight="1" x14ac:dyDescent="0.2">
      <c r="B284" s="29"/>
      <c r="C284" s="29"/>
      <c r="D284" s="29"/>
      <c r="E284" s="29"/>
      <c r="F284" s="29"/>
      <c r="G284" s="29"/>
    </row>
    <row r="285" spans="2:7" ht="15.75" customHeight="1" x14ac:dyDescent="0.2">
      <c r="B285" s="29"/>
      <c r="C285" s="29"/>
      <c r="D285" s="29"/>
      <c r="E285" s="29"/>
      <c r="F285" s="29"/>
      <c r="G285" s="29"/>
    </row>
    <row r="286" spans="2:7" ht="15.75" customHeight="1" x14ac:dyDescent="0.2">
      <c r="B286" s="29"/>
      <c r="C286" s="29"/>
      <c r="D286" s="29"/>
      <c r="E286" s="29"/>
      <c r="F286" s="29"/>
      <c r="G286" s="29"/>
    </row>
    <row r="287" spans="2:7" ht="15.75" customHeight="1" x14ac:dyDescent="0.2">
      <c r="B287" s="29"/>
      <c r="C287" s="29"/>
      <c r="D287" s="29"/>
      <c r="E287" s="29"/>
      <c r="F287" s="29"/>
      <c r="G287" s="29"/>
    </row>
    <row r="288" spans="2:7" ht="15.75" customHeight="1" x14ac:dyDescent="0.2">
      <c r="B288" s="29"/>
      <c r="C288" s="29"/>
      <c r="D288" s="29"/>
      <c r="E288" s="29"/>
      <c r="F288" s="29"/>
      <c r="G288" s="29"/>
    </row>
    <row r="289" spans="2:7" ht="15.75" customHeight="1" x14ac:dyDescent="0.2">
      <c r="B289" s="29"/>
      <c r="C289" s="29"/>
      <c r="D289" s="29"/>
      <c r="E289" s="29"/>
      <c r="F289" s="29"/>
      <c r="G289" s="29"/>
    </row>
    <row r="290" spans="2:7" ht="15.75" customHeight="1" x14ac:dyDescent="0.2">
      <c r="B290" s="29"/>
      <c r="C290" s="29"/>
      <c r="D290" s="29"/>
      <c r="E290" s="29"/>
      <c r="F290" s="29"/>
      <c r="G290" s="29"/>
    </row>
    <row r="291" spans="2:7" ht="15.75" customHeight="1" x14ac:dyDescent="0.2">
      <c r="B291" s="29"/>
      <c r="C291" s="29"/>
      <c r="D291" s="29"/>
      <c r="E291" s="29"/>
      <c r="F291" s="29"/>
      <c r="G291" s="29"/>
    </row>
    <row r="292" spans="2:7" ht="15.75" customHeight="1" x14ac:dyDescent="0.2">
      <c r="B292" s="29"/>
      <c r="C292" s="29"/>
      <c r="D292" s="29"/>
      <c r="E292" s="29"/>
      <c r="F292" s="29"/>
      <c r="G292" s="29"/>
    </row>
    <row r="293" spans="2:7" ht="15.75" customHeight="1" x14ac:dyDescent="0.2">
      <c r="B293" s="29"/>
      <c r="C293" s="29"/>
      <c r="D293" s="29"/>
      <c r="E293" s="29"/>
      <c r="F293" s="29"/>
      <c r="G293" s="29"/>
    </row>
    <row r="294" spans="2:7" ht="15.75" customHeight="1" x14ac:dyDescent="0.2">
      <c r="B294" s="29"/>
      <c r="C294" s="29"/>
      <c r="D294" s="29"/>
      <c r="E294" s="29"/>
      <c r="F294" s="29"/>
      <c r="G294" s="29"/>
    </row>
    <row r="295" spans="2:7" ht="15.75" customHeight="1" x14ac:dyDescent="0.2">
      <c r="B295" s="29"/>
      <c r="C295" s="29"/>
      <c r="D295" s="29"/>
      <c r="E295" s="29"/>
      <c r="F295" s="29"/>
      <c r="G295" s="29"/>
    </row>
    <row r="296" spans="2:7" ht="15.75" customHeight="1" x14ac:dyDescent="0.2">
      <c r="B296" s="29"/>
      <c r="C296" s="29"/>
      <c r="D296" s="29"/>
      <c r="E296" s="29"/>
      <c r="F296" s="29"/>
      <c r="G296" s="29"/>
    </row>
    <row r="297" spans="2:7" ht="15.75" customHeight="1" x14ac:dyDescent="0.2">
      <c r="B297" s="29"/>
      <c r="C297" s="29"/>
      <c r="D297" s="29"/>
      <c r="E297" s="29"/>
      <c r="F297" s="29"/>
      <c r="G297" s="29"/>
    </row>
    <row r="298" spans="2:7" ht="15.75" customHeight="1" x14ac:dyDescent="0.2">
      <c r="B298" s="29"/>
      <c r="C298" s="29"/>
      <c r="D298" s="29"/>
      <c r="E298" s="29"/>
      <c r="F298" s="29"/>
      <c r="G298" s="29"/>
    </row>
    <row r="299" spans="2:7" ht="15.75" customHeight="1" x14ac:dyDescent="0.2">
      <c r="B299" s="29"/>
      <c r="C299" s="29"/>
      <c r="D299" s="29"/>
      <c r="E299" s="29"/>
      <c r="F299" s="29"/>
      <c r="G299" s="29"/>
    </row>
    <row r="300" spans="2:7" ht="15.75" customHeight="1" x14ac:dyDescent="0.2">
      <c r="B300" s="29"/>
      <c r="C300" s="29"/>
      <c r="D300" s="29"/>
      <c r="E300" s="29"/>
      <c r="F300" s="29"/>
      <c r="G300" s="29"/>
    </row>
    <row r="301" spans="2:7" ht="15.75" customHeight="1" x14ac:dyDescent="0.2">
      <c r="B301" s="29"/>
      <c r="C301" s="29"/>
      <c r="D301" s="29"/>
      <c r="E301" s="29"/>
      <c r="F301" s="29"/>
      <c r="G301" s="29"/>
    </row>
    <row r="302" spans="2:7" ht="15.75" customHeight="1" x14ac:dyDescent="0.2">
      <c r="B302" s="29"/>
      <c r="C302" s="29"/>
      <c r="D302" s="29"/>
      <c r="E302" s="29"/>
      <c r="F302" s="29"/>
      <c r="G302" s="29"/>
    </row>
    <row r="303" spans="2:7" ht="15.75" customHeight="1" x14ac:dyDescent="0.2">
      <c r="B303" s="29"/>
      <c r="C303" s="29"/>
      <c r="D303" s="29"/>
      <c r="E303" s="29"/>
      <c r="F303" s="29"/>
      <c r="G303" s="29"/>
    </row>
    <row r="304" spans="2:7" ht="15.75" customHeight="1" x14ac:dyDescent="0.2">
      <c r="B304" s="29"/>
      <c r="C304" s="29"/>
      <c r="D304" s="29"/>
      <c r="E304" s="29"/>
      <c r="F304" s="29"/>
      <c r="G304" s="29"/>
    </row>
    <row r="305" spans="2:7" ht="15.75" customHeight="1" x14ac:dyDescent="0.2">
      <c r="B305" s="29"/>
      <c r="C305" s="29"/>
      <c r="D305" s="29"/>
      <c r="E305" s="29"/>
      <c r="F305" s="29"/>
      <c r="G305" s="29"/>
    </row>
    <row r="306" spans="2:7" ht="15.75" customHeight="1" x14ac:dyDescent="0.2">
      <c r="B306" s="29"/>
      <c r="C306" s="29"/>
      <c r="D306" s="29"/>
      <c r="E306" s="29"/>
      <c r="F306" s="29"/>
      <c r="G306" s="29"/>
    </row>
    <row r="307" spans="2:7" ht="15.75" customHeight="1" x14ac:dyDescent="0.2">
      <c r="B307" s="29"/>
      <c r="C307" s="29"/>
      <c r="D307" s="29"/>
      <c r="E307" s="29"/>
      <c r="F307" s="29"/>
      <c r="G307" s="29"/>
    </row>
    <row r="308" spans="2:7" ht="15.75" customHeight="1" x14ac:dyDescent="0.2">
      <c r="B308" s="29"/>
      <c r="C308" s="29"/>
      <c r="D308" s="29"/>
      <c r="E308" s="29"/>
      <c r="F308" s="29"/>
      <c r="G308" s="29"/>
    </row>
    <row r="309" spans="2:7" ht="15.75" customHeight="1" x14ac:dyDescent="0.2">
      <c r="B309" s="29"/>
      <c r="C309" s="29"/>
      <c r="D309" s="29"/>
      <c r="E309" s="29"/>
      <c r="F309" s="29"/>
      <c r="G309" s="29"/>
    </row>
    <row r="310" spans="2:7" ht="15.75" customHeight="1" x14ac:dyDescent="0.2">
      <c r="B310" s="29"/>
      <c r="C310" s="29"/>
      <c r="D310" s="29"/>
      <c r="E310" s="29"/>
      <c r="F310" s="29"/>
      <c r="G310" s="29"/>
    </row>
    <row r="311" spans="2:7" ht="15.75" customHeight="1" x14ac:dyDescent="0.2">
      <c r="B311" s="29"/>
      <c r="C311" s="29"/>
      <c r="D311" s="29"/>
      <c r="E311" s="29"/>
      <c r="F311" s="29"/>
      <c r="G311" s="29"/>
    </row>
    <row r="312" spans="2:7" ht="15.75" customHeight="1" x14ac:dyDescent="0.2">
      <c r="B312" s="29"/>
      <c r="C312" s="29"/>
      <c r="D312" s="29"/>
      <c r="E312" s="29"/>
      <c r="F312" s="29"/>
      <c r="G312" s="29"/>
    </row>
    <row r="313" spans="2:7" ht="15.75" customHeight="1" x14ac:dyDescent="0.2">
      <c r="B313" s="29"/>
      <c r="C313" s="29"/>
      <c r="D313" s="29"/>
      <c r="E313" s="29"/>
      <c r="F313" s="29"/>
      <c r="G313" s="29"/>
    </row>
    <row r="314" spans="2:7" ht="15.75" customHeight="1" x14ac:dyDescent="0.2">
      <c r="B314" s="29"/>
      <c r="C314" s="29"/>
      <c r="D314" s="29"/>
      <c r="E314" s="29"/>
      <c r="F314" s="29"/>
      <c r="G314" s="29"/>
    </row>
    <row r="315" spans="2:7" ht="15.75" customHeight="1" x14ac:dyDescent="0.2">
      <c r="B315" s="29"/>
      <c r="C315" s="29"/>
      <c r="D315" s="29"/>
      <c r="E315" s="29"/>
      <c r="F315" s="29"/>
      <c r="G315" s="29"/>
    </row>
    <row r="316" spans="2:7" ht="15.75" customHeight="1" x14ac:dyDescent="0.2">
      <c r="B316" s="29"/>
      <c r="C316" s="29"/>
      <c r="D316" s="29"/>
      <c r="E316" s="29"/>
      <c r="F316" s="29"/>
      <c r="G316" s="29"/>
    </row>
    <row r="317" spans="2:7" ht="15.75" customHeight="1" x14ac:dyDescent="0.2">
      <c r="B317" s="29"/>
      <c r="C317" s="29"/>
      <c r="D317" s="29"/>
      <c r="E317" s="29"/>
      <c r="F317" s="29"/>
      <c r="G317" s="29"/>
    </row>
    <row r="318" spans="2:7" ht="15.75" customHeight="1" x14ac:dyDescent="0.2">
      <c r="B318" s="29"/>
      <c r="C318" s="29"/>
      <c r="D318" s="29"/>
      <c r="E318" s="29"/>
      <c r="F318" s="29"/>
      <c r="G318" s="29"/>
    </row>
    <row r="319" spans="2:7" ht="15.75" customHeight="1" x14ac:dyDescent="0.2">
      <c r="B319" s="29"/>
      <c r="C319" s="29"/>
      <c r="D319" s="29"/>
      <c r="E319" s="29"/>
      <c r="F319" s="29"/>
      <c r="G319" s="29"/>
    </row>
    <row r="320" spans="2:7" ht="15.75" customHeight="1" x14ac:dyDescent="0.2">
      <c r="B320" s="29"/>
      <c r="C320" s="29"/>
      <c r="D320" s="29"/>
      <c r="E320" s="29"/>
      <c r="F320" s="29"/>
      <c r="G320" s="29"/>
    </row>
    <row r="321" spans="2:7" ht="15.75" customHeight="1" x14ac:dyDescent="0.2">
      <c r="B321" s="29"/>
      <c r="C321" s="29"/>
      <c r="D321" s="29"/>
      <c r="E321" s="29"/>
      <c r="F321" s="29"/>
      <c r="G321" s="29"/>
    </row>
    <row r="322" spans="2:7" ht="15.75" customHeight="1" x14ac:dyDescent="0.2">
      <c r="B322" s="29"/>
      <c r="C322" s="29"/>
      <c r="D322" s="29"/>
      <c r="E322" s="29"/>
      <c r="F322" s="29"/>
      <c r="G322" s="29"/>
    </row>
    <row r="323" spans="2:7" ht="15.75" customHeight="1" x14ac:dyDescent="0.2">
      <c r="B323" s="29"/>
      <c r="C323" s="29"/>
      <c r="D323" s="29"/>
      <c r="E323" s="29"/>
      <c r="F323" s="29"/>
      <c r="G323" s="29"/>
    </row>
    <row r="324" spans="2:7" ht="15.75" customHeight="1" x14ac:dyDescent="0.2">
      <c r="B324" s="29"/>
      <c r="C324" s="29"/>
      <c r="D324" s="29"/>
      <c r="E324" s="29"/>
      <c r="F324" s="29"/>
      <c r="G324" s="29"/>
    </row>
    <row r="325" spans="2:7" ht="15.75" customHeight="1" x14ac:dyDescent="0.2">
      <c r="B325" s="29"/>
      <c r="C325" s="29"/>
      <c r="D325" s="29"/>
      <c r="E325" s="29"/>
      <c r="F325" s="29"/>
      <c r="G325" s="29"/>
    </row>
    <row r="326" spans="2:7" ht="15.75" customHeight="1" x14ac:dyDescent="0.2">
      <c r="B326" s="29"/>
      <c r="C326" s="29"/>
      <c r="D326" s="29"/>
      <c r="E326" s="29"/>
      <c r="F326" s="29"/>
      <c r="G326" s="29"/>
    </row>
    <row r="327" spans="2:7" ht="15.75" customHeight="1" x14ac:dyDescent="0.2">
      <c r="B327" s="29"/>
      <c r="C327" s="29"/>
      <c r="D327" s="29"/>
      <c r="E327" s="29"/>
      <c r="F327" s="29"/>
      <c r="G327" s="29"/>
    </row>
    <row r="328" spans="2:7" ht="15.75" customHeight="1" x14ac:dyDescent="0.2">
      <c r="B328" s="29"/>
      <c r="C328" s="29"/>
      <c r="D328" s="29"/>
      <c r="E328" s="29"/>
      <c r="F328" s="29"/>
      <c r="G328" s="29"/>
    </row>
    <row r="329" spans="2:7" ht="15.75" customHeight="1" x14ac:dyDescent="0.2">
      <c r="B329" s="29"/>
      <c r="C329" s="29"/>
      <c r="D329" s="29"/>
      <c r="E329" s="29"/>
      <c r="F329" s="29"/>
      <c r="G329" s="29"/>
    </row>
    <row r="330" spans="2:7" ht="15.75" customHeight="1" x14ac:dyDescent="0.2">
      <c r="B330" s="29"/>
      <c r="C330" s="29"/>
      <c r="D330" s="29"/>
      <c r="E330" s="29"/>
      <c r="F330" s="29"/>
      <c r="G330" s="29"/>
    </row>
    <row r="331" spans="2:7" ht="15.75" customHeight="1" x14ac:dyDescent="0.2">
      <c r="B331" s="29"/>
      <c r="C331" s="29"/>
      <c r="D331" s="29"/>
      <c r="E331" s="29"/>
      <c r="F331" s="29"/>
      <c r="G331" s="29"/>
    </row>
    <row r="332" spans="2:7" ht="15.75" customHeight="1" x14ac:dyDescent="0.2">
      <c r="B332" s="29"/>
      <c r="C332" s="29"/>
      <c r="D332" s="29"/>
      <c r="E332" s="29"/>
      <c r="F332" s="29"/>
      <c r="G332" s="29"/>
    </row>
    <row r="333" spans="2:7" ht="15.75" customHeight="1" x14ac:dyDescent="0.2">
      <c r="B333" s="29"/>
      <c r="C333" s="29"/>
      <c r="D333" s="29"/>
      <c r="E333" s="29"/>
      <c r="F333" s="29"/>
      <c r="G333" s="29"/>
    </row>
    <row r="334" spans="2:7" ht="15.75" customHeight="1" x14ac:dyDescent="0.2">
      <c r="B334" s="29"/>
      <c r="C334" s="29"/>
      <c r="D334" s="29"/>
      <c r="E334" s="29"/>
      <c r="F334" s="29"/>
      <c r="G334" s="29"/>
    </row>
    <row r="335" spans="2:7" ht="15.75" customHeight="1" x14ac:dyDescent="0.2">
      <c r="B335" s="29"/>
      <c r="C335" s="29"/>
      <c r="D335" s="29"/>
      <c r="E335" s="29"/>
      <c r="F335" s="29"/>
      <c r="G335" s="29"/>
    </row>
    <row r="336" spans="2:7" ht="15.75" customHeight="1" x14ac:dyDescent="0.2">
      <c r="B336" s="29"/>
      <c r="C336" s="29"/>
      <c r="D336" s="29"/>
      <c r="E336" s="29"/>
      <c r="F336" s="29"/>
      <c r="G336" s="29"/>
    </row>
    <row r="337" spans="2:7" ht="15.75" customHeight="1" x14ac:dyDescent="0.2">
      <c r="B337" s="29"/>
      <c r="C337" s="29"/>
      <c r="D337" s="29"/>
      <c r="E337" s="29"/>
      <c r="F337" s="29"/>
      <c r="G337" s="29"/>
    </row>
    <row r="338" spans="2:7" ht="15.75" customHeight="1" x14ac:dyDescent="0.2">
      <c r="B338" s="29"/>
      <c r="C338" s="29"/>
      <c r="D338" s="29"/>
      <c r="E338" s="29"/>
      <c r="F338" s="29"/>
      <c r="G338" s="29"/>
    </row>
    <row r="339" spans="2:7" ht="15.75" customHeight="1" x14ac:dyDescent="0.2">
      <c r="B339" s="29"/>
      <c r="C339" s="29"/>
      <c r="D339" s="29"/>
      <c r="E339" s="29"/>
      <c r="F339" s="29"/>
      <c r="G339" s="29"/>
    </row>
    <row r="340" spans="2:7" ht="15.75" customHeight="1" x14ac:dyDescent="0.2">
      <c r="B340" s="29"/>
      <c r="C340" s="29"/>
      <c r="D340" s="29"/>
      <c r="E340" s="29"/>
      <c r="F340" s="29"/>
      <c r="G340" s="29"/>
    </row>
    <row r="341" spans="2:7" ht="15.75" customHeight="1" x14ac:dyDescent="0.2">
      <c r="B341" s="29"/>
      <c r="C341" s="29"/>
      <c r="D341" s="29"/>
      <c r="E341" s="29"/>
      <c r="F341" s="29"/>
      <c r="G341" s="29"/>
    </row>
    <row r="342" spans="2:7" ht="15.75" customHeight="1" x14ac:dyDescent="0.2">
      <c r="B342" s="29"/>
      <c r="C342" s="29"/>
      <c r="D342" s="29"/>
      <c r="E342" s="29"/>
      <c r="F342" s="29"/>
      <c r="G342" s="29"/>
    </row>
    <row r="343" spans="2:7" ht="15.75" customHeight="1" x14ac:dyDescent="0.2">
      <c r="B343" s="29"/>
      <c r="C343" s="29"/>
      <c r="D343" s="29"/>
      <c r="E343" s="29"/>
      <c r="F343" s="29"/>
      <c r="G343" s="29"/>
    </row>
    <row r="344" spans="2:7" ht="15.75" customHeight="1" x14ac:dyDescent="0.2">
      <c r="B344" s="29"/>
      <c r="C344" s="29"/>
      <c r="D344" s="29"/>
      <c r="E344" s="29"/>
      <c r="F344" s="29"/>
      <c r="G344" s="29"/>
    </row>
    <row r="345" spans="2:7" ht="15.75" customHeight="1" x14ac:dyDescent="0.2">
      <c r="B345" s="29"/>
      <c r="C345" s="29"/>
      <c r="D345" s="29"/>
      <c r="E345" s="29"/>
      <c r="F345" s="29"/>
      <c r="G345" s="29"/>
    </row>
    <row r="346" spans="2:7" ht="15.75" customHeight="1" x14ac:dyDescent="0.2">
      <c r="B346" s="29"/>
      <c r="C346" s="29"/>
      <c r="D346" s="29"/>
      <c r="E346" s="29"/>
      <c r="F346" s="29"/>
      <c r="G346" s="29"/>
    </row>
    <row r="347" spans="2:7" ht="15.75" customHeight="1" x14ac:dyDescent="0.2">
      <c r="B347" s="29"/>
      <c r="C347" s="29"/>
      <c r="D347" s="29"/>
      <c r="E347" s="29"/>
      <c r="F347" s="29"/>
      <c r="G347" s="29"/>
    </row>
    <row r="348" spans="2:7" ht="15.75" customHeight="1" x14ac:dyDescent="0.2">
      <c r="B348" s="29"/>
      <c r="C348" s="29"/>
      <c r="D348" s="29"/>
      <c r="E348" s="29"/>
      <c r="F348" s="29"/>
      <c r="G348" s="29"/>
    </row>
    <row r="349" spans="2:7" ht="15.75" customHeight="1" x14ac:dyDescent="0.2">
      <c r="B349" s="29"/>
      <c r="C349" s="29"/>
      <c r="D349" s="29"/>
      <c r="E349" s="29"/>
      <c r="F349" s="29"/>
      <c r="G349" s="29"/>
    </row>
    <row r="350" spans="2:7" ht="15.75" customHeight="1" x14ac:dyDescent="0.2">
      <c r="B350" s="29"/>
      <c r="C350" s="29"/>
      <c r="D350" s="29"/>
      <c r="E350" s="29"/>
      <c r="F350" s="29"/>
      <c r="G350" s="29"/>
    </row>
    <row r="351" spans="2:7" ht="15.75" customHeight="1" x14ac:dyDescent="0.2">
      <c r="B351" s="29"/>
      <c r="C351" s="29"/>
      <c r="D351" s="29"/>
      <c r="E351" s="29"/>
      <c r="F351" s="29"/>
      <c r="G351" s="29"/>
    </row>
    <row r="352" spans="2:7" ht="15.75" customHeight="1" x14ac:dyDescent="0.2">
      <c r="B352" s="29"/>
      <c r="C352" s="29"/>
      <c r="D352" s="29"/>
      <c r="E352" s="29"/>
      <c r="F352" s="29"/>
      <c r="G352" s="29"/>
    </row>
    <row r="353" spans="2:7" ht="15.75" customHeight="1" x14ac:dyDescent="0.2">
      <c r="B353" s="29"/>
      <c r="C353" s="29"/>
      <c r="D353" s="29"/>
      <c r="E353" s="29"/>
      <c r="F353" s="29"/>
      <c r="G353" s="29"/>
    </row>
    <row r="354" spans="2:7" ht="15.75" customHeight="1" x14ac:dyDescent="0.2">
      <c r="B354" s="29"/>
      <c r="C354" s="29"/>
      <c r="D354" s="29"/>
      <c r="E354" s="29"/>
      <c r="F354" s="29"/>
      <c r="G354" s="29"/>
    </row>
    <row r="355" spans="2:7" ht="15.75" customHeight="1" x14ac:dyDescent="0.2">
      <c r="B355" s="29"/>
      <c r="C355" s="29"/>
      <c r="D355" s="29"/>
      <c r="E355" s="29"/>
      <c r="F355" s="29"/>
      <c r="G355" s="29"/>
    </row>
    <row r="356" spans="2:7" ht="15.75" customHeight="1" x14ac:dyDescent="0.2">
      <c r="B356" s="29"/>
      <c r="C356" s="29"/>
      <c r="D356" s="29"/>
      <c r="E356" s="29"/>
      <c r="F356" s="29"/>
      <c r="G356" s="29"/>
    </row>
    <row r="357" spans="2:7" ht="15.75" customHeight="1" x14ac:dyDescent="0.2">
      <c r="B357" s="29"/>
      <c r="C357" s="29"/>
      <c r="D357" s="29"/>
      <c r="E357" s="29"/>
      <c r="F357" s="29"/>
      <c r="G357" s="29"/>
    </row>
    <row r="358" spans="2:7" ht="15.75" customHeight="1" x14ac:dyDescent="0.2">
      <c r="B358" s="29"/>
      <c r="C358" s="29"/>
      <c r="D358" s="29"/>
      <c r="E358" s="29"/>
      <c r="F358" s="29"/>
      <c r="G358" s="29"/>
    </row>
    <row r="359" spans="2:7" ht="15.75" customHeight="1" x14ac:dyDescent="0.2">
      <c r="B359" s="29"/>
      <c r="C359" s="29"/>
      <c r="D359" s="29"/>
      <c r="E359" s="29"/>
      <c r="F359" s="29"/>
      <c r="G359" s="29"/>
    </row>
    <row r="360" spans="2:7" ht="15.75" customHeight="1" x14ac:dyDescent="0.2">
      <c r="B360" s="29"/>
      <c r="C360" s="29"/>
      <c r="D360" s="29"/>
      <c r="E360" s="29"/>
      <c r="F360" s="29"/>
      <c r="G360" s="29"/>
    </row>
    <row r="361" spans="2:7" ht="15.75" customHeight="1" x14ac:dyDescent="0.2">
      <c r="B361" s="29"/>
      <c r="C361" s="29"/>
      <c r="D361" s="29"/>
      <c r="E361" s="29"/>
      <c r="F361" s="29"/>
      <c r="G361" s="29"/>
    </row>
    <row r="362" spans="2:7" ht="15.75" customHeight="1" x14ac:dyDescent="0.2">
      <c r="B362" s="29"/>
      <c r="C362" s="29"/>
      <c r="D362" s="29"/>
      <c r="E362" s="29"/>
      <c r="F362" s="29"/>
      <c r="G362" s="29"/>
    </row>
    <row r="363" spans="2:7" ht="15.75" customHeight="1" x14ac:dyDescent="0.2">
      <c r="B363" s="29"/>
      <c r="C363" s="29"/>
      <c r="D363" s="29"/>
      <c r="E363" s="29"/>
      <c r="F363" s="29"/>
      <c r="G363" s="29"/>
    </row>
    <row r="364" spans="2:7" ht="15.75" customHeight="1" x14ac:dyDescent="0.2">
      <c r="B364" s="29"/>
      <c r="C364" s="29"/>
      <c r="D364" s="29"/>
      <c r="E364" s="29"/>
      <c r="F364" s="29"/>
      <c r="G364" s="29"/>
    </row>
    <row r="365" spans="2:7" ht="15.75" customHeight="1" x14ac:dyDescent="0.2">
      <c r="B365" s="29"/>
      <c r="C365" s="29"/>
      <c r="D365" s="29"/>
      <c r="E365" s="29"/>
      <c r="F365" s="29"/>
      <c r="G365" s="29"/>
    </row>
    <row r="366" spans="2:7" ht="15.75" customHeight="1" x14ac:dyDescent="0.2">
      <c r="B366" s="29"/>
      <c r="C366" s="29"/>
      <c r="D366" s="29"/>
      <c r="E366" s="29"/>
      <c r="F366" s="29"/>
      <c r="G366" s="29"/>
    </row>
    <row r="367" spans="2:7" ht="15.75" customHeight="1" x14ac:dyDescent="0.2">
      <c r="B367" s="29"/>
      <c r="C367" s="29"/>
      <c r="D367" s="29"/>
      <c r="E367" s="29"/>
      <c r="F367" s="29"/>
      <c r="G367" s="29"/>
    </row>
    <row r="368" spans="2:7" ht="15.75" customHeight="1" x14ac:dyDescent="0.2">
      <c r="B368" s="29"/>
      <c r="C368" s="29"/>
      <c r="D368" s="29"/>
      <c r="E368" s="29"/>
      <c r="F368" s="29"/>
      <c r="G368" s="29"/>
    </row>
    <row r="369" spans="2:7" ht="15.75" customHeight="1" x14ac:dyDescent="0.2">
      <c r="B369" s="29"/>
      <c r="C369" s="29"/>
      <c r="D369" s="29"/>
      <c r="E369" s="29"/>
      <c r="F369" s="29"/>
      <c r="G369" s="29"/>
    </row>
    <row r="370" spans="2:7" ht="15.75" customHeight="1" x14ac:dyDescent="0.2">
      <c r="B370" s="29"/>
      <c r="C370" s="29"/>
      <c r="D370" s="29"/>
      <c r="E370" s="29"/>
      <c r="F370" s="29"/>
      <c r="G370" s="29"/>
    </row>
    <row r="371" spans="2:7" ht="15.75" customHeight="1" x14ac:dyDescent="0.2">
      <c r="B371" s="29"/>
      <c r="C371" s="29"/>
      <c r="D371" s="29"/>
      <c r="E371" s="29"/>
      <c r="F371" s="29"/>
      <c r="G371" s="29"/>
    </row>
    <row r="372" spans="2:7" ht="15.75" customHeight="1" x14ac:dyDescent="0.2">
      <c r="B372" s="29"/>
      <c r="C372" s="29"/>
      <c r="D372" s="29"/>
      <c r="E372" s="29"/>
      <c r="F372" s="29"/>
      <c r="G372" s="29"/>
    </row>
    <row r="373" spans="2:7" ht="15.75" customHeight="1" x14ac:dyDescent="0.2">
      <c r="B373" s="29"/>
      <c r="C373" s="29"/>
      <c r="D373" s="29"/>
      <c r="E373" s="29"/>
      <c r="F373" s="29"/>
      <c r="G373" s="29"/>
    </row>
    <row r="374" spans="2:7" ht="15.75" customHeight="1" x14ac:dyDescent="0.2">
      <c r="B374" s="29"/>
      <c r="C374" s="29"/>
      <c r="D374" s="29"/>
      <c r="E374" s="29"/>
      <c r="F374" s="29"/>
      <c r="G374" s="29"/>
    </row>
    <row r="375" spans="2:7" ht="15.75" customHeight="1" x14ac:dyDescent="0.2">
      <c r="B375" s="29"/>
      <c r="C375" s="29"/>
      <c r="D375" s="29"/>
      <c r="E375" s="29"/>
      <c r="F375" s="29"/>
      <c r="G375" s="29"/>
    </row>
    <row r="376" spans="2:7" ht="15.75" customHeight="1" x14ac:dyDescent="0.2">
      <c r="B376" s="29"/>
      <c r="C376" s="29"/>
      <c r="D376" s="29"/>
      <c r="E376" s="29"/>
      <c r="F376" s="29"/>
      <c r="G376" s="29"/>
    </row>
    <row r="377" spans="2:7" ht="15.75" customHeight="1" x14ac:dyDescent="0.2">
      <c r="B377" s="29"/>
      <c r="C377" s="29"/>
      <c r="D377" s="29"/>
      <c r="E377" s="29"/>
      <c r="F377" s="29"/>
      <c r="G377" s="29"/>
    </row>
    <row r="378" spans="2:7" ht="15.75" customHeight="1" x14ac:dyDescent="0.2">
      <c r="B378" s="29"/>
      <c r="C378" s="29"/>
      <c r="D378" s="29"/>
      <c r="E378" s="29"/>
      <c r="F378" s="29"/>
      <c r="G378" s="29"/>
    </row>
    <row r="379" spans="2:7" ht="15.75" customHeight="1" x14ac:dyDescent="0.2">
      <c r="B379" s="29"/>
      <c r="C379" s="29"/>
      <c r="D379" s="29"/>
      <c r="E379" s="29"/>
      <c r="F379" s="29"/>
      <c r="G379" s="29"/>
    </row>
    <row r="380" spans="2:7" ht="15.75" customHeight="1" x14ac:dyDescent="0.2">
      <c r="B380" s="29"/>
      <c r="C380" s="29"/>
      <c r="D380" s="29"/>
      <c r="E380" s="29"/>
      <c r="F380" s="29"/>
      <c r="G380" s="29"/>
    </row>
    <row r="381" spans="2:7" ht="15.75" customHeight="1" x14ac:dyDescent="0.2">
      <c r="B381" s="29"/>
      <c r="C381" s="29"/>
      <c r="D381" s="29"/>
      <c r="E381" s="29"/>
      <c r="F381" s="29"/>
      <c r="G381" s="29"/>
    </row>
    <row r="382" spans="2:7" ht="15.75" customHeight="1" x14ac:dyDescent="0.2">
      <c r="B382" s="29"/>
      <c r="C382" s="29"/>
      <c r="D382" s="29"/>
      <c r="E382" s="29"/>
      <c r="F382" s="29"/>
      <c r="G382" s="29"/>
    </row>
    <row r="383" spans="2:7" ht="15.75" customHeight="1" x14ac:dyDescent="0.2">
      <c r="B383" s="29"/>
      <c r="C383" s="29"/>
      <c r="D383" s="29"/>
      <c r="E383" s="29"/>
      <c r="F383" s="29"/>
      <c r="G383" s="29"/>
    </row>
    <row r="384" spans="2:7" ht="15.75" customHeight="1" x14ac:dyDescent="0.2">
      <c r="B384" s="29"/>
      <c r="C384" s="29"/>
      <c r="D384" s="29"/>
      <c r="E384" s="29"/>
      <c r="F384" s="29"/>
      <c r="G384" s="29"/>
    </row>
    <row r="385" spans="2:7" ht="15.75" customHeight="1" x14ac:dyDescent="0.2">
      <c r="B385" s="29"/>
      <c r="C385" s="29"/>
      <c r="D385" s="29"/>
      <c r="E385" s="29"/>
      <c r="F385" s="29"/>
      <c r="G385" s="29"/>
    </row>
    <row r="386" spans="2:7" ht="15.75" customHeight="1" x14ac:dyDescent="0.2">
      <c r="B386" s="29"/>
      <c r="C386" s="29"/>
      <c r="D386" s="29"/>
      <c r="E386" s="29"/>
      <c r="F386" s="29"/>
      <c r="G386" s="29"/>
    </row>
    <row r="387" spans="2:7" ht="15.75" customHeight="1" x14ac:dyDescent="0.2">
      <c r="B387" s="29"/>
      <c r="C387" s="29"/>
      <c r="D387" s="29"/>
      <c r="E387" s="29"/>
      <c r="F387" s="29"/>
      <c r="G387" s="29"/>
    </row>
    <row r="388" spans="2:7" ht="15.75" customHeight="1" x14ac:dyDescent="0.2">
      <c r="B388" s="29"/>
      <c r="C388" s="29"/>
      <c r="D388" s="29"/>
      <c r="E388" s="29"/>
      <c r="F388" s="29"/>
      <c r="G388" s="29"/>
    </row>
    <row r="389" spans="2:7" ht="15.75" customHeight="1" x14ac:dyDescent="0.2">
      <c r="B389" s="29"/>
      <c r="C389" s="29"/>
      <c r="D389" s="29"/>
      <c r="E389" s="29"/>
      <c r="F389" s="29"/>
      <c r="G389" s="29"/>
    </row>
    <row r="390" spans="2:7" ht="15.75" customHeight="1" x14ac:dyDescent="0.2">
      <c r="B390" s="29"/>
      <c r="C390" s="29"/>
      <c r="D390" s="29"/>
      <c r="E390" s="29"/>
      <c r="F390" s="29"/>
      <c r="G390" s="29"/>
    </row>
    <row r="391" spans="2:7" ht="15.75" customHeight="1" x14ac:dyDescent="0.2">
      <c r="B391" s="29"/>
      <c r="C391" s="29"/>
      <c r="D391" s="29"/>
      <c r="E391" s="29"/>
      <c r="F391" s="29"/>
      <c r="G391" s="29"/>
    </row>
    <row r="392" spans="2:7" ht="15.75" customHeight="1" x14ac:dyDescent="0.2">
      <c r="B392" s="29"/>
      <c r="C392" s="29"/>
      <c r="D392" s="29"/>
      <c r="E392" s="29"/>
      <c r="F392" s="29"/>
      <c r="G392" s="29"/>
    </row>
    <row r="393" spans="2:7" ht="15.75" customHeight="1" x14ac:dyDescent="0.2">
      <c r="B393" s="29"/>
      <c r="C393" s="29"/>
      <c r="D393" s="29"/>
      <c r="E393" s="29"/>
      <c r="F393" s="29"/>
      <c r="G393" s="29"/>
    </row>
    <row r="394" spans="2:7" ht="15.75" customHeight="1" x14ac:dyDescent="0.2">
      <c r="B394" s="29"/>
      <c r="C394" s="29"/>
      <c r="D394" s="29"/>
      <c r="E394" s="29"/>
      <c r="F394" s="29"/>
      <c r="G394" s="29"/>
    </row>
    <row r="395" spans="2:7" ht="15.75" customHeight="1" x14ac:dyDescent="0.2">
      <c r="B395" s="29"/>
      <c r="C395" s="29"/>
      <c r="D395" s="29"/>
      <c r="E395" s="29"/>
      <c r="F395" s="29"/>
      <c r="G395" s="29"/>
    </row>
    <row r="396" spans="2:7" ht="15.75" customHeight="1" x14ac:dyDescent="0.2">
      <c r="B396" s="29"/>
      <c r="C396" s="29"/>
      <c r="D396" s="29"/>
      <c r="E396" s="29"/>
      <c r="F396" s="29"/>
      <c r="G396" s="29"/>
    </row>
    <row r="397" spans="2:7" ht="15.75" customHeight="1" x14ac:dyDescent="0.2">
      <c r="B397" s="29"/>
      <c r="C397" s="29"/>
      <c r="D397" s="29"/>
      <c r="E397" s="29"/>
      <c r="F397" s="29"/>
      <c r="G397" s="29"/>
    </row>
    <row r="398" spans="2:7" ht="15.75" customHeight="1" x14ac:dyDescent="0.2">
      <c r="B398" s="29"/>
      <c r="C398" s="29"/>
      <c r="D398" s="29"/>
      <c r="E398" s="29"/>
      <c r="F398" s="29"/>
      <c r="G398" s="29"/>
    </row>
    <row r="399" spans="2:7" ht="15.75" customHeight="1" x14ac:dyDescent="0.2">
      <c r="B399" s="29"/>
      <c r="C399" s="29"/>
      <c r="D399" s="29"/>
      <c r="E399" s="29"/>
      <c r="F399" s="29"/>
      <c r="G399" s="29"/>
    </row>
    <row r="400" spans="2:7" ht="15.75" customHeight="1" x14ac:dyDescent="0.2">
      <c r="B400" s="29"/>
      <c r="C400" s="29"/>
      <c r="D400" s="29"/>
      <c r="E400" s="29"/>
      <c r="F400" s="29"/>
      <c r="G400" s="29"/>
    </row>
    <row r="401" spans="2:7" ht="15.75" customHeight="1" x14ac:dyDescent="0.2">
      <c r="B401" s="29"/>
      <c r="C401" s="29"/>
      <c r="D401" s="29"/>
      <c r="E401" s="29"/>
      <c r="F401" s="29"/>
      <c r="G401" s="29"/>
    </row>
    <row r="402" spans="2:7" ht="15.75" customHeight="1" x14ac:dyDescent="0.2">
      <c r="B402" s="29"/>
      <c r="C402" s="29"/>
      <c r="D402" s="29"/>
      <c r="E402" s="29"/>
      <c r="F402" s="29"/>
      <c r="G402" s="29"/>
    </row>
    <row r="403" spans="2:7" ht="15.75" customHeight="1" x14ac:dyDescent="0.2">
      <c r="B403" s="29"/>
      <c r="C403" s="29"/>
      <c r="D403" s="29"/>
      <c r="E403" s="29"/>
      <c r="F403" s="29"/>
      <c r="G403" s="29"/>
    </row>
    <row r="404" spans="2:7" ht="15.75" customHeight="1" x14ac:dyDescent="0.2">
      <c r="B404" s="29"/>
      <c r="C404" s="29"/>
      <c r="D404" s="29"/>
      <c r="E404" s="29"/>
      <c r="F404" s="29"/>
      <c r="G404" s="29"/>
    </row>
    <row r="405" spans="2:7" ht="15.75" customHeight="1" x14ac:dyDescent="0.2">
      <c r="B405" s="29"/>
      <c r="C405" s="29"/>
      <c r="D405" s="29"/>
      <c r="E405" s="29"/>
      <c r="F405" s="29"/>
      <c r="G405" s="29"/>
    </row>
    <row r="406" spans="2:7" ht="15.75" customHeight="1" x14ac:dyDescent="0.2">
      <c r="B406" s="29"/>
      <c r="C406" s="29"/>
      <c r="D406" s="29"/>
      <c r="E406" s="29"/>
      <c r="F406" s="29"/>
      <c r="G406" s="29"/>
    </row>
    <row r="407" spans="2:7" ht="15.75" customHeight="1" x14ac:dyDescent="0.2">
      <c r="B407" s="29"/>
      <c r="C407" s="29"/>
      <c r="D407" s="29"/>
      <c r="E407" s="29"/>
      <c r="F407" s="29"/>
      <c r="G407" s="29"/>
    </row>
    <row r="408" spans="2:7" ht="15.75" customHeight="1" x14ac:dyDescent="0.2">
      <c r="B408" s="29"/>
      <c r="C408" s="29"/>
      <c r="D408" s="29"/>
      <c r="E408" s="29"/>
      <c r="F408" s="29"/>
      <c r="G408" s="29"/>
    </row>
    <row r="409" spans="2:7" ht="15.75" customHeight="1" x14ac:dyDescent="0.2">
      <c r="B409" s="29"/>
      <c r="C409" s="29"/>
      <c r="D409" s="29"/>
      <c r="E409" s="29"/>
      <c r="F409" s="29"/>
      <c r="G409" s="29"/>
    </row>
    <row r="410" spans="2:7" ht="15.75" customHeight="1" x14ac:dyDescent="0.2">
      <c r="B410" s="29"/>
      <c r="C410" s="29"/>
      <c r="D410" s="29"/>
      <c r="E410" s="29"/>
      <c r="F410" s="29"/>
      <c r="G410" s="29"/>
    </row>
    <row r="411" spans="2:7" ht="15.75" customHeight="1" x14ac:dyDescent="0.2">
      <c r="B411" s="29"/>
      <c r="C411" s="29"/>
      <c r="D411" s="29"/>
      <c r="E411" s="29"/>
      <c r="F411" s="29"/>
      <c r="G411" s="29"/>
    </row>
    <row r="412" spans="2:7" ht="15.75" customHeight="1" x14ac:dyDescent="0.2">
      <c r="B412" s="29"/>
      <c r="C412" s="29"/>
      <c r="D412" s="29"/>
      <c r="E412" s="29"/>
      <c r="F412" s="29"/>
      <c r="G412" s="29"/>
    </row>
    <row r="413" spans="2:7" ht="15.75" customHeight="1" x14ac:dyDescent="0.2">
      <c r="B413" s="29"/>
      <c r="C413" s="29"/>
      <c r="D413" s="29"/>
      <c r="E413" s="29"/>
      <c r="F413" s="29"/>
      <c r="G413" s="29"/>
    </row>
    <row r="414" spans="2:7" ht="15.75" customHeight="1" x14ac:dyDescent="0.2">
      <c r="B414" s="29"/>
      <c r="C414" s="29"/>
      <c r="D414" s="29"/>
      <c r="E414" s="29"/>
      <c r="F414" s="29"/>
      <c r="G414" s="29"/>
    </row>
    <row r="415" spans="2:7" ht="15.75" customHeight="1" x14ac:dyDescent="0.2">
      <c r="B415" s="29"/>
      <c r="C415" s="29"/>
      <c r="D415" s="29"/>
      <c r="E415" s="29"/>
      <c r="F415" s="29"/>
      <c r="G415" s="29"/>
    </row>
    <row r="416" spans="2:7" ht="15.75" customHeight="1" x14ac:dyDescent="0.2">
      <c r="B416" s="29"/>
      <c r="C416" s="29"/>
      <c r="D416" s="29"/>
      <c r="E416" s="29"/>
      <c r="F416" s="29"/>
      <c r="G416" s="29"/>
    </row>
    <row r="417" spans="2:7" ht="15.75" customHeight="1" x14ac:dyDescent="0.2">
      <c r="B417" s="29"/>
      <c r="C417" s="29"/>
      <c r="D417" s="29"/>
      <c r="E417" s="29"/>
      <c r="F417" s="29"/>
      <c r="G417" s="29"/>
    </row>
    <row r="418" spans="2:7" ht="15.75" customHeight="1" x14ac:dyDescent="0.2">
      <c r="B418" s="29"/>
      <c r="C418" s="29"/>
      <c r="D418" s="29"/>
      <c r="E418" s="29"/>
      <c r="F418" s="29"/>
      <c r="G418" s="29"/>
    </row>
    <row r="419" spans="2:7" ht="15.75" customHeight="1" x14ac:dyDescent="0.2">
      <c r="B419" s="29"/>
      <c r="C419" s="29"/>
      <c r="D419" s="29"/>
      <c r="E419" s="29"/>
      <c r="F419" s="29"/>
      <c r="G419" s="29"/>
    </row>
    <row r="420" spans="2:7" ht="15.75" customHeight="1" x14ac:dyDescent="0.2">
      <c r="B420" s="29"/>
      <c r="C420" s="29"/>
      <c r="D420" s="29"/>
      <c r="E420" s="29"/>
      <c r="F420" s="29"/>
      <c r="G420" s="29"/>
    </row>
    <row r="421" spans="2:7" ht="15.75" customHeight="1" x14ac:dyDescent="0.2">
      <c r="B421" s="29"/>
      <c r="C421" s="29"/>
      <c r="D421" s="29"/>
      <c r="E421" s="29"/>
      <c r="F421" s="29"/>
      <c r="G421" s="29"/>
    </row>
    <row r="422" spans="2:7" ht="15.75" customHeight="1" x14ac:dyDescent="0.2">
      <c r="B422" s="29"/>
      <c r="C422" s="29"/>
      <c r="D422" s="29"/>
      <c r="E422" s="29"/>
      <c r="F422" s="29"/>
      <c r="G422" s="29"/>
    </row>
    <row r="423" spans="2:7" ht="15.75" customHeight="1" x14ac:dyDescent="0.2">
      <c r="B423" s="29"/>
      <c r="C423" s="29"/>
      <c r="D423" s="29"/>
      <c r="E423" s="29"/>
      <c r="F423" s="29"/>
      <c r="G423" s="29"/>
    </row>
    <row r="424" spans="2:7" ht="15.75" customHeight="1" x14ac:dyDescent="0.2">
      <c r="B424" s="29"/>
      <c r="C424" s="29"/>
      <c r="D424" s="29"/>
      <c r="E424" s="29"/>
      <c r="F424" s="29"/>
      <c r="G424" s="29"/>
    </row>
    <row r="425" spans="2:7" ht="15.75" customHeight="1" x14ac:dyDescent="0.2">
      <c r="B425" s="29"/>
      <c r="C425" s="29"/>
      <c r="D425" s="29"/>
      <c r="E425" s="29"/>
      <c r="F425" s="29"/>
      <c r="G425" s="29"/>
    </row>
    <row r="426" spans="2:7" ht="15.75" customHeight="1" x14ac:dyDescent="0.2">
      <c r="B426" s="29"/>
      <c r="C426" s="29"/>
      <c r="D426" s="29"/>
      <c r="E426" s="29"/>
      <c r="F426" s="29"/>
      <c r="G426" s="29"/>
    </row>
    <row r="427" spans="2:7" ht="15.75" customHeight="1" x14ac:dyDescent="0.2">
      <c r="B427" s="29"/>
      <c r="C427" s="29"/>
      <c r="D427" s="29"/>
      <c r="E427" s="29"/>
      <c r="F427" s="29"/>
      <c r="G427" s="29"/>
    </row>
    <row r="428" spans="2:7" ht="15.75" customHeight="1" x14ac:dyDescent="0.2">
      <c r="B428" s="29"/>
      <c r="C428" s="29"/>
      <c r="D428" s="29"/>
      <c r="E428" s="29"/>
      <c r="F428" s="29"/>
      <c r="G428" s="29"/>
    </row>
    <row r="429" spans="2:7" ht="15.75" customHeight="1" x14ac:dyDescent="0.2">
      <c r="B429" s="29"/>
      <c r="C429" s="29"/>
      <c r="D429" s="29"/>
      <c r="E429" s="29"/>
      <c r="F429" s="29"/>
      <c r="G429" s="29"/>
    </row>
    <row r="430" spans="2:7" ht="15.75" customHeight="1" x14ac:dyDescent="0.2">
      <c r="B430" s="29"/>
      <c r="C430" s="29"/>
      <c r="D430" s="29"/>
      <c r="E430" s="29"/>
      <c r="F430" s="29"/>
      <c r="G430" s="29"/>
    </row>
    <row r="431" spans="2:7" ht="15.75" customHeight="1" x14ac:dyDescent="0.2">
      <c r="B431" s="29"/>
      <c r="C431" s="29"/>
      <c r="D431" s="29"/>
      <c r="E431" s="29"/>
      <c r="F431" s="29"/>
      <c r="G431" s="29"/>
    </row>
    <row r="432" spans="2:7" ht="15.75" customHeight="1" x14ac:dyDescent="0.2">
      <c r="B432" s="29"/>
      <c r="C432" s="29"/>
      <c r="D432" s="29"/>
      <c r="E432" s="29"/>
      <c r="F432" s="29"/>
      <c r="G432" s="29"/>
    </row>
    <row r="433" spans="2:7" ht="15.75" customHeight="1" x14ac:dyDescent="0.2">
      <c r="B433" s="29"/>
      <c r="C433" s="29"/>
      <c r="D433" s="29"/>
      <c r="E433" s="29"/>
      <c r="F433" s="29"/>
      <c r="G433" s="29"/>
    </row>
    <row r="434" spans="2:7" ht="15.75" customHeight="1" x14ac:dyDescent="0.2">
      <c r="B434" s="29"/>
      <c r="C434" s="29"/>
      <c r="D434" s="29"/>
      <c r="E434" s="29"/>
      <c r="F434" s="29"/>
      <c r="G434" s="29"/>
    </row>
    <row r="435" spans="2:7" ht="15.75" customHeight="1" x14ac:dyDescent="0.2">
      <c r="B435" s="29"/>
      <c r="C435" s="29"/>
      <c r="D435" s="29"/>
      <c r="E435" s="29"/>
      <c r="F435" s="29"/>
      <c r="G435" s="29"/>
    </row>
    <row r="436" spans="2:7" ht="15.75" customHeight="1" x14ac:dyDescent="0.2">
      <c r="B436" s="29"/>
      <c r="C436" s="29"/>
      <c r="D436" s="29"/>
      <c r="E436" s="29"/>
      <c r="F436" s="29"/>
      <c r="G436" s="29"/>
    </row>
    <row r="437" spans="2:7" ht="15.75" customHeight="1" x14ac:dyDescent="0.2">
      <c r="B437" s="29"/>
      <c r="C437" s="29"/>
      <c r="D437" s="29"/>
      <c r="E437" s="29"/>
      <c r="F437" s="29"/>
      <c r="G437" s="29"/>
    </row>
    <row r="438" spans="2:7" ht="15.75" customHeight="1" x14ac:dyDescent="0.2">
      <c r="B438" s="29"/>
      <c r="C438" s="29"/>
      <c r="D438" s="29"/>
      <c r="E438" s="29"/>
      <c r="F438" s="29"/>
      <c r="G438" s="29"/>
    </row>
    <row r="439" spans="2:7" ht="15.75" customHeight="1" x14ac:dyDescent="0.2">
      <c r="B439" s="29"/>
      <c r="C439" s="29"/>
      <c r="D439" s="29"/>
      <c r="E439" s="29"/>
      <c r="F439" s="29"/>
      <c r="G439" s="29"/>
    </row>
    <row r="440" spans="2:7" ht="15.75" customHeight="1" x14ac:dyDescent="0.2">
      <c r="B440" s="29"/>
      <c r="C440" s="29"/>
      <c r="D440" s="29"/>
      <c r="E440" s="29"/>
      <c r="F440" s="29"/>
      <c r="G440" s="29"/>
    </row>
    <row r="441" spans="2:7" ht="15.75" customHeight="1" x14ac:dyDescent="0.2">
      <c r="B441" s="29"/>
      <c r="C441" s="29"/>
      <c r="D441" s="29"/>
      <c r="E441" s="29"/>
      <c r="F441" s="29"/>
      <c r="G441" s="29"/>
    </row>
    <row r="442" spans="2:7" ht="15.75" customHeight="1" x14ac:dyDescent="0.2">
      <c r="B442" s="29"/>
      <c r="C442" s="29"/>
      <c r="D442" s="29"/>
      <c r="E442" s="29"/>
      <c r="F442" s="29"/>
      <c r="G442" s="29"/>
    </row>
    <row r="443" spans="2:7" ht="15.75" customHeight="1" x14ac:dyDescent="0.2">
      <c r="B443" s="29"/>
      <c r="C443" s="29"/>
      <c r="D443" s="29"/>
      <c r="E443" s="29"/>
      <c r="F443" s="29"/>
      <c r="G443" s="29"/>
    </row>
    <row r="444" spans="2:7" ht="15.75" customHeight="1" x14ac:dyDescent="0.2">
      <c r="B444" s="29"/>
      <c r="C444" s="29"/>
      <c r="D444" s="29"/>
      <c r="E444" s="29"/>
      <c r="F444" s="29"/>
      <c r="G444" s="29"/>
    </row>
    <row r="445" spans="2:7" ht="15.75" customHeight="1" x14ac:dyDescent="0.2">
      <c r="B445" s="29"/>
      <c r="C445" s="29"/>
      <c r="D445" s="29"/>
      <c r="E445" s="29"/>
      <c r="F445" s="29"/>
      <c r="G445" s="29"/>
    </row>
    <row r="446" spans="2:7" ht="15.75" customHeight="1" x14ac:dyDescent="0.2">
      <c r="B446" s="29"/>
      <c r="C446" s="29"/>
      <c r="D446" s="29"/>
      <c r="E446" s="29"/>
      <c r="F446" s="29"/>
      <c r="G446" s="29"/>
    </row>
    <row r="447" spans="2:7" ht="15.75" customHeight="1" x14ac:dyDescent="0.2">
      <c r="B447" s="29"/>
      <c r="C447" s="29"/>
      <c r="D447" s="29"/>
      <c r="E447" s="29"/>
      <c r="F447" s="29"/>
      <c r="G447" s="29"/>
    </row>
    <row r="448" spans="2:7" ht="15.75" customHeight="1" x14ac:dyDescent="0.2">
      <c r="B448" s="29"/>
      <c r="C448" s="29"/>
      <c r="D448" s="29"/>
      <c r="E448" s="29"/>
      <c r="F448" s="29"/>
      <c r="G448" s="29"/>
    </row>
    <row r="449" spans="2:7" ht="15.75" customHeight="1" x14ac:dyDescent="0.2">
      <c r="B449" s="29"/>
      <c r="C449" s="29"/>
      <c r="D449" s="29"/>
      <c r="E449" s="29"/>
      <c r="F449" s="29"/>
      <c r="G449" s="29"/>
    </row>
    <row r="450" spans="2:7" ht="15.75" customHeight="1" x14ac:dyDescent="0.2">
      <c r="B450" s="29"/>
      <c r="C450" s="29"/>
      <c r="D450" s="29"/>
      <c r="E450" s="29"/>
      <c r="F450" s="29"/>
      <c r="G450" s="29"/>
    </row>
    <row r="451" spans="2:7" ht="15.75" customHeight="1" x14ac:dyDescent="0.2">
      <c r="B451" s="29"/>
      <c r="C451" s="29"/>
      <c r="D451" s="29"/>
      <c r="E451" s="29"/>
      <c r="F451" s="29"/>
      <c r="G451" s="29"/>
    </row>
    <row r="452" spans="2:7" ht="15.75" customHeight="1" x14ac:dyDescent="0.2">
      <c r="B452" s="29"/>
      <c r="C452" s="29"/>
      <c r="D452" s="29"/>
      <c r="E452" s="29"/>
      <c r="F452" s="29"/>
      <c r="G452" s="29"/>
    </row>
    <row r="453" spans="2:7" ht="15.75" customHeight="1" x14ac:dyDescent="0.2">
      <c r="B453" s="29"/>
      <c r="C453" s="29"/>
      <c r="D453" s="29"/>
      <c r="E453" s="29"/>
      <c r="F453" s="29"/>
      <c r="G453" s="29"/>
    </row>
    <row r="454" spans="2:7" ht="15.75" customHeight="1" x14ac:dyDescent="0.2">
      <c r="B454" s="29"/>
      <c r="C454" s="29"/>
      <c r="D454" s="29"/>
      <c r="E454" s="29"/>
      <c r="F454" s="29"/>
      <c r="G454" s="29"/>
    </row>
    <row r="455" spans="2:7" ht="15.75" customHeight="1" x14ac:dyDescent="0.2">
      <c r="B455" s="29"/>
      <c r="C455" s="29"/>
      <c r="D455" s="29"/>
      <c r="E455" s="29"/>
      <c r="F455" s="29"/>
      <c r="G455" s="29"/>
    </row>
    <row r="456" spans="2:7" ht="15.75" customHeight="1" x14ac:dyDescent="0.2">
      <c r="B456" s="29"/>
      <c r="C456" s="29"/>
      <c r="D456" s="29"/>
      <c r="E456" s="29"/>
      <c r="F456" s="29"/>
      <c r="G456" s="29"/>
    </row>
    <row r="457" spans="2:7" ht="15.75" customHeight="1" x14ac:dyDescent="0.2">
      <c r="B457" s="29"/>
      <c r="C457" s="29"/>
      <c r="D457" s="29"/>
      <c r="E457" s="29"/>
      <c r="F457" s="29"/>
      <c r="G457" s="29"/>
    </row>
    <row r="458" spans="2:7" ht="15.75" customHeight="1" x14ac:dyDescent="0.2">
      <c r="B458" s="29"/>
      <c r="C458" s="29"/>
      <c r="D458" s="29"/>
      <c r="E458" s="29"/>
      <c r="F458" s="29"/>
      <c r="G458" s="29"/>
    </row>
    <row r="459" spans="2:7" ht="15.75" customHeight="1" x14ac:dyDescent="0.2">
      <c r="B459" s="29"/>
      <c r="C459" s="29"/>
      <c r="D459" s="29"/>
      <c r="E459" s="29"/>
      <c r="F459" s="29"/>
      <c r="G459" s="29"/>
    </row>
    <row r="460" spans="2:7" ht="15.75" customHeight="1" x14ac:dyDescent="0.2">
      <c r="B460" s="29"/>
      <c r="C460" s="29"/>
      <c r="D460" s="29"/>
      <c r="E460" s="29"/>
      <c r="F460" s="29"/>
      <c r="G460" s="29"/>
    </row>
    <row r="461" spans="2:7" ht="15.75" customHeight="1" x14ac:dyDescent="0.2">
      <c r="B461" s="29"/>
      <c r="C461" s="29"/>
      <c r="D461" s="29"/>
      <c r="E461" s="29"/>
      <c r="F461" s="29"/>
      <c r="G461" s="29"/>
    </row>
    <row r="462" spans="2:7" ht="15.75" customHeight="1" x14ac:dyDescent="0.2">
      <c r="B462" s="29"/>
      <c r="C462" s="29"/>
      <c r="D462" s="29"/>
      <c r="E462" s="29"/>
      <c r="F462" s="29"/>
      <c r="G462" s="29"/>
    </row>
    <row r="463" spans="2:7" ht="15.75" customHeight="1" x14ac:dyDescent="0.2">
      <c r="B463" s="29"/>
      <c r="C463" s="29"/>
      <c r="D463" s="29"/>
      <c r="E463" s="29"/>
      <c r="F463" s="29"/>
      <c r="G463" s="29"/>
    </row>
    <row r="464" spans="2:7" ht="15.75" customHeight="1" x14ac:dyDescent="0.2">
      <c r="B464" s="29"/>
      <c r="C464" s="29"/>
      <c r="D464" s="29"/>
      <c r="E464" s="29"/>
      <c r="F464" s="29"/>
      <c r="G464" s="29"/>
    </row>
    <row r="465" spans="2:7" ht="15.75" customHeight="1" x14ac:dyDescent="0.2">
      <c r="B465" s="29"/>
      <c r="C465" s="29"/>
      <c r="D465" s="29"/>
      <c r="E465" s="29"/>
      <c r="F465" s="29"/>
      <c r="G465" s="29"/>
    </row>
    <row r="466" spans="2:7" ht="15.75" customHeight="1" x14ac:dyDescent="0.2">
      <c r="B466" s="29"/>
      <c r="C466" s="29"/>
      <c r="D466" s="29"/>
      <c r="E466" s="29"/>
      <c r="F466" s="29"/>
      <c r="G466" s="29"/>
    </row>
    <row r="467" spans="2:7" ht="15.75" customHeight="1" x14ac:dyDescent="0.2">
      <c r="B467" s="29"/>
      <c r="C467" s="29"/>
      <c r="D467" s="29"/>
      <c r="E467" s="29"/>
      <c r="F467" s="29"/>
      <c r="G467" s="29"/>
    </row>
    <row r="468" spans="2:7" ht="15.75" customHeight="1" x14ac:dyDescent="0.2">
      <c r="B468" s="29"/>
      <c r="C468" s="29"/>
      <c r="D468" s="29"/>
      <c r="E468" s="29"/>
      <c r="F468" s="29"/>
      <c r="G468" s="29"/>
    </row>
    <row r="469" spans="2:7" ht="15.75" customHeight="1" x14ac:dyDescent="0.2">
      <c r="B469" s="29"/>
      <c r="C469" s="29"/>
      <c r="D469" s="29"/>
      <c r="E469" s="29"/>
      <c r="F469" s="29"/>
      <c r="G469" s="29"/>
    </row>
    <row r="470" spans="2:7" ht="15.75" customHeight="1" x14ac:dyDescent="0.2">
      <c r="B470" s="29"/>
      <c r="C470" s="29"/>
      <c r="D470" s="29"/>
      <c r="E470" s="29"/>
      <c r="F470" s="29"/>
      <c r="G470" s="29"/>
    </row>
    <row r="471" spans="2:7" ht="15.75" customHeight="1" x14ac:dyDescent="0.2">
      <c r="B471" s="29"/>
      <c r="C471" s="29"/>
      <c r="D471" s="29"/>
      <c r="E471" s="29"/>
      <c r="F471" s="29"/>
      <c r="G471" s="29"/>
    </row>
    <row r="472" spans="2:7" ht="15.75" customHeight="1" x14ac:dyDescent="0.2">
      <c r="B472" s="29"/>
      <c r="C472" s="29"/>
      <c r="D472" s="29"/>
      <c r="E472" s="29"/>
      <c r="F472" s="29"/>
      <c r="G472" s="29"/>
    </row>
    <row r="473" spans="2:7" ht="15.75" customHeight="1" x14ac:dyDescent="0.2">
      <c r="B473" s="29"/>
      <c r="C473" s="29"/>
      <c r="D473" s="29"/>
      <c r="E473" s="29"/>
      <c r="F473" s="29"/>
      <c r="G473" s="29"/>
    </row>
    <row r="474" spans="2:7" ht="15.75" customHeight="1" x14ac:dyDescent="0.2">
      <c r="B474" s="29"/>
      <c r="C474" s="29"/>
      <c r="D474" s="29"/>
      <c r="E474" s="29"/>
      <c r="F474" s="29"/>
      <c r="G474" s="29"/>
    </row>
    <row r="475" spans="2:7" ht="15.75" customHeight="1" x14ac:dyDescent="0.2">
      <c r="B475" s="29"/>
      <c r="C475" s="29"/>
      <c r="D475" s="29"/>
      <c r="E475" s="29"/>
      <c r="F475" s="29"/>
      <c r="G475" s="29"/>
    </row>
    <row r="476" spans="2:7" ht="15.75" customHeight="1" x14ac:dyDescent="0.2">
      <c r="B476" s="29"/>
      <c r="C476" s="29"/>
      <c r="D476" s="29"/>
      <c r="E476" s="29"/>
      <c r="F476" s="29"/>
      <c r="G476" s="29"/>
    </row>
    <row r="477" spans="2:7" ht="15.75" customHeight="1" x14ac:dyDescent="0.2">
      <c r="B477" s="29"/>
      <c r="C477" s="29"/>
      <c r="D477" s="29"/>
      <c r="E477" s="29"/>
      <c r="F477" s="29"/>
      <c r="G477" s="29"/>
    </row>
    <row r="478" spans="2:7" ht="15.75" customHeight="1" x14ac:dyDescent="0.2">
      <c r="B478" s="29"/>
      <c r="C478" s="29"/>
      <c r="D478" s="29"/>
      <c r="E478" s="29"/>
      <c r="F478" s="29"/>
      <c r="G478" s="29"/>
    </row>
    <row r="479" spans="2:7" ht="15.75" customHeight="1" x14ac:dyDescent="0.2">
      <c r="B479" s="29"/>
      <c r="C479" s="29"/>
      <c r="D479" s="29"/>
      <c r="E479" s="29"/>
      <c r="F479" s="29"/>
      <c r="G479" s="29"/>
    </row>
    <row r="480" spans="2:7" ht="15.75" customHeight="1" x14ac:dyDescent="0.2">
      <c r="B480" s="29"/>
      <c r="C480" s="29"/>
      <c r="D480" s="29"/>
      <c r="E480" s="29"/>
      <c r="F480" s="29"/>
      <c r="G480" s="29"/>
    </row>
    <row r="481" spans="2:7" ht="15.75" customHeight="1" x14ac:dyDescent="0.2">
      <c r="B481" s="29"/>
      <c r="C481" s="29"/>
      <c r="D481" s="29"/>
      <c r="E481" s="29"/>
      <c r="F481" s="29"/>
      <c r="G481" s="29"/>
    </row>
    <row r="482" spans="2:7" ht="15.75" customHeight="1" x14ac:dyDescent="0.2">
      <c r="B482" s="29"/>
      <c r="C482" s="29"/>
      <c r="D482" s="29"/>
      <c r="E482" s="29"/>
      <c r="F482" s="29"/>
      <c r="G482" s="29"/>
    </row>
    <row r="483" spans="2:7" ht="15.75" customHeight="1" x14ac:dyDescent="0.2">
      <c r="B483" s="29"/>
      <c r="C483" s="29"/>
      <c r="D483" s="29"/>
      <c r="E483" s="29"/>
      <c r="F483" s="29"/>
      <c r="G483" s="29"/>
    </row>
    <row r="484" spans="2:7" ht="15.75" customHeight="1" x14ac:dyDescent="0.2">
      <c r="B484" s="29"/>
      <c r="C484" s="29"/>
      <c r="D484" s="29"/>
      <c r="E484" s="29"/>
      <c r="F484" s="29"/>
      <c r="G484" s="29"/>
    </row>
    <row r="485" spans="2:7" ht="15.75" customHeight="1" x14ac:dyDescent="0.2">
      <c r="B485" s="29"/>
      <c r="C485" s="29"/>
      <c r="D485" s="29"/>
      <c r="E485" s="29"/>
      <c r="F485" s="29"/>
      <c r="G485" s="29"/>
    </row>
    <row r="486" spans="2:7" ht="15.75" customHeight="1" x14ac:dyDescent="0.2">
      <c r="B486" s="29"/>
      <c r="C486" s="29"/>
      <c r="D486" s="29"/>
      <c r="E486" s="29"/>
      <c r="F486" s="29"/>
      <c r="G486" s="29"/>
    </row>
    <row r="487" spans="2:7" ht="15.75" customHeight="1" x14ac:dyDescent="0.2">
      <c r="B487" s="29"/>
      <c r="C487" s="29"/>
      <c r="D487" s="29"/>
      <c r="E487" s="29"/>
      <c r="F487" s="29"/>
      <c r="G487" s="29"/>
    </row>
    <row r="488" spans="2:7" ht="15.75" customHeight="1" x14ac:dyDescent="0.2">
      <c r="B488" s="29"/>
      <c r="C488" s="29"/>
      <c r="D488" s="29"/>
      <c r="E488" s="29"/>
      <c r="F488" s="29"/>
      <c r="G488" s="29"/>
    </row>
    <row r="489" spans="2:7" ht="15.75" customHeight="1" x14ac:dyDescent="0.2">
      <c r="B489" s="29"/>
      <c r="C489" s="29"/>
      <c r="D489" s="29"/>
      <c r="E489" s="29"/>
      <c r="F489" s="29"/>
      <c r="G489" s="29"/>
    </row>
    <row r="490" spans="2:7" ht="15.75" customHeight="1" x14ac:dyDescent="0.2">
      <c r="B490" s="29"/>
      <c r="C490" s="29"/>
      <c r="D490" s="29"/>
      <c r="E490" s="29"/>
      <c r="F490" s="29"/>
      <c r="G490" s="29"/>
    </row>
    <row r="491" spans="2:7" ht="15.75" customHeight="1" x14ac:dyDescent="0.2">
      <c r="B491" s="29"/>
      <c r="C491" s="29"/>
      <c r="D491" s="29"/>
      <c r="E491" s="29"/>
      <c r="F491" s="29"/>
      <c r="G491" s="29"/>
    </row>
    <row r="492" spans="2:7" ht="15.75" customHeight="1" x14ac:dyDescent="0.2">
      <c r="B492" s="29"/>
      <c r="C492" s="29"/>
      <c r="D492" s="29"/>
      <c r="E492" s="29"/>
      <c r="F492" s="29"/>
      <c r="G492" s="29"/>
    </row>
    <row r="493" spans="2:7" ht="15.75" customHeight="1" x14ac:dyDescent="0.2">
      <c r="B493" s="29"/>
      <c r="C493" s="29"/>
      <c r="D493" s="29"/>
      <c r="E493" s="29"/>
      <c r="F493" s="29"/>
      <c r="G493" s="29"/>
    </row>
    <row r="494" spans="2:7" ht="15.75" customHeight="1" x14ac:dyDescent="0.2">
      <c r="B494" s="29"/>
      <c r="C494" s="29"/>
      <c r="D494" s="29"/>
      <c r="E494" s="29"/>
      <c r="F494" s="29"/>
      <c r="G494" s="29"/>
    </row>
    <row r="495" spans="2:7" ht="15.75" customHeight="1" x14ac:dyDescent="0.2">
      <c r="B495" s="29"/>
      <c r="C495" s="29"/>
      <c r="D495" s="29"/>
      <c r="E495" s="29"/>
      <c r="F495" s="29"/>
      <c r="G495" s="29"/>
    </row>
    <row r="496" spans="2:7" ht="15.75" customHeight="1" x14ac:dyDescent="0.2">
      <c r="B496" s="29"/>
      <c r="C496" s="29"/>
      <c r="D496" s="29"/>
      <c r="E496" s="29"/>
      <c r="F496" s="29"/>
      <c r="G496" s="29"/>
    </row>
    <row r="497" spans="2:7" ht="15.75" customHeight="1" x14ac:dyDescent="0.2">
      <c r="B497" s="29"/>
      <c r="C497" s="29"/>
      <c r="D497" s="29"/>
      <c r="E497" s="29"/>
      <c r="F497" s="29"/>
      <c r="G497" s="29"/>
    </row>
    <row r="498" spans="2:7" ht="15.75" customHeight="1" x14ac:dyDescent="0.2">
      <c r="B498" s="29"/>
      <c r="C498" s="29"/>
      <c r="D498" s="29"/>
      <c r="E498" s="29"/>
      <c r="F498" s="29"/>
      <c r="G498" s="29"/>
    </row>
    <row r="499" spans="2:7" ht="15.75" customHeight="1" x14ac:dyDescent="0.2">
      <c r="B499" s="29"/>
      <c r="C499" s="29"/>
      <c r="D499" s="29"/>
      <c r="E499" s="29"/>
      <c r="F499" s="29"/>
      <c r="G499" s="29"/>
    </row>
    <row r="500" spans="2:7" ht="15.75" customHeight="1" x14ac:dyDescent="0.2">
      <c r="B500" s="29"/>
      <c r="C500" s="29"/>
      <c r="D500" s="29"/>
      <c r="E500" s="29"/>
      <c r="F500" s="29"/>
      <c r="G500" s="29"/>
    </row>
    <row r="501" spans="2:7" ht="15.75" customHeight="1" x14ac:dyDescent="0.2">
      <c r="B501" s="29"/>
      <c r="C501" s="29"/>
      <c r="D501" s="29"/>
      <c r="E501" s="29"/>
      <c r="F501" s="29"/>
      <c r="G501" s="29"/>
    </row>
    <row r="502" spans="2:7" ht="15.75" customHeight="1" x14ac:dyDescent="0.2">
      <c r="B502" s="29"/>
      <c r="C502" s="29"/>
      <c r="D502" s="29"/>
      <c r="E502" s="29"/>
      <c r="F502" s="29"/>
      <c r="G502" s="29"/>
    </row>
    <row r="503" spans="2:7" ht="15.75" customHeight="1" x14ac:dyDescent="0.2">
      <c r="B503" s="29"/>
      <c r="C503" s="29"/>
      <c r="D503" s="29"/>
      <c r="E503" s="29"/>
      <c r="F503" s="29"/>
      <c r="G503" s="29"/>
    </row>
    <row r="504" spans="2:7" ht="15.75" customHeight="1" x14ac:dyDescent="0.2">
      <c r="B504" s="29"/>
      <c r="C504" s="29"/>
      <c r="D504" s="29"/>
      <c r="E504" s="29"/>
      <c r="F504" s="29"/>
      <c r="G504" s="29"/>
    </row>
    <row r="505" spans="2:7" ht="15.75" customHeight="1" x14ac:dyDescent="0.2">
      <c r="B505" s="29"/>
      <c r="C505" s="29"/>
      <c r="D505" s="29"/>
      <c r="E505" s="29"/>
      <c r="F505" s="29"/>
      <c r="G505" s="29"/>
    </row>
    <row r="506" spans="2:7" ht="15.75" customHeight="1" x14ac:dyDescent="0.2">
      <c r="B506" s="29"/>
      <c r="C506" s="29"/>
      <c r="D506" s="29"/>
      <c r="E506" s="29"/>
      <c r="F506" s="29"/>
      <c r="G506" s="29"/>
    </row>
    <row r="507" spans="2:7" ht="15.75" customHeight="1" x14ac:dyDescent="0.2">
      <c r="B507" s="29"/>
      <c r="C507" s="29"/>
      <c r="D507" s="29"/>
      <c r="E507" s="29"/>
      <c r="F507" s="29"/>
      <c r="G507" s="29"/>
    </row>
    <row r="508" spans="2:7" ht="15.75" customHeight="1" x14ac:dyDescent="0.2">
      <c r="B508" s="29"/>
      <c r="C508" s="29"/>
      <c r="D508" s="29"/>
      <c r="E508" s="29"/>
      <c r="F508" s="29"/>
      <c r="G508" s="29"/>
    </row>
    <row r="509" spans="2:7" ht="15.75" customHeight="1" x14ac:dyDescent="0.2">
      <c r="B509" s="29"/>
      <c r="C509" s="29"/>
      <c r="D509" s="29"/>
      <c r="E509" s="29"/>
      <c r="F509" s="29"/>
      <c r="G509" s="29"/>
    </row>
    <row r="510" spans="2:7" ht="15.75" customHeight="1" x14ac:dyDescent="0.2">
      <c r="B510" s="29"/>
      <c r="C510" s="29"/>
      <c r="D510" s="29"/>
      <c r="E510" s="29"/>
      <c r="F510" s="29"/>
      <c r="G510" s="29"/>
    </row>
    <row r="511" spans="2:7" ht="15.75" customHeight="1" x14ac:dyDescent="0.2">
      <c r="B511" s="29"/>
      <c r="C511" s="29"/>
      <c r="D511" s="29"/>
      <c r="E511" s="29"/>
      <c r="F511" s="29"/>
      <c r="G511" s="29"/>
    </row>
    <row r="512" spans="2:7" ht="15.75" customHeight="1" x14ac:dyDescent="0.2">
      <c r="B512" s="29"/>
      <c r="C512" s="29"/>
      <c r="D512" s="29"/>
      <c r="E512" s="29"/>
      <c r="F512" s="29"/>
      <c r="G512" s="29"/>
    </row>
    <row r="513" spans="2:7" ht="15.75" customHeight="1" x14ac:dyDescent="0.2">
      <c r="B513" s="29"/>
      <c r="C513" s="29"/>
      <c r="D513" s="29"/>
      <c r="E513" s="29"/>
      <c r="F513" s="29"/>
      <c r="G513" s="29"/>
    </row>
    <row r="514" spans="2:7" ht="15.75" customHeight="1" x14ac:dyDescent="0.2">
      <c r="B514" s="29"/>
      <c r="C514" s="29"/>
      <c r="D514" s="29"/>
      <c r="E514" s="29"/>
      <c r="F514" s="29"/>
      <c r="G514" s="29"/>
    </row>
    <row r="515" spans="2:7" ht="15.75" customHeight="1" x14ac:dyDescent="0.2">
      <c r="B515" s="29"/>
      <c r="C515" s="29"/>
      <c r="D515" s="29"/>
      <c r="E515" s="29"/>
      <c r="F515" s="29"/>
      <c r="G515" s="29"/>
    </row>
    <row r="516" spans="2:7" ht="15.75" customHeight="1" x14ac:dyDescent="0.2">
      <c r="B516" s="29"/>
      <c r="C516" s="29"/>
      <c r="D516" s="29"/>
      <c r="E516" s="29"/>
      <c r="F516" s="29"/>
      <c r="G516" s="29"/>
    </row>
    <row r="517" spans="2:7" ht="15.75" customHeight="1" x14ac:dyDescent="0.2">
      <c r="B517" s="29"/>
      <c r="C517" s="29"/>
      <c r="D517" s="29"/>
      <c r="E517" s="29"/>
      <c r="F517" s="29"/>
      <c r="G517" s="29"/>
    </row>
    <row r="518" spans="2:7" ht="15.75" customHeight="1" x14ac:dyDescent="0.2">
      <c r="B518" s="29"/>
      <c r="C518" s="29"/>
      <c r="D518" s="29"/>
      <c r="E518" s="29"/>
      <c r="F518" s="29"/>
      <c r="G518" s="29"/>
    </row>
    <row r="519" spans="2:7" ht="15.75" customHeight="1" x14ac:dyDescent="0.2">
      <c r="B519" s="29"/>
      <c r="C519" s="29"/>
      <c r="D519" s="29"/>
      <c r="E519" s="29"/>
      <c r="F519" s="29"/>
      <c r="G519" s="29"/>
    </row>
    <row r="520" spans="2:7" ht="15.75" customHeight="1" x14ac:dyDescent="0.2">
      <c r="B520" s="29"/>
      <c r="C520" s="29"/>
      <c r="D520" s="29"/>
      <c r="E520" s="29"/>
      <c r="F520" s="29"/>
      <c r="G520" s="29"/>
    </row>
    <row r="521" spans="2:7" ht="15.75" customHeight="1" x14ac:dyDescent="0.2">
      <c r="B521" s="29"/>
      <c r="C521" s="29"/>
      <c r="D521" s="29"/>
      <c r="E521" s="29"/>
      <c r="F521" s="29"/>
      <c r="G521" s="29"/>
    </row>
    <row r="522" spans="2:7" ht="15.75" customHeight="1" x14ac:dyDescent="0.2">
      <c r="B522" s="29"/>
      <c r="C522" s="29"/>
      <c r="D522" s="29"/>
      <c r="E522" s="29"/>
      <c r="F522" s="29"/>
      <c r="G522" s="29"/>
    </row>
    <row r="523" spans="2:7" ht="15.75" customHeight="1" x14ac:dyDescent="0.2">
      <c r="B523" s="29"/>
      <c r="C523" s="29"/>
      <c r="D523" s="29"/>
      <c r="E523" s="29"/>
      <c r="F523" s="29"/>
      <c r="G523" s="29"/>
    </row>
    <row r="524" spans="2:7" ht="15.75" customHeight="1" x14ac:dyDescent="0.2">
      <c r="B524" s="29"/>
      <c r="C524" s="29"/>
      <c r="D524" s="29"/>
      <c r="E524" s="29"/>
      <c r="F524" s="29"/>
      <c r="G524" s="29"/>
    </row>
    <row r="525" spans="2:7" ht="15.75" customHeight="1" x14ac:dyDescent="0.2">
      <c r="B525" s="29"/>
      <c r="C525" s="29"/>
      <c r="D525" s="29"/>
      <c r="E525" s="29"/>
      <c r="F525" s="29"/>
      <c r="G525" s="29"/>
    </row>
    <row r="526" spans="2:7" ht="15.75" customHeight="1" x14ac:dyDescent="0.2">
      <c r="B526" s="29"/>
      <c r="C526" s="29"/>
      <c r="D526" s="29"/>
      <c r="E526" s="29"/>
      <c r="F526" s="29"/>
      <c r="G526" s="29"/>
    </row>
    <row r="527" spans="2:7" ht="15.75" customHeight="1" x14ac:dyDescent="0.2">
      <c r="B527" s="29"/>
      <c r="C527" s="29"/>
      <c r="D527" s="29"/>
      <c r="E527" s="29"/>
      <c r="F527" s="29"/>
      <c r="G527" s="29"/>
    </row>
    <row r="528" spans="2:7" ht="15.75" customHeight="1" x14ac:dyDescent="0.2">
      <c r="B528" s="29"/>
      <c r="C528" s="29"/>
      <c r="D528" s="29"/>
      <c r="E528" s="29"/>
      <c r="F528" s="29"/>
      <c r="G528" s="29"/>
    </row>
    <row r="529" spans="2:7" ht="15.75" customHeight="1" x14ac:dyDescent="0.2">
      <c r="B529" s="29"/>
      <c r="C529" s="29"/>
      <c r="D529" s="29"/>
      <c r="E529" s="29"/>
      <c r="F529" s="29"/>
      <c r="G529" s="29"/>
    </row>
    <row r="530" spans="2:7" ht="15.75" customHeight="1" x14ac:dyDescent="0.2">
      <c r="B530" s="29"/>
      <c r="C530" s="29"/>
      <c r="D530" s="29"/>
      <c r="E530" s="29"/>
      <c r="F530" s="29"/>
      <c r="G530" s="29"/>
    </row>
    <row r="531" spans="2:7" ht="15.75" customHeight="1" x14ac:dyDescent="0.2">
      <c r="B531" s="29"/>
      <c r="C531" s="29"/>
      <c r="D531" s="29"/>
      <c r="E531" s="29"/>
      <c r="F531" s="29"/>
      <c r="G531" s="29"/>
    </row>
    <row r="532" spans="2:7" ht="15.75" customHeight="1" x14ac:dyDescent="0.2">
      <c r="B532" s="29"/>
      <c r="C532" s="29"/>
      <c r="D532" s="29"/>
      <c r="E532" s="29"/>
      <c r="F532" s="29"/>
      <c r="G532" s="29"/>
    </row>
    <row r="533" spans="2:7" ht="15.75" customHeight="1" x14ac:dyDescent="0.2">
      <c r="B533" s="29"/>
      <c r="C533" s="29"/>
      <c r="D533" s="29"/>
      <c r="E533" s="29"/>
      <c r="F533" s="29"/>
      <c r="G533" s="29"/>
    </row>
    <row r="534" spans="2:7" ht="15.75" customHeight="1" x14ac:dyDescent="0.2">
      <c r="B534" s="29"/>
      <c r="C534" s="29"/>
      <c r="D534" s="29"/>
      <c r="E534" s="29"/>
      <c r="F534" s="29"/>
      <c r="G534" s="29"/>
    </row>
    <row r="535" spans="2:7" ht="15.75" customHeight="1" x14ac:dyDescent="0.2">
      <c r="B535" s="29"/>
      <c r="C535" s="29"/>
      <c r="D535" s="29"/>
      <c r="E535" s="29"/>
      <c r="F535" s="29"/>
      <c r="G535" s="29"/>
    </row>
    <row r="536" spans="2:7" ht="15.75" customHeight="1" x14ac:dyDescent="0.2">
      <c r="B536" s="29"/>
      <c r="C536" s="29"/>
      <c r="D536" s="29"/>
      <c r="E536" s="29"/>
      <c r="F536" s="29"/>
      <c r="G536" s="29"/>
    </row>
    <row r="537" spans="2:7" ht="15.75" customHeight="1" x14ac:dyDescent="0.2">
      <c r="B537" s="29"/>
      <c r="C537" s="29"/>
      <c r="D537" s="29"/>
      <c r="E537" s="29"/>
      <c r="F537" s="29"/>
      <c r="G537" s="29"/>
    </row>
    <row r="538" spans="2:7" ht="15.75" customHeight="1" x14ac:dyDescent="0.2">
      <c r="B538" s="29"/>
      <c r="C538" s="29"/>
      <c r="D538" s="29"/>
      <c r="E538" s="29"/>
      <c r="F538" s="29"/>
      <c r="G538" s="29"/>
    </row>
    <row r="539" spans="2:7" ht="15.75" customHeight="1" x14ac:dyDescent="0.2">
      <c r="B539" s="29"/>
      <c r="C539" s="29"/>
      <c r="D539" s="29"/>
      <c r="E539" s="29"/>
      <c r="F539" s="29"/>
      <c r="G539" s="29"/>
    </row>
    <row r="540" spans="2:7" ht="15.75" customHeight="1" x14ac:dyDescent="0.2">
      <c r="B540" s="29"/>
      <c r="C540" s="29"/>
      <c r="D540" s="29"/>
      <c r="E540" s="29"/>
      <c r="F540" s="29"/>
      <c r="G540" s="29"/>
    </row>
    <row r="541" spans="2:7" ht="15.75" customHeight="1" x14ac:dyDescent="0.2">
      <c r="B541" s="29"/>
      <c r="C541" s="29"/>
      <c r="D541" s="29"/>
      <c r="E541" s="29"/>
      <c r="F541" s="29"/>
      <c r="G541" s="29"/>
    </row>
    <row r="542" spans="2:7" ht="15.75" customHeight="1" x14ac:dyDescent="0.2">
      <c r="B542" s="29"/>
      <c r="C542" s="29"/>
      <c r="D542" s="29"/>
      <c r="E542" s="29"/>
      <c r="F542" s="29"/>
      <c r="G542" s="29"/>
    </row>
    <row r="543" spans="2:7" ht="15.75" customHeight="1" x14ac:dyDescent="0.2">
      <c r="B543" s="29"/>
      <c r="C543" s="29"/>
      <c r="D543" s="29"/>
      <c r="E543" s="29"/>
      <c r="F543" s="29"/>
      <c r="G543" s="29"/>
    </row>
    <row r="544" spans="2:7" ht="15.75" customHeight="1" x14ac:dyDescent="0.2">
      <c r="B544" s="29"/>
      <c r="C544" s="29"/>
      <c r="D544" s="29"/>
      <c r="E544" s="29"/>
      <c r="F544" s="29"/>
      <c r="G544" s="29"/>
    </row>
    <row r="545" spans="2:7" ht="15.75" customHeight="1" x14ac:dyDescent="0.2">
      <c r="B545" s="29"/>
      <c r="C545" s="29"/>
      <c r="D545" s="29"/>
      <c r="E545" s="29"/>
      <c r="F545" s="29"/>
      <c r="G545" s="29"/>
    </row>
    <row r="546" spans="2:7" ht="15.75" customHeight="1" x14ac:dyDescent="0.2">
      <c r="B546" s="29"/>
      <c r="C546" s="29"/>
      <c r="D546" s="29"/>
      <c r="E546" s="29"/>
      <c r="F546" s="29"/>
      <c r="G546" s="29"/>
    </row>
    <row r="547" spans="2:7" ht="15.75" customHeight="1" x14ac:dyDescent="0.2">
      <c r="B547" s="29"/>
      <c r="C547" s="29"/>
      <c r="D547" s="29"/>
      <c r="E547" s="29"/>
      <c r="F547" s="29"/>
      <c r="G547" s="29"/>
    </row>
    <row r="548" spans="2:7" ht="15.75" customHeight="1" x14ac:dyDescent="0.2">
      <c r="B548" s="29"/>
      <c r="C548" s="29"/>
      <c r="D548" s="29"/>
      <c r="E548" s="29"/>
      <c r="F548" s="29"/>
      <c r="G548" s="29"/>
    </row>
    <row r="549" spans="2:7" ht="15.75" customHeight="1" x14ac:dyDescent="0.2">
      <c r="B549" s="29"/>
      <c r="C549" s="29"/>
      <c r="D549" s="29"/>
      <c r="E549" s="29"/>
      <c r="F549" s="29"/>
      <c r="G549" s="29"/>
    </row>
    <row r="550" spans="2:7" ht="15.75" customHeight="1" x14ac:dyDescent="0.2">
      <c r="B550" s="29"/>
      <c r="C550" s="29"/>
      <c r="D550" s="29"/>
      <c r="E550" s="29"/>
      <c r="F550" s="29"/>
      <c r="G550" s="29"/>
    </row>
    <row r="551" spans="2:7" ht="15.75" customHeight="1" x14ac:dyDescent="0.2">
      <c r="B551" s="29"/>
      <c r="C551" s="29"/>
      <c r="D551" s="29"/>
      <c r="E551" s="29"/>
      <c r="F551" s="29"/>
      <c r="G551" s="29"/>
    </row>
    <row r="552" spans="2:7" ht="15.75" customHeight="1" x14ac:dyDescent="0.2">
      <c r="B552" s="29"/>
      <c r="C552" s="29"/>
      <c r="D552" s="29"/>
      <c r="E552" s="29"/>
      <c r="F552" s="29"/>
      <c r="G552" s="29"/>
    </row>
    <row r="553" spans="2:7" ht="15.75" customHeight="1" x14ac:dyDescent="0.2">
      <c r="B553" s="29"/>
      <c r="C553" s="29"/>
      <c r="D553" s="29"/>
      <c r="E553" s="29"/>
      <c r="F553" s="29"/>
      <c r="G553" s="29"/>
    </row>
    <row r="554" spans="2:7" ht="15.75" customHeight="1" x14ac:dyDescent="0.2">
      <c r="B554" s="29"/>
      <c r="C554" s="29"/>
      <c r="D554" s="29"/>
      <c r="E554" s="29"/>
      <c r="F554" s="29"/>
      <c r="G554" s="29"/>
    </row>
    <row r="555" spans="2:7" ht="15.75" customHeight="1" x14ac:dyDescent="0.2">
      <c r="B555" s="29"/>
      <c r="C555" s="29"/>
      <c r="D555" s="29"/>
      <c r="E555" s="29"/>
      <c r="F555" s="29"/>
      <c r="G555" s="29"/>
    </row>
    <row r="556" spans="2:7" ht="15.75" customHeight="1" x14ac:dyDescent="0.2">
      <c r="B556" s="29"/>
      <c r="C556" s="29"/>
      <c r="D556" s="29"/>
      <c r="E556" s="29"/>
      <c r="F556" s="29"/>
      <c r="G556" s="29"/>
    </row>
    <row r="557" spans="2:7" ht="15.75" customHeight="1" x14ac:dyDescent="0.2">
      <c r="B557" s="29"/>
      <c r="C557" s="29"/>
      <c r="D557" s="29"/>
      <c r="E557" s="29"/>
      <c r="F557" s="29"/>
      <c r="G557" s="29"/>
    </row>
    <row r="558" spans="2:7" ht="15.75" customHeight="1" x14ac:dyDescent="0.2">
      <c r="B558" s="29"/>
      <c r="C558" s="29"/>
      <c r="D558" s="29"/>
      <c r="E558" s="29"/>
      <c r="F558" s="29"/>
      <c r="G558" s="29"/>
    </row>
    <row r="559" spans="2:7" ht="15.75" customHeight="1" x14ac:dyDescent="0.2">
      <c r="B559" s="29"/>
      <c r="C559" s="29"/>
      <c r="D559" s="29"/>
      <c r="E559" s="29"/>
      <c r="F559" s="29"/>
      <c r="G559" s="29"/>
    </row>
    <row r="560" spans="2:7" ht="15.75" customHeight="1" x14ac:dyDescent="0.2">
      <c r="B560" s="29"/>
      <c r="C560" s="29"/>
      <c r="D560" s="29"/>
      <c r="E560" s="29"/>
      <c r="F560" s="29"/>
      <c r="G560" s="29"/>
    </row>
    <row r="561" spans="2:7" ht="15.75" customHeight="1" x14ac:dyDescent="0.2">
      <c r="B561" s="29"/>
      <c r="C561" s="29"/>
      <c r="D561" s="29"/>
      <c r="E561" s="29"/>
      <c r="F561" s="29"/>
      <c r="G561" s="29"/>
    </row>
    <row r="562" spans="2:7" ht="15.75" customHeight="1" x14ac:dyDescent="0.2">
      <c r="B562" s="29"/>
      <c r="C562" s="29"/>
      <c r="D562" s="29"/>
      <c r="E562" s="29"/>
      <c r="F562" s="29"/>
      <c r="G562" s="29"/>
    </row>
    <row r="563" spans="2:7" ht="15.75" customHeight="1" x14ac:dyDescent="0.2">
      <c r="B563" s="29"/>
      <c r="C563" s="29"/>
      <c r="D563" s="29"/>
      <c r="E563" s="29"/>
      <c r="F563" s="29"/>
      <c r="G563" s="29"/>
    </row>
    <row r="564" spans="2:7" ht="15.75" customHeight="1" x14ac:dyDescent="0.2">
      <c r="B564" s="29"/>
      <c r="C564" s="29"/>
      <c r="D564" s="29"/>
      <c r="E564" s="29"/>
      <c r="F564" s="29"/>
      <c r="G564" s="29"/>
    </row>
    <row r="565" spans="2:7" ht="15.75" customHeight="1" x14ac:dyDescent="0.2">
      <c r="B565" s="29"/>
      <c r="C565" s="29"/>
      <c r="D565" s="29"/>
      <c r="E565" s="29"/>
      <c r="F565" s="29"/>
      <c r="G565" s="29"/>
    </row>
    <row r="566" spans="2:7" ht="15.75" customHeight="1" x14ac:dyDescent="0.2">
      <c r="B566" s="29"/>
      <c r="C566" s="29"/>
      <c r="D566" s="29"/>
      <c r="E566" s="29"/>
      <c r="F566" s="29"/>
      <c r="G566" s="29"/>
    </row>
    <row r="567" spans="2:7" ht="15.75" customHeight="1" x14ac:dyDescent="0.2">
      <c r="B567" s="29"/>
      <c r="C567" s="29"/>
      <c r="D567" s="29"/>
      <c r="E567" s="29"/>
      <c r="F567" s="29"/>
      <c r="G567" s="29"/>
    </row>
    <row r="568" spans="2:7" ht="15.75" customHeight="1" x14ac:dyDescent="0.2">
      <c r="B568" s="29"/>
      <c r="C568" s="29"/>
      <c r="D568" s="29"/>
      <c r="E568" s="29"/>
      <c r="F568" s="29"/>
      <c r="G568" s="29"/>
    </row>
    <row r="569" spans="2:7" ht="15.75" customHeight="1" x14ac:dyDescent="0.2">
      <c r="B569" s="29"/>
      <c r="C569" s="29"/>
      <c r="D569" s="29"/>
      <c r="E569" s="29"/>
      <c r="F569" s="29"/>
      <c r="G569" s="29"/>
    </row>
    <row r="570" spans="2:7" ht="15.75" customHeight="1" x14ac:dyDescent="0.2">
      <c r="B570" s="29"/>
      <c r="C570" s="29"/>
      <c r="D570" s="29"/>
      <c r="E570" s="29"/>
      <c r="F570" s="29"/>
      <c r="G570" s="29"/>
    </row>
    <row r="571" spans="2:7" ht="15.75" customHeight="1" x14ac:dyDescent="0.2">
      <c r="B571" s="29"/>
      <c r="C571" s="29"/>
      <c r="D571" s="29"/>
      <c r="E571" s="29"/>
      <c r="F571" s="29"/>
      <c r="G571" s="29"/>
    </row>
    <row r="572" spans="2:7" ht="15.75" customHeight="1" x14ac:dyDescent="0.2">
      <c r="B572" s="29"/>
      <c r="C572" s="29"/>
      <c r="D572" s="29"/>
      <c r="E572" s="29"/>
      <c r="F572" s="29"/>
      <c r="G572" s="29"/>
    </row>
    <row r="573" spans="2:7" ht="15.75" customHeight="1" x14ac:dyDescent="0.2">
      <c r="B573" s="29"/>
      <c r="C573" s="29"/>
      <c r="D573" s="29"/>
      <c r="E573" s="29"/>
      <c r="F573" s="29"/>
      <c r="G573" s="29"/>
    </row>
    <row r="574" spans="2:7" ht="15.75" customHeight="1" x14ac:dyDescent="0.2">
      <c r="B574" s="29"/>
      <c r="C574" s="29"/>
      <c r="D574" s="29"/>
      <c r="E574" s="29"/>
      <c r="F574" s="29"/>
      <c r="G574" s="29"/>
    </row>
    <row r="575" spans="2:7" ht="15.75" customHeight="1" x14ac:dyDescent="0.2">
      <c r="B575" s="29"/>
      <c r="C575" s="29"/>
      <c r="D575" s="29"/>
      <c r="E575" s="29"/>
      <c r="F575" s="29"/>
      <c r="G575" s="29"/>
    </row>
    <row r="576" spans="2:7" ht="15.75" customHeight="1" x14ac:dyDescent="0.2">
      <c r="B576" s="29"/>
      <c r="C576" s="29"/>
      <c r="D576" s="29"/>
      <c r="E576" s="29"/>
      <c r="F576" s="29"/>
      <c r="G576" s="29"/>
    </row>
    <row r="577" spans="2:7" ht="15.75" customHeight="1" x14ac:dyDescent="0.2">
      <c r="B577" s="29"/>
      <c r="C577" s="29"/>
      <c r="D577" s="29"/>
      <c r="E577" s="29"/>
      <c r="F577" s="29"/>
      <c r="G577" s="29"/>
    </row>
    <row r="578" spans="2:7" ht="15.75" customHeight="1" x14ac:dyDescent="0.2">
      <c r="B578" s="29"/>
      <c r="C578" s="29"/>
      <c r="D578" s="29"/>
      <c r="E578" s="29"/>
      <c r="F578" s="29"/>
      <c r="G578" s="29"/>
    </row>
    <row r="579" spans="2:7" ht="15.75" customHeight="1" x14ac:dyDescent="0.2">
      <c r="B579" s="29"/>
      <c r="C579" s="29"/>
      <c r="D579" s="29"/>
      <c r="E579" s="29"/>
      <c r="F579" s="29"/>
      <c r="G579" s="29"/>
    </row>
    <row r="580" spans="2:7" ht="15.75" customHeight="1" x14ac:dyDescent="0.2">
      <c r="B580" s="29"/>
      <c r="C580" s="29"/>
      <c r="D580" s="29"/>
      <c r="E580" s="29"/>
      <c r="F580" s="29"/>
      <c r="G580" s="29"/>
    </row>
    <row r="581" spans="2:7" ht="15.75" customHeight="1" x14ac:dyDescent="0.2">
      <c r="B581" s="29"/>
      <c r="C581" s="29"/>
      <c r="D581" s="29"/>
      <c r="E581" s="29"/>
      <c r="F581" s="29"/>
      <c r="G581" s="29"/>
    </row>
    <row r="582" spans="2:7" ht="15.75" customHeight="1" x14ac:dyDescent="0.2">
      <c r="B582" s="29"/>
      <c r="C582" s="29"/>
      <c r="D582" s="29"/>
      <c r="E582" s="29"/>
      <c r="F582" s="29"/>
      <c r="G582" s="29"/>
    </row>
    <row r="583" spans="2:7" ht="15.75" customHeight="1" x14ac:dyDescent="0.2">
      <c r="B583" s="29"/>
      <c r="C583" s="29"/>
      <c r="D583" s="29"/>
      <c r="E583" s="29"/>
      <c r="F583" s="29"/>
      <c r="G583" s="29"/>
    </row>
    <row r="584" spans="2:7" ht="15.75" customHeight="1" x14ac:dyDescent="0.2">
      <c r="B584" s="29"/>
      <c r="C584" s="29"/>
      <c r="D584" s="29"/>
      <c r="E584" s="29"/>
      <c r="F584" s="29"/>
      <c r="G584" s="29"/>
    </row>
    <row r="585" spans="2:7" ht="15.75" customHeight="1" x14ac:dyDescent="0.2">
      <c r="B585" s="29"/>
      <c r="C585" s="29"/>
      <c r="D585" s="29"/>
      <c r="E585" s="29"/>
      <c r="F585" s="29"/>
      <c r="G585" s="29"/>
    </row>
    <row r="586" spans="2:7" ht="15.75" customHeight="1" x14ac:dyDescent="0.2">
      <c r="B586" s="29"/>
      <c r="C586" s="29"/>
      <c r="D586" s="29"/>
      <c r="E586" s="29"/>
      <c r="F586" s="29"/>
      <c r="G586" s="29"/>
    </row>
    <row r="587" spans="2:7" ht="15.75" customHeight="1" x14ac:dyDescent="0.2">
      <c r="B587" s="29"/>
      <c r="C587" s="29"/>
      <c r="D587" s="29"/>
      <c r="E587" s="29"/>
      <c r="F587" s="29"/>
      <c r="G587" s="29"/>
    </row>
    <row r="588" spans="2:7" ht="15.75" customHeight="1" x14ac:dyDescent="0.2">
      <c r="B588" s="29"/>
      <c r="C588" s="29"/>
      <c r="D588" s="29"/>
      <c r="E588" s="29"/>
      <c r="F588" s="29"/>
      <c r="G588" s="29"/>
    </row>
    <row r="589" spans="2:7" ht="15.75" customHeight="1" x14ac:dyDescent="0.2">
      <c r="B589" s="29"/>
      <c r="C589" s="29"/>
      <c r="D589" s="29"/>
      <c r="E589" s="29"/>
      <c r="F589" s="29"/>
      <c r="G589" s="29"/>
    </row>
    <row r="590" spans="2:7" ht="15.75" customHeight="1" x14ac:dyDescent="0.2">
      <c r="B590" s="29"/>
      <c r="C590" s="29"/>
      <c r="D590" s="29"/>
      <c r="E590" s="29"/>
      <c r="F590" s="29"/>
      <c r="G590" s="29"/>
    </row>
    <row r="591" spans="2:7" ht="15.75" customHeight="1" x14ac:dyDescent="0.2">
      <c r="B591" s="29"/>
      <c r="C591" s="29"/>
      <c r="D591" s="29"/>
      <c r="E591" s="29"/>
      <c r="F591" s="29"/>
      <c r="G591" s="29"/>
    </row>
    <row r="592" spans="2:7" ht="15.75" customHeight="1" x14ac:dyDescent="0.2">
      <c r="B592" s="29"/>
      <c r="C592" s="29"/>
      <c r="D592" s="29"/>
      <c r="E592" s="29"/>
      <c r="F592" s="29"/>
      <c r="G592" s="29"/>
    </row>
    <row r="593" spans="2:7" ht="15.75" customHeight="1" x14ac:dyDescent="0.2">
      <c r="B593" s="29"/>
      <c r="C593" s="29"/>
      <c r="D593" s="29"/>
      <c r="E593" s="29"/>
      <c r="F593" s="29"/>
      <c r="G593" s="29"/>
    </row>
    <row r="594" spans="2:7" ht="15.75" customHeight="1" x14ac:dyDescent="0.2">
      <c r="B594" s="29"/>
      <c r="C594" s="29"/>
      <c r="D594" s="29"/>
      <c r="E594" s="29"/>
      <c r="F594" s="29"/>
      <c r="G594" s="29"/>
    </row>
    <row r="595" spans="2:7" ht="15.75" customHeight="1" x14ac:dyDescent="0.2">
      <c r="B595" s="29"/>
      <c r="C595" s="29"/>
      <c r="D595" s="29"/>
      <c r="E595" s="29"/>
      <c r="F595" s="29"/>
      <c r="G595" s="29"/>
    </row>
    <row r="596" spans="2:7" ht="15.75" customHeight="1" x14ac:dyDescent="0.2">
      <c r="B596" s="29"/>
      <c r="C596" s="29"/>
      <c r="D596" s="29"/>
      <c r="E596" s="29"/>
      <c r="F596" s="29"/>
      <c r="G596" s="29"/>
    </row>
    <row r="597" spans="2:7" ht="15.75" customHeight="1" x14ac:dyDescent="0.2">
      <c r="B597" s="29"/>
      <c r="C597" s="29"/>
      <c r="D597" s="29"/>
      <c r="E597" s="29"/>
      <c r="F597" s="29"/>
      <c r="G597" s="29"/>
    </row>
    <row r="598" spans="2:7" ht="15.75" customHeight="1" x14ac:dyDescent="0.2">
      <c r="B598" s="29"/>
      <c r="C598" s="29"/>
      <c r="D598" s="29"/>
      <c r="E598" s="29"/>
      <c r="F598" s="29"/>
      <c r="G598" s="29"/>
    </row>
    <row r="599" spans="2:7" ht="15.75" customHeight="1" x14ac:dyDescent="0.2">
      <c r="B599" s="29"/>
      <c r="C599" s="29"/>
      <c r="D599" s="29"/>
      <c r="E599" s="29"/>
      <c r="F599" s="29"/>
      <c r="G599" s="29"/>
    </row>
    <row r="600" spans="2:7" ht="15.75" customHeight="1" x14ac:dyDescent="0.2">
      <c r="B600" s="29"/>
      <c r="C600" s="29"/>
      <c r="D600" s="29"/>
      <c r="E600" s="29"/>
      <c r="F600" s="29"/>
      <c r="G600" s="29"/>
    </row>
    <row r="601" spans="2:7" ht="15.75" customHeight="1" x14ac:dyDescent="0.2">
      <c r="B601" s="29"/>
      <c r="C601" s="29"/>
      <c r="D601" s="29"/>
      <c r="E601" s="29"/>
      <c r="F601" s="29"/>
      <c r="G601" s="29"/>
    </row>
    <row r="602" spans="2:7" ht="15.75" customHeight="1" x14ac:dyDescent="0.2">
      <c r="B602" s="29"/>
      <c r="C602" s="29"/>
      <c r="D602" s="29"/>
      <c r="E602" s="29"/>
      <c r="F602" s="29"/>
      <c r="G602" s="29"/>
    </row>
    <row r="603" spans="2:7" ht="15.75" customHeight="1" x14ac:dyDescent="0.2">
      <c r="B603" s="29"/>
      <c r="C603" s="29"/>
      <c r="D603" s="29"/>
      <c r="E603" s="29"/>
      <c r="F603" s="29"/>
      <c r="G603" s="29"/>
    </row>
    <row r="604" spans="2:7" ht="15.75" customHeight="1" x14ac:dyDescent="0.2">
      <c r="B604" s="29"/>
      <c r="C604" s="29"/>
      <c r="D604" s="29"/>
      <c r="E604" s="29"/>
      <c r="F604" s="29"/>
      <c r="G604" s="29"/>
    </row>
    <row r="605" spans="2:7" ht="15.75" customHeight="1" x14ac:dyDescent="0.2">
      <c r="B605" s="29"/>
      <c r="C605" s="29"/>
      <c r="D605" s="29"/>
      <c r="E605" s="29"/>
      <c r="F605" s="29"/>
      <c r="G605" s="29"/>
    </row>
    <row r="606" spans="2:7" ht="15.75" customHeight="1" x14ac:dyDescent="0.2">
      <c r="B606" s="29"/>
      <c r="C606" s="29"/>
      <c r="D606" s="29"/>
      <c r="E606" s="29"/>
      <c r="F606" s="29"/>
      <c r="G606" s="29"/>
    </row>
    <row r="607" spans="2:7" ht="15.75" customHeight="1" x14ac:dyDescent="0.2">
      <c r="B607" s="29"/>
      <c r="C607" s="29"/>
      <c r="D607" s="29"/>
      <c r="E607" s="29"/>
      <c r="F607" s="29"/>
      <c r="G607" s="29"/>
    </row>
    <row r="608" spans="2:7" ht="15.75" customHeight="1" x14ac:dyDescent="0.2">
      <c r="B608" s="29"/>
      <c r="C608" s="29"/>
      <c r="D608" s="29"/>
      <c r="E608" s="29"/>
      <c r="F608" s="29"/>
      <c r="G608" s="29"/>
    </row>
    <row r="609" spans="2:7" ht="15.75" customHeight="1" x14ac:dyDescent="0.2">
      <c r="B609" s="29"/>
      <c r="C609" s="29"/>
      <c r="D609" s="29"/>
      <c r="E609" s="29"/>
      <c r="F609" s="29"/>
      <c r="G609" s="29"/>
    </row>
    <row r="610" spans="2:7" ht="15.75" customHeight="1" x14ac:dyDescent="0.2">
      <c r="B610" s="29"/>
      <c r="C610" s="29"/>
      <c r="D610" s="29"/>
      <c r="E610" s="29"/>
      <c r="F610" s="29"/>
      <c r="G610" s="29"/>
    </row>
    <row r="611" spans="2:7" ht="15.75" customHeight="1" x14ac:dyDescent="0.2">
      <c r="B611" s="29"/>
      <c r="C611" s="29"/>
      <c r="D611" s="29"/>
      <c r="E611" s="29"/>
      <c r="F611" s="29"/>
      <c r="G611" s="29"/>
    </row>
    <row r="612" spans="2:7" ht="15.75" customHeight="1" x14ac:dyDescent="0.2">
      <c r="B612" s="29"/>
      <c r="C612" s="29"/>
      <c r="D612" s="29"/>
      <c r="E612" s="29"/>
      <c r="F612" s="29"/>
      <c r="G612" s="29"/>
    </row>
    <row r="613" spans="2:7" ht="15.75" customHeight="1" x14ac:dyDescent="0.2">
      <c r="B613" s="29"/>
      <c r="C613" s="29"/>
      <c r="D613" s="29"/>
      <c r="E613" s="29"/>
      <c r="F613" s="29"/>
      <c r="G613" s="29"/>
    </row>
    <row r="614" spans="2:7" ht="15.75" customHeight="1" x14ac:dyDescent="0.2">
      <c r="B614" s="29"/>
      <c r="C614" s="29"/>
      <c r="D614" s="29"/>
      <c r="E614" s="29"/>
      <c r="F614" s="29"/>
      <c r="G614" s="29"/>
    </row>
    <row r="615" spans="2:7" ht="15.75" customHeight="1" x14ac:dyDescent="0.2">
      <c r="B615" s="29"/>
      <c r="C615" s="29"/>
      <c r="D615" s="29"/>
      <c r="E615" s="29"/>
      <c r="F615" s="29"/>
      <c r="G615" s="29"/>
    </row>
    <row r="616" spans="2:7" ht="15.75" customHeight="1" x14ac:dyDescent="0.2">
      <c r="B616" s="29"/>
      <c r="C616" s="29"/>
      <c r="D616" s="29"/>
      <c r="E616" s="29"/>
      <c r="F616" s="29"/>
      <c r="G616" s="29"/>
    </row>
    <row r="617" spans="2:7" ht="15.75" customHeight="1" x14ac:dyDescent="0.2">
      <c r="B617" s="29"/>
      <c r="C617" s="29"/>
      <c r="D617" s="29"/>
      <c r="E617" s="29"/>
      <c r="F617" s="29"/>
      <c r="G617" s="29"/>
    </row>
    <row r="618" spans="2:7" ht="15.75" customHeight="1" x14ac:dyDescent="0.2">
      <c r="B618" s="29"/>
      <c r="C618" s="29"/>
      <c r="D618" s="29"/>
      <c r="E618" s="29"/>
      <c r="F618" s="29"/>
      <c r="G618" s="29"/>
    </row>
    <row r="619" spans="2:7" ht="15.75" customHeight="1" x14ac:dyDescent="0.2">
      <c r="B619" s="29"/>
      <c r="C619" s="29"/>
      <c r="D619" s="29"/>
      <c r="E619" s="29"/>
      <c r="F619" s="29"/>
      <c r="G619" s="29"/>
    </row>
    <row r="620" spans="2:7" ht="15.75" customHeight="1" x14ac:dyDescent="0.2">
      <c r="B620" s="29"/>
      <c r="C620" s="29"/>
      <c r="D620" s="29"/>
      <c r="E620" s="29"/>
      <c r="F620" s="29"/>
      <c r="G620" s="29"/>
    </row>
    <row r="621" spans="2:7" ht="15.75" customHeight="1" x14ac:dyDescent="0.2">
      <c r="B621" s="29"/>
      <c r="C621" s="29"/>
      <c r="D621" s="29"/>
      <c r="E621" s="29"/>
      <c r="F621" s="29"/>
      <c r="G621" s="29"/>
    </row>
    <row r="622" spans="2:7" ht="15.75" customHeight="1" x14ac:dyDescent="0.2">
      <c r="B622" s="29"/>
      <c r="C622" s="29"/>
      <c r="D622" s="29"/>
      <c r="E622" s="29"/>
      <c r="F622" s="29"/>
      <c r="G622" s="29"/>
    </row>
    <row r="623" spans="2:7" ht="15.75" customHeight="1" x14ac:dyDescent="0.2">
      <c r="B623" s="29"/>
      <c r="C623" s="29"/>
      <c r="D623" s="29"/>
      <c r="E623" s="29"/>
      <c r="F623" s="29"/>
      <c r="G623" s="29"/>
    </row>
    <row r="624" spans="2:7" ht="15.75" customHeight="1" x14ac:dyDescent="0.2">
      <c r="B624" s="29"/>
      <c r="C624" s="29"/>
      <c r="D624" s="29"/>
      <c r="E624" s="29"/>
      <c r="F624" s="29"/>
      <c r="G624" s="29"/>
    </row>
    <row r="625" spans="2:7" ht="15.75" customHeight="1" x14ac:dyDescent="0.2">
      <c r="B625" s="29"/>
      <c r="C625" s="29"/>
      <c r="D625" s="29"/>
      <c r="E625" s="29"/>
      <c r="F625" s="29"/>
      <c r="G625" s="29"/>
    </row>
    <row r="626" spans="2:7" ht="15.75" customHeight="1" x14ac:dyDescent="0.2">
      <c r="B626" s="29"/>
      <c r="C626" s="29"/>
      <c r="D626" s="29"/>
      <c r="E626" s="29"/>
      <c r="F626" s="29"/>
      <c r="G626" s="29"/>
    </row>
    <row r="627" spans="2:7" ht="15.75" customHeight="1" x14ac:dyDescent="0.2">
      <c r="B627" s="29"/>
      <c r="C627" s="29"/>
      <c r="D627" s="29"/>
      <c r="E627" s="29"/>
      <c r="F627" s="29"/>
      <c r="G627" s="29"/>
    </row>
    <row r="628" spans="2:7" ht="15.75" customHeight="1" x14ac:dyDescent="0.2">
      <c r="B628" s="29"/>
      <c r="C628" s="29"/>
      <c r="D628" s="29"/>
      <c r="E628" s="29"/>
      <c r="F628" s="29"/>
      <c r="G628" s="29"/>
    </row>
    <row r="629" spans="2:7" ht="15.75" customHeight="1" x14ac:dyDescent="0.2">
      <c r="B629" s="29"/>
      <c r="C629" s="29"/>
      <c r="D629" s="29"/>
      <c r="E629" s="29"/>
      <c r="F629" s="29"/>
      <c r="G629" s="29"/>
    </row>
    <row r="630" spans="2:7" ht="15.75" customHeight="1" x14ac:dyDescent="0.2">
      <c r="B630" s="29"/>
      <c r="C630" s="29"/>
      <c r="D630" s="29"/>
      <c r="E630" s="29"/>
      <c r="F630" s="29"/>
      <c r="G630" s="29"/>
    </row>
    <row r="631" spans="2:7" ht="15.75" customHeight="1" x14ac:dyDescent="0.2">
      <c r="B631" s="29"/>
      <c r="C631" s="29"/>
      <c r="D631" s="29"/>
      <c r="E631" s="29"/>
      <c r="F631" s="29"/>
      <c r="G631" s="29"/>
    </row>
    <row r="632" spans="2:7" ht="15.75" customHeight="1" x14ac:dyDescent="0.2">
      <c r="B632" s="29"/>
      <c r="C632" s="29"/>
      <c r="D632" s="29"/>
      <c r="E632" s="29"/>
      <c r="F632" s="29"/>
      <c r="G632" s="29"/>
    </row>
    <row r="633" spans="2:7" ht="15.75" customHeight="1" x14ac:dyDescent="0.2">
      <c r="B633" s="29"/>
      <c r="C633" s="29"/>
      <c r="D633" s="29"/>
      <c r="E633" s="29"/>
      <c r="F633" s="29"/>
      <c r="G633" s="29"/>
    </row>
    <row r="634" spans="2:7" ht="15.75" customHeight="1" x14ac:dyDescent="0.2">
      <c r="B634" s="29"/>
      <c r="C634" s="29"/>
      <c r="D634" s="29"/>
      <c r="E634" s="29"/>
      <c r="F634" s="29"/>
      <c r="G634" s="29"/>
    </row>
    <row r="635" spans="2:7" ht="15.75" customHeight="1" x14ac:dyDescent="0.2">
      <c r="B635" s="29"/>
      <c r="C635" s="29"/>
      <c r="D635" s="29"/>
      <c r="E635" s="29"/>
      <c r="F635" s="29"/>
      <c r="G635" s="29"/>
    </row>
    <row r="636" spans="2:7" ht="15.75" customHeight="1" x14ac:dyDescent="0.2">
      <c r="B636" s="29"/>
      <c r="C636" s="29"/>
      <c r="D636" s="29"/>
      <c r="E636" s="29"/>
      <c r="F636" s="29"/>
      <c r="G636" s="29"/>
    </row>
    <row r="637" spans="2:7" ht="15.75" customHeight="1" x14ac:dyDescent="0.2">
      <c r="B637" s="29"/>
      <c r="C637" s="29"/>
      <c r="D637" s="29"/>
      <c r="E637" s="29"/>
      <c r="F637" s="29"/>
      <c r="G637" s="29"/>
    </row>
    <row r="638" spans="2:7" ht="15.75" customHeight="1" x14ac:dyDescent="0.2">
      <c r="B638" s="29"/>
      <c r="C638" s="29"/>
      <c r="D638" s="29"/>
      <c r="E638" s="29"/>
      <c r="F638" s="29"/>
      <c r="G638" s="29"/>
    </row>
    <row r="639" spans="2:7" ht="15.75" customHeight="1" x14ac:dyDescent="0.2">
      <c r="B639" s="29"/>
      <c r="C639" s="29"/>
      <c r="D639" s="29"/>
      <c r="E639" s="29"/>
      <c r="F639" s="29"/>
      <c r="G639" s="29"/>
    </row>
    <row r="640" spans="2:7" ht="15.75" customHeight="1" x14ac:dyDescent="0.2">
      <c r="B640" s="29"/>
      <c r="C640" s="29"/>
      <c r="D640" s="29"/>
      <c r="E640" s="29"/>
      <c r="F640" s="29"/>
      <c r="G640" s="29"/>
    </row>
    <row r="641" spans="2:7" ht="15.75" customHeight="1" x14ac:dyDescent="0.2">
      <c r="B641" s="29"/>
      <c r="C641" s="29"/>
      <c r="D641" s="29"/>
      <c r="E641" s="29"/>
      <c r="F641" s="29"/>
      <c r="G641" s="29"/>
    </row>
    <row r="642" spans="2:7" ht="15.75" customHeight="1" x14ac:dyDescent="0.2">
      <c r="B642" s="29"/>
      <c r="C642" s="29"/>
      <c r="D642" s="29"/>
      <c r="E642" s="29"/>
      <c r="F642" s="29"/>
      <c r="G642" s="29"/>
    </row>
    <row r="643" spans="2:7" ht="15.75" customHeight="1" x14ac:dyDescent="0.2">
      <c r="B643" s="29"/>
      <c r="C643" s="29"/>
      <c r="D643" s="29"/>
      <c r="E643" s="29"/>
      <c r="F643" s="29"/>
      <c r="G643" s="29"/>
    </row>
    <row r="644" spans="2:7" ht="15.75" customHeight="1" x14ac:dyDescent="0.2">
      <c r="B644" s="29"/>
      <c r="C644" s="29"/>
      <c r="D644" s="29"/>
      <c r="E644" s="29"/>
      <c r="F644" s="29"/>
      <c r="G644" s="29"/>
    </row>
    <row r="645" spans="2:7" ht="15.75" customHeight="1" x14ac:dyDescent="0.2">
      <c r="B645" s="29"/>
      <c r="C645" s="29"/>
      <c r="D645" s="29"/>
      <c r="E645" s="29"/>
      <c r="F645" s="29"/>
      <c r="G645" s="29"/>
    </row>
    <row r="646" spans="2:7" ht="15.75" customHeight="1" x14ac:dyDescent="0.2">
      <c r="B646" s="29"/>
      <c r="C646" s="29"/>
      <c r="D646" s="29"/>
      <c r="E646" s="29"/>
      <c r="F646" s="29"/>
      <c r="G646" s="29"/>
    </row>
    <row r="647" spans="2:7" ht="15.75" customHeight="1" x14ac:dyDescent="0.2">
      <c r="B647" s="29"/>
      <c r="C647" s="29"/>
      <c r="D647" s="29"/>
      <c r="E647" s="29"/>
      <c r="F647" s="29"/>
      <c r="G647" s="29"/>
    </row>
    <row r="648" spans="2:7" ht="15.75" customHeight="1" x14ac:dyDescent="0.2">
      <c r="B648" s="29"/>
      <c r="C648" s="29"/>
      <c r="D648" s="29"/>
      <c r="E648" s="29"/>
      <c r="F648" s="29"/>
      <c r="G648" s="29"/>
    </row>
    <row r="649" spans="2:7" ht="15.75" customHeight="1" x14ac:dyDescent="0.2">
      <c r="B649" s="29"/>
      <c r="C649" s="29"/>
      <c r="D649" s="29"/>
      <c r="E649" s="29"/>
      <c r="F649" s="29"/>
      <c r="G649" s="29"/>
    </row>
    <row r="650" spans="2:7" ht="15.75" customHeight="1" x14ac:dyDescent="0.2">
      <c r="B650" s="29"/>
      <c r="C650" s="29"/>
      <c r="D650" s="29"/>
      <c r="E650" s="29"/>
      <c r="F650" s="29"/>
      <c r="G650" s="29"/>
    </row>
    <row r="651" spans="2:7" ht="15.75" customHeight="1" x14ac:dyDescent="0.2">
      <c r="B651" s="29"/>
      <c r="C651" s="29"/>
      <c r="D651" s="29"/>
      <c r="E651" s="29"/>
      <c r="F651" s="29"/>
      <c r="G651" s="29"/>
    </row>
    <row r="652" spans="2:7" ht="15.75" customHeight="1" x14ac:dyDescent="0.2">
      <c r="B652" s="29"/>
      <c r="C652" s="29"/>
      <c r="D652" s="29"/>
      <c r="E652" s="29"/>
      <c r="F652" s="29"/>
      <c r="G652" s="29"/>
    </row>
    <row r="653" spans="2:7" ht="15.75" customHeight="1" x14ac:dyDescent="0.2">
      <c r="B653" s="29"/>
      <c r="C653" s="29"/>
      <c r="D653" s="29"/>
      <c r="E653" s="29"/>
      <c r="F653" s="29"/>
      <c r="G653" s="29"/>
    </row>
    <row r="654" spans="2:7" ht="15.75" customHeight="1" x14ac:dyDescent="0.2">
      <c r="B654" s="29"/>
      <c r="C654" s="29"/>
      <c r="D654" s="29"/>
      <c r="E654" s="29"/>
      <c r="F654" s="29"/>
      <c r="G654" s="29"/>
    </row>
    <row r="655" spans="2:7" ht="15.75" customHeight="1" x14ac:dyDescent="0.2">
      <c r="B655" s="29"/>
      <c r="C655" s="29"/>
      <c r="D655" s="29"/>
      <c r="E655" s="29"/>
      <c r="F655" s="29"/>
      <c r="G655" s="29"/>
    </row>
    <row r="656" spans="2:7" ht="15.75" customHeight="1" x14ac:dyDescent="0.2">
      <c r="B656" s="29"/>
      <c r="C656" s="29"/>
      <c r="D656" s="29"/>
      <c r="E656" s="29"/>
      <c r="F656" s="29"/>
      <c r="G656" s="29"/>
    </row>
    <row r="657" spans="2:7" ht="15.75" customHeight="1" x14ac:dyDescent="0.2">
      <c r="B657" s="29"/>
      <c r="C657" s="29"/>
      <c r="D657" s="29"/>
      <c r="E657" s="29"/>
      <c r="F657" s="29"/>
      <c r="G657" s="29"/>
    </row>
    <row r="658" spans="2:7" ht="15.75" customHeight="1" x14ac:dyDescent="0.2">
      <c r="B658" s="29"/>
      <c r="C658" s="29"/>
      <c r="D658" s="29"/>
      <c r="E658" s="29"/>
      <c r="F658" s="29"/>
      <c r="G658" s="29"/>
    </row>
    <row r="659" spans="2:7" ht="15.75" customHeight="1" x14ac:dyDescent="0.2">
      <c r="B659" s="29"/>
      <c r="C659" s="29"/>
      <c r="D659" s="29"/>
      <c r="E659" s="29"/>
      <c r="F659" s="29"/>
      <c r="G659" s="29"/>
    </row>
    <row r="660" spans="2:7" ht="15.75" customHeight="1" x14ac:dyDescent="0.2">
      <c r="B660" s="29"/>
      <c r="C660" s="29"/>
      <c r="D660" s="29"/>
      <c r="E660" s="29"/>
      <c r="F660" s="29"/>
      <c r="G660" s="29"/>
    </row>
    <row r="661" spans="2:7" ht="15.75" customHeight="1" x14ac:dyDescent="0.2">
      <c r="B661" s="29"/>
      <c r="C661" s="29"/>
      <c r="D661" s="29"/>
      <c r="E661" s="29"/>
      <c r="F661" s="29"/>
      <c r="G661" s="29"/>
    </row>
    <row r="662" spans="2:7" ht="15.75" customHeight="1" x14ac:dyDescent="0.2">
      <c r="B662" s="29"/>
      <c r="C662" s="29"/>
      <c r="D662" s="29"/>
      <c r="E662" s="29"/>
      <c r="F662" s="29"/>
      <c r="G662" s="29"/>
    </row>
    <row r="663" spans="2:7" ht="15.75" customHeight="1" x14ac:dyDescent="0.2">
      <c r="B663" s="29"/>
      <c r="C663" s="29"/>
      <c r="D663" s="29"/>
      <c r="E663" s="29"/>
      <c r="F663" s="29"/>
      <c r="G663" s="29"/>
    </row>
    <row r="664" spans="2:7" ht="15.75" customHeight="1" x14ac:dyDescent="0.2">
      <c r="B664" s="29"/>
      <c r="C664" s="29"/>
      <c r="D664" s="29"/>
      <c r="E664" s="29"/>
      <c r="F664" s="29"/>
      <c r="G664" s="29"/>
    </row>
    <row r="665" spans="2:7" ht="15.75" customHeight="1" x14ac:dyDescent="0.2">
      <c r="B665" s="29"/>
      <c r="C665" s="29"/>
      <c r="D665" s="29"/>
      <c r="E665" s="29"/>
      <c r="F665" s="29"/>
      <c r="G665" s="29"/>
    </row>
    <row r="666" spans="2:7" ht="15.75" customHeight="1" x14ac:dyDescent="0.2">
      <c r="B666" s="29"/>
      <c r="C666" s="29"/>
      <c r="D666" s="29"/>
      <c r="E666" s="29"/>
      <c r="F666" s="29"/>
      <c r="G666" s="29"/>
    </row>
    <row r="667" spans="2:7" ht="15.75" customHeight="1" x14ac:dyDescent="0.2">
      <c r="B667" s="29"/>
      <c r="C667" s="29"/>
      <c r="D667" s="29"/>
      <c r="E667" s="29"/>
      <c r="F667" s="29"/>
      <c r="G667" s="29"/>
    </row>
    <row r="668" spans="2:7" ht="15.75" customHeight="1" x14ac:dyDescent="0.2">
      <c r="B668" s="29"/>
      <c r="C668" s="29"/>
      <c r="D668" s="29"/>
      <c r="E668" s="29"/>
      <c r="F668" s="29"/>
      <c r="G668" s="29"/>
    </row>
    <row r="669" spans="2:7" ht="15.75" customHeight="1" x14ac:dyDescent="0.2">
      <c r="B669" s="29"/>
      <c r="C669" s="29"/>
      <c r="D669" s="29"/>
      <c r="E669" s="29"/>
      <c r="F669" s="29"/>
      <c r="G669" s="29"/>
    </row>
    <row r="670" spans="2:7" ht="15.75" customHeight="1" x14ac:dyDescent="0.2">
      <c r="B670" s="29"/>
      <c r="C670" s="29"/>
      <c r="D670" s="29"/>
      <c r="E670" s="29"/>
      <c r="F670" s="29"/>
      <c r="G670" s="29"/>
    </row>
    <row r="671" spans="2:7" ht="15.75" customHeight="1" x14ac:dyDescent="0.2">
      <c r="B671" s="29"/>
      <c r="C671" s="29"/>
      <c r="D671" s="29"/>
      <c r="E671" s="29"/>
      <c r="F671" s="29"/>
      <c r="G671" s="29"/>
    </row>
    <row r="672" spans="2:7" ht="15.75" customHeight="1" x14ac:dyDescent="0.2">
      <c r="B672" s="29"/>
      <c r="C672" s="29"/>
      <c r="D672" s="29"/>
      <c r="E672" s="29"/>
      <c r="F672" s="29"/>
      <c r="G672" s="29"/>
    </row>
    <row r="673" spans="2:7" ht="15.75" customHeight="1" x14ac:dyDescent="0.2">
      <c r="B673" s="29"/>
      <c r="C673" s="29"/>
      <c r="D673" s="29"/>
      <c r="E673" s="29"/>
      <c r="F673" s="29"/>
      <c r="G673" s="29"/>
    </row>
    <row r="674" spans="2:7" ht="15.75" customHeight="1" x14ac:dyDescent="0.2">
      <c r="B674" s="29"/>
      <c r="C674" s="29"/>
      <c r="D674" s="29"/>
      <c r="E674" s="29"/>
      <c r="F674" s="29"/>
      <c r="G674" s="29"/>
    </row>
    <row r="675" spans="2:7" ht="15.75" customHeight="1" x14ac:dyDescent="0.2">
      <c r="B675" s="29"/>
      <c r="C675" s="29"/>
      <c r="D675" s="29"/>
      <c r="E675" s="29"/>
      <c r="F675" s="29"/>
      <c r="G675" s="29"/>
    </row>
    <row r="676" spans="2:7" ht="15.75" customHeight="1" x14ac:dyDescent="0.2">
      <c r="B676" s="29"/>
      <c r="C676" s="29"/>
      <c r="D676" s="29"/>
      <c r="E676" s="29"/>
      <c r="F676" s="29"/>
      <c r="G676" s="29"/>
    </row>
    <row r="677" spans="2:7" ht="15.75" customHeight="1" x14ac:dyDescent="0.2">
      <c r="B677" s="29"/>
      <c r="C677" s="29"/>
      <c r="D677" s="29"/>
      <c r="E677" s="29"/>
      <c r="F677" s="29"/>
      <c r="G677" s="29"/>
    </row>
    <row r="678" spans="2:7" ht="15.75" customHeight="1" x14ac:dyDescent="0.2">
      <c r="B678" s="29"/>
      <c r="C678" s="29"/>
      <c r="D678" s="29"/>
      <c r="E678" s="29"/>
      <c r="F678" s="29"/>
      <c r="G678" s="29"/>
    </row>
    <row r="1048575" spans="6:6" ht="15.75" customHeight="1" x14ac:dyDescent="0.2">
      <c r="F1048575" s="29"/>
    </row>
  </sheetData>
  <phoneticPr fontId="15" type="noConversion"/>
  <conditionalFormatting sqref="H3:H199">
    <cfRule type="cellIs" dxfId="5" priority="1" stopIfTrue="1" operator="equal">
      <formula>1</formula>
    </cfRule>
    <cfRule type="cellIs" dxfId="4" priority="2" stopIfTrue="1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EE3F458-9589-0445-BC52-DE7C0FC61BBC}">
          <x14:formula1>
            <xm:f>Dropdowns!$G$3:$G$35</xm:f>
          </x14:formula1>
          <xm:sqref>F1048575:F1048576 F3:F325</xm:sqref>
        </x14:dataValidation>
        <x14:dataValidation type="list" allowBlank="1" showInputMessage="1" showErrorMessage="1" xr:uid="{EEF1E60E-CA6A-1E4C-8F7F-E138640CA09A}">
          <x14:formula1>
            <xm:f>Dropdowns!$B$3:$B$14</xm:f>
          </x14:formula1>
          <xm:sqref>C3:C250</xm:sqref>
        </x14:dataValidation>
        <x14:dataValidation type="list" allowBlank="1" showInputMessage="1" showErrorMessage="1" xr:uid="{B088666B-E3A3-BD4F-B3ED-C00284F46120}">
          <x14:formula1>
            <xm:f>Dropdowns!$E$3:$E$5</xm:f>
          </x14:formula1>
          <xm:sqref>E3:E218</xm:sqref>
        </x14:dataValidation>
        <x14:dataValidation type="list" allowBlank="1" showInputMessage="1" showErrorMessage="1" xr:uid="{9225E1E2-BD8E-3743-9BC4-66D55AA527D6}">
          <x14:formula1>
            <xm:f>Layers!$A$3:$A$210</xm:f>
          </x14:formula1>
          <xm:sqref>B3:B219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EE84-54C6-8747-915E-98BBB0CC141B}">
  <dimension ref="A1:BA149"/>
  <sheetViews>
    <sheetView zoomScale="88" zoomScaleNormal="117" workbookViewId="0">
      <selection activeCell="A28" sqref="A28"/>
    </sheetView>
  </sheetViews>
  <sheetFormatPr baseColWidth="10" defaultColWidth="11" defaultRowHeight="16" x14ac:dyDescent="0.2"/>
  <cols>
    <col min="1" max="1" width="39.1640625" customWidth="1"/>
    <col min="2" max="2" width="27" bestFit="1" customWidth="1"/>
    <col min="3" max="3" width="19.1640625" customWidth="1"/>
    <col min="4" max="4" width="52.33203125" bestFit="1" customWidth="1"/>
    <col min="5" max="5" width="57" bestFit="1" customWidth="1"/>
    <col min="6" max="6" width="50.33203125" bestFit="1" customWidth="1"/>
    <col min="7" max="7" width="55" bestFit="1" customWidth="1"/>
    <col min="8" max="8" width="42" customWidth="1"/>
    <col min="9" max="10" width="39.5" bestFit="1" customWidth="1"/>
    <col min="11" max="12" width="34.1640625" bestFit="1" customWidth="1"/>
  </cols>
  <sheetData>
    <row r="1" spans="1:53" x14ac:dyDescent="0.2">
      <c r="A1" s="57" t="s">
        <v>312</v>
      </c>
      <c r="B1" s="57" t="s">
        <v>313</v>
      </c>
      <c r="C1" s="57" t="s">
        <v>5</v>
      </c>
      <c r="D1" s="145" t="s">
        <v>53</v>
      </c>
      <c r="E1" s="145"/>
      <c r="F1" s="145"/>
      <c r="G1" s="145"/>
      <c r="H1" s="145"/>
      <c r="I1" s="145"/>
      <c r="J1" s="145"/>
      <c r="K1" s="145"/>
      <c r="L1" s="145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</row>
    <row r="2" spans="1:53" ht="51" x14ac:dyDescent="0.2">
      <c r="A2" s="48" t="s">
        <v>314</v>
      </c>
      <c r="B2" s="48" t="s">
        <v>315</v>
      </c>
      <c r="C2" s="40" t="s">
        <v>224</v>
      </c>
      <c r="D2" s="146" t="s">
        <v>316</v>
      </c>
      <c r="E2" s="147"/>
      <c r="F2" s="147"/>
      <c r="G2" s="147"/>
      <c r="H2" s="147"/>
      <c r="I2" s="147"/>
      <c r="J2" s="147"/>
      <c r="K2" s="147"/>
      <c r="L2" s="14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</row>
    <row r="3" spans="1:53" x14ac:dyDescent="0.2">
      <c r="A3" s="74" t="str">
        <f>C3&amp;"_"&amp;B3</f>
        <v>CMF_1950_ROOF</v>
      </c>
      <c r="B3" s="75" t="s">
        <v>6</v>
      </c>
      <c r="C3" s="75" t="s">
        <v>29</v>
      </c>
      <c r="D3" s="74" t="str" cm="1">
        <f t="array" ref="D3:G3">IFERROR(TRANSPOSE(_xlfn._xlws.FILTER(Components!$A$3:$A$302,(Components!$C$3:$C$302=B3)*(Components!$F$3:$F$302=C3))),"No matches found")</f>
        <v>CMF_1950_ROOF_SKIN</v>
      </c>
      <c r="E3" s="74" t="str">
        <v>CMF_1950_ROOF_SKIN</v>
      </c>
      <c r="F3" s="74" t="str">
        <v>CMF_1950_ROOF_STRUCTURE</v>
      </c>
      <c r="G3" s="74" t="str">
        <v>CMF_1950_ROOF_STRUCTURE</v>
      </c>
      <c r="H3" s="74"/>
      <c r="I3" s="74"/>
      <c r="J3" s="74"/>
      <c r="K3" s="74"/>
      <c r="L3" s="74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</row>
    <row r="4" spans="1:53" x14ac:dyDescent="0.2">
      <c r="A4" s="74" t="str">
        <f t="shared" ref="A4:A67" si="0">C4&amp;"_"&amp;B4</f>
        <v>CMF_1950_TOP_FLOOR</v>
      </c>
      <c r="B4" s="75" t="s">
        <v>7</v>
      </c>
      <c r="C4" s="75" t="s">
        <v>29</v>
      </c>
      <c r="D4" s="74" t="str" cm="1">
        <f t="array" ref="D4:F4">IFERROR(TRANSPOSE(_xlfn._xlws.FILTER(Components!$A$3:$A$302,(Components!$C$3:$C$302=B4)*(Components!$F$3:$F$302=C4))),"No matches found")</f>
        <v>CMF_1950_TOP_FLOOR_SPACE</v>
      </c>
      <c r="E4" s="74" t="str">
        <v>CMF_1950_TOP_FLOOR_SPACE</v>
      </c>
      <c r="F4" s="74" t="str">
        <v>CMF_1950_TOP_FLOOR_STRUCTURE</v>
      </c>
      <c r="G4" s="74"/>
      <c r="H4" s="74"/>
      <c r="I4" s="74"/>
      <c r="J4" s="74"/>
      <c r="K4" s="74"/>
      <c r="L4" s="74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 x14ac:dyDescent="0.2">
      <c r="A5" s="74" t="str">
        <f t="shared" si="0"/>
        <v>CMF_1950_INTERMEDIATE_FLOOR</v>
      </c>
      <c r="B5" s="75" t="s">
        <v>8</v>
      </c>
      <c r="C5" s="75" t="s">
        <v>29</v>
      </c>
      <c r="D5" s="74" t="str" cm="1">
        <f t="array" ref="D5:H5">IFERROR(TRANSPOSE(_xlfn._xlws.FILTER(Components!$A$3:$A$302,(Components!$C$3:$C$302=B5)*(Components!$F$3:$F$302=C5))),"No matches found")</f>
        <v>CMF_1950_INTERMEDIATE_FLOOR_SPACE</v>
      </c>
      <c r="E5" s="74" t="str">
        <v>CMF_1950_INTERMEDIATE_FLOOR_SPACE</v>
      </c>
      <c r="F5" s="74" t="str">
        <v>CMF_1950_INTERMEDIATE_FLOOR_SPACE</v>
      </c>
      <c r="G5" s="74" t="str">
        <v>CMF_1950_INTERMEDIATE_FLOOR_STRUCTURE</v>
      </c>
      <c r="H5" s="74" t="str">
        <v>CMF_1950_INTERMEDIATE_FLOOR_SPACE</v>
      </c>
      <c r="I5" s="74"/>
      <c r="J5" s="74"/>
      <c r="K5" s="74"/>
      <c r="L5" s="74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r="6" spans="1:53" x14ac:dyDescent="0.2">
      <c r="A6" s="74" t="str">
        <f t="shared" si="0"/>
        <v>CMF_1950_GROUND_FLOOR</v>
      </c>
      <c r="B6" s="75" t="s">
        <v>9</v>
      </c>
      <c r="C6" s="75" t="s">
        <v>29</v>
      </c>
      <c r="D6" s="74" t="str" cm="1">
        <f t="array" ref="D6:H6">IFERROR(TRANSPOSE(_xlfn._xlws.FILTER(Components!$A$3:$A$302,(Components!$C$3:$C$302=B6)*(Components!$F$3:$F$302=C6))),"No matches found")</f>
        <v>CMF_1950_GROUND_FLOOR_SPACE</v>
      </c>
      <c r="E6" s="74" t="str">
        <v>CMF_1950_GROUND_FLOOR_SPACE</v>
      </c>
      <c r="F6" s="74" t="str">
        <v>CMF_1950_GROUND_FLOOR_STRUCTURE</v>
      </c>
      <c r="G6" s="74" t="str">
        <v>CMF_1950_GROUND_FLOOR_STRUCTURE</v>
      </c>
      <c r="H6" s="74" t="str">
        <v>CMF_1950_GROUND_FLOOR_STRUCTURE</v>
      </c>
      <c r="I6" s="74"/>
      <c r="J6" s="74"/>
      <c r="K6" s="74"/>
      <c r="L6" s="7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</row>
    <row r="7" spans="1:53" x14ac:dyDescent="0.2">
      <c r="A7" s="74" t="str">
        <f t="shared" si="0"/>
        <v>CMF_1950_BASEMENT_FLOOR</v>
      </c>
      <c r="B7" s="75" t="s">
        <v>10</v>
      </c>
      <c r="C7" s="75" t="s">
        <v>29</v>
      </c>
      <c r="D7" s="74" t="str" cm="1">
        <f t="array" ref="D7">IFERROR(TRANSPOSE(_xlfn._xlws.FILTER(Components!$A$3:$A$302,(Components!$C$3:$C$302=B7)*(Components!$F$3:$F$302=C7))),"No matches found")</f>
        <v>CMF_1950_BASEMENT_FLOOR_STRUCTURE</v>
      </c>
      <c r="E7" s="74"/>
      <c r="F7" s="74"/>
      <c r="G7" s="74"/>
      <c r="H7" s="74"/>
      <c r="I7" s="74"/>
      <c r="J7" s="74"/>
      <c r="K7" s="74"/>
      <c r="L7" s="74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</row>
    <row r="8" spans="1:53" x14ac:dyDescent="0.2">
      <c r="A8" s="74" t="str">
        <f t="shared" si="0"/>
        <v>CMF_1950_EXT_WALL_LOW</v>
      </c>
      <c r="B8" s="75" t="s">
        <v>11</v>
      </c>
      <c r="C8" s="75" t="s">
        <v>29</v>
      </c>
      <c r="D8" s="74" t="str" cm="1">
        <f t="array" ref="D8:H8">IFERROR(TRANSPOSE(_xlfn._xlws.FILTER(Components!$A$3:$A$302,(Components!$C$3:$C$302=B8)*(Components!$F$3:$F$302=C8))),"No matches found")</f>
        <v>CMF_1950_EXT_WALL_LOW_SKIN</v>
      </c>
      <c r="E8" s="74" t="str">
        <v>CMF_1950_EXT_WALL_LOW_STRUCTURE</v>
      </c>
      <c r="F8" s="74" t="str">
        <v>CMF_1950_EXT_WALL_LOW_STRUCTURE</v>
      </c>
      <c r="G8" s="74" t="str">
        <v>CMF_1950_EXT_WALL_LOW_STRUCTURE</v>
      </c>
      <c r="H8" s="74" t="str">
        <v>CMF_1950_EXT_WALL_LOW_SPACE</v>
      </c>
      <c r="I8" s="74"/>
      <c r="J8" s="74"/>
      <c r="K8" s="74"/>
      <c r="L8" s="74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spans="1:53" x14ac:dyDescent="0.2">
      <c r="A9" s="74" t="str">
        <f t="shared" si="0"/>
        <v>CMF_1950_EXT_WALL_MEDIUM</v>
      </c>
      <c r="B9" s="75" t="s">
        <v>12</v>
      </c>
      <c r="C9" s="75" t="s">
        <v>29</v>
      </c>
      <c r="D9" s="74" t="str" cm="1">
        <f t="array" ref="D9:F9">IFERROR(TRANSPOSE(_xlfn._xlws.FILTER(Components!$A$3:$A$302,(Components!$C$3:$C$302=B9)*(Components!$F$3:$F$302=C9))),"No matches found")</f>
        <v>CMF_1950_EXT_WALL_MEDIUM_SKIN</v>
      </c>
      <c r="E9" s="74" t="str">
        <v>CMF_1950_EXT_WALL_MEDIUM_STRUCTURE</v>
      </c>
      <c r="F9" s="74" t="str">
        <v>CMF_1950_EXT_WALL_MEDIUM_SPACE</v>
      </c>
      <c r="G9" s="74"/>
      <c r="H9" s="74"/>
      <c r="I9" s="74"/>
      <c r="J9" s="74"/>
      <c r="K9" s="74"/>
      <c r="L9" s="7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</row>
    <row r="10" spans="1:53" x14ac:dyDescent="0.2">
      <c r="A10" s="74" t="str">
        <f t="shared" si="0"/>
        <v>CMF_1950_EXT_WALL_HIGH</v>
      </c>
      <c r="B10" s="75" t="s">
        <v>13</v>
      </c>
      <c r="C10" s="75" t="s">
        <v>29</v>
      </c>
      <c r="D10" s="74" t="str" cm="1">
        <f t="array" ref="D10:E10">IFERROR(TRANSPOSE(_xlfn._xlws.FILTER(Components!$A$3:$A$302,(Components!$C$3:$C$302=B10)*(Components!$F$3:$F$302=C10))),"No matches found")</f>
        <v>CMF_1950_EXT_WALL_HIGH_SKIN</v>
      </c>
      <c r="E10" s="74" t="str">
        <v>CMF_1950_EXT_WALL_HIGH_STRUCTURE</v>
      </c>
      <c r="F10" s="74"/>
      <c r="G10" s="74"/>
      <c r="H10" s="74"/>
      <c r="I10" s="74"/>
      <c r="J10" s="74"/>
      <c r="K10" s="74"/>
      <c r="L10" s="7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</row>
    <row r="11" spans="1:53" x14ac:dyDescent="0.2">
      <c r="A11" s="74" t="str">
        <f t="shared" si="0"/>
        <v>CMF_1950_BASEMENT_WALL</v>
      </c>
      <c r="B11" s="75" t="s">
        <v>14</v>
      </c>
      <c r="C11" s="75" t="s">
        <v>29</v>
      </c>
      <c r="D11" s="74" t="str" cm="1">
        <f t="array" ref="D11:F11">IFERROR(TRANSPOSE(_xlfn._xlws.FILTER(Components!$A$3:$A$302,(Components!$C$3:$C$302=B11)*(Components!$F$3:$F$302=C11))),"No matches found")</f>
        <v>CMF_1950_BASEMENT_WALL_SPACE</v>
      </c>
      <c r="E11" s="74" t="str">
        <v>CMF_1950_BASEMENT_WALL_STRUCTURE</v>
      </c>
      <c r="F11" s="74" t="str">
        <v>CMF_1950_BASEMENT_WALL_STRUCTURE</v>
      </c>
      <c r="G11" s="74"/>
      <c r="H11" s="74"/>
      <c r="I11" s="74"/>
      <c r="J11" s="74"/>
      <c r="K11" s="74"/>
      <c r="L11" s="7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x14ac:dyDescent="0.2">
      <c r="A12" s="74" t="str">
        <f t="shared" si="0"/>
        <v>CMF_1950_INT_WALL_LOADBEARING</v>
      </c>
      <c r="B12" s="75" t="s">
        <v>15</v>
      </c>
      <c r="C12" s="75" t="s">
        <v>29</v>
      </c>
      <c r="D12" s="74" t="str" cm="1">
        <f t="array" ref="D12">IFERROR(TRANSPOSE(_xlfn._xlws.FILTER(Components!$A$3:$A$302,(Components!$C$3:$C$302=B12)*(Components!$F$3:$F$302=C12))),"No matches found")</f>
        <v>CMF_1950_INT_WALL_LOADBEARING_STRUCTURE</v>
      </c>
      <c r="E12" s="74"/>
      <c r="F12" s="74"/>
      <c r="G12" s="74"/>
      <c r="H12" s="74"/>
      <c r="I12" s="74"/>
      <c r="J12" s="74"/>
      <c r="K12" s="74"/>
      <c r="L12" s="74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x14ac:dyDescent="0.2">
      <c r="A13" s="74" t="str">
        <f t="shared" si="0"/>
        <v>CMF_1950_INT_WALL_NONLOADBEARING</v>
      </c>
      <c r="B13" s="75" t="s">
        <v>16</v>
      </c>
      <c r="C13" s="75" t="s">
        <v>29</v>
      </c>
      <c r="D13" s="74" t="str" cm="1">
        <f t="array" ref="D13:G13">IFERROR(TRANSPOSE(_xlfn._xlws.FILTER(Components!$A$3:$A$302,(Components!$C$3:$C$302=B13)*(Components!$F$3:$F$302=C13))),"No matches found")</f>
        <v>CMF_1950_INT_WALL_NONLOADBEARING_SKIN</v>
      </c>
      <c r="E13" s="74" t="str">
        <v>CMF_1950_INT_WALL_NONLOADBEARING_STRUCTURE</v>
      </c>
      <c r="F13" s="74" t="str">
        <v>CMF_1950_INT_WALL_NONLOADBEARING_SPACE</v>
      </c>
      <c r="G13" s="74" t="str">
        <v>CMF_1950_INT_WALL_NONLOADBEARING_STRUCTURE</v>
      </c>
      <c r="H13" s="74"/>
      <c r="I13" s="74"/>
      <c r="J13" s="74"/>
      <c r="K13" s="74"/>
      <c r="L13" s="74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</row>
    <row r="14" spans="1:53" x14ac:dyDescent="0.2">
      <c r="A14" s="74" t="str">
        <f t="shared" si="0"/>
        <v>CMF_1950_EXT_WALL</v>
      </c>
      <c r="B14" s="75" t="s">
        <v>17</v>
      </c>
      <c r="C14" s="75" t="s">
        <v>29</v>
      </c>
      <c r="D14" s="74" t="str" cm="1">
        <f t="array" ref="D14">IFERROR(TRANSPOSE(_xlfn._xlws.FILTER(Components!$A$3:$A$302,(Components!$C$3:$C$302=B14)*(Components!$F$3:$F$302=C14))),"No matches found")</f>
        <v>No matches found</v>
      </c>
      <c r="E14" s="74"/>
      <c r="F14" s="74"/>
      <c r="G14" s="74"/>
      <c r="H14" s="74"/>
      <c r="I14" s="74"/>
      <c r="J14" s="74"/>
      <c r="K14" s="74"/>
      <c r="L14" s="7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</row>
    <row r="15" spans="1:53" x14ac:dyDescent="0.2">
      <c r="A15" s="74" t="str">
        <f t="shared" si="0"/>
        <v>CMF_1940_1_ROOF</v>
      </c>
      <c r="B15" s="75" t="s">
        <v>6</v>
      </c>
      <c r="C15" s="75" t="s">
        <v>23</v>
      </c>
      <c r="D15" s="74" t="str" cm="1">
        <f t="array" ref="D15:G15">IFERROR(TRANSPOSE(_xlfn._xlws.FILTER(Components!$A$3:$A$302,(Components!$C$3:$C$302=B15)*(Components!$F$3:$F$302=C15))),"No matches found")</f>
        <v>CMF_1940_1_ROOF_SKIN</v>
      </c>
      <c r="E15" s="74" t="str">
        <v>CMF_1940_1_ROOF_SKIN</v>
      </c>
      <c r="F15" s="74" t="str">
        <v>CMF_1940_1_ROOF_SKIN</v>
      </c>
      <c r="G15" s="74" t="str">
        <v>CMF_1940_1_ROOF_SKIN</v>
      </c>
      <c r="H15" s="74"/>
      <c r="I15" s="74"/>
      <c r="J15" s="74"/>
      <c r="K15" s="74"/>
      <c r="L15" s="74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</row>
    <row r="16" spans="1:53" x14ac:dyDescent="0.2">
      <c r="A16" s="74" t="str">
        <f t="shared" si="0"/>
        <v>CMF_1940_1_TOP_FLOOR</v>
      </c>
      <c r="B16" s="75" t="s">
        <v>7</v>
      </c>
      <c r="C16" s="75" t="s">
        <v>23</v>
      </c>
      <c r="D16" s="74" t="str" cm="1">
        <f t="array" ref="D16:G16">IFERROR(TRANSPOSE(_xlfn._xlws.FILTER(Components!$A$3:$A$302,(Components!$C$3:$C$302=B16)*(Components!$F$3:$F$302=C16))),"No matches found")</f>
        <v>CMF_1940_1_TOP_FLOOR_SPACE</v>
      </c>
      <c r="E16" s="74" t="str">
        <v>CMF_1940_1_TOP_FLOOR_SPACE</v>
      </c>
      <c r="F16" s="74" t="str">
        <v>CMF_1940_1_TOP_FLOOR_SPACE</v>
      </c>
      <c r="G16" s="74" t="str">
        <v>CMF_1940_1_TOP_FLOOR_STRUCTURE</v>
      </c>
      <c r="H16" s="74"/>
      <c r="I16" s="74"/>
      <c r="J16" s="74"/>
      <c r="K16" s="74"/>
      <c r="L16" s="7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</row>
    <row r="17" spans="1:53" x14ac:dyDescent="0.2">
      <c r="A17" s="74" t="str">
        <f t="shared" si="0"/>
        <v>CMF_1940_1_INTERMEDIATE_FLOOR</v>
      </c>
      <c r="B17" s="75" t="s">
        <v>8</v>
      </c>
      <c r="C17" s="75" t="s">
        <v>23</v>
      </c>
      <c r="D17" s="74" t="str" cm="1">
        <f t="array" ref="D17:J17">IFERROR(TRANSPOSE(_xlfn._xlws.FILTER(Components!$A$3:$A$302,(Components!$C$3:$C$302=B17)*(Components!$F$3:$F$302=C17))),"No matches found")</f>
        <v>CMF_1940_1_INTERMEDIATE_FLOOR_SPACE</v>
      </c>
      <c r="E17" s="74" t="str">
        <v>CMF_1940_1_INTERMEDIATE_FLOOR_SPACE</v>
      </c>
      <c r="F17" s="74" t="str">
        <v>CMF_1940_1_INTERMEDIATE_FLOOR_SPACE</v>
      </c>
      <c r="G17" s="74" t="str">
        <v>CMF_1940_1_INTERMEDIATE_FLOOR_STRUCTURE</v>
      </c>
      <c r="H17" s="74" t="str">
        <v>CMF_1940_1_INTERMEDIATE_FLOOR_SPACE</v>
      </c>
      <c r="I17" s="74" t="str">
        <v>CMF_1940_1_INTERMEDIATE_FLOOR_SPACE</v>
      </c>
      <c r="J17" s="74" t="str">
        <v>CMF_1940_1_INTERMEDIATE_FLOOR_SPACE</v>
      </c>
      <c r="K17" s="74"/>
      <c r="L17" s="74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x14ac:dyDescent="0.2">
      <c r="A18" s="74" t="str">
        <f t="shared" si="0"/>
        <v>CMF_1940_1_GROUND_FLOOR</v>
      </c>
      <c r="B18" s="75" t="s">
        <v>9</v>
      </c>
      <c r="C18" s="75" t="s">
        <v>23</v>
      </c>
      <c r="D18" s="74" t="str" cm="1">
        <f t="array" ref="D18:G18">IFERROR(TRANSPOSE(_xlfn._xlws.FILTER(Components!$A$3:$A$302,(Components!$C$3:$C$302=B18)*(Components!$F$3:$F$302=C18))),"No matches found")</f>
        <v>CMF_1940_1_GROUND_FLOOR_STRUCTURE</v>
      </c>
      <c r="E18" s="74" t="str">
        <v>CMF_1940_1_GROUND_FLOOR_SPACE</v>
      </c>
      <c r="F18" s="74" t="str">
        <v>CMF_1940_1_GROUND_FLOOR_SPACE</v>
      </c>
      <c r="G18" s="74" t="str">
        <v>CMF_1940_1_GROUND_FLOOR_SPACE</v>
      </c>
      <c r="H18" s="74"/>
      <c r="I18" s="74"/>
      <c r="J18" s="74"/>
      <c r="K18" s="74"/>
      <c r="L18" s="74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x14ac:dyDescent="0.2">
      <c r="A19" s="74" t="str">
        <f t="shared" si="0"/>
        <v>CMF_1940_1_BASEMENT_FLOOR</v>
      </c>
      <c r="B19" s="75" t="s">
        <v>10</v>
      </c>
      <c r="C19" s="75" t="s">
        <v>23</v>
      </c>
      <c r="D19" s="74" t="str" cm="1">
        <f t="array" ref="D19">IFERROR(TRANSPOSE(_xlfn._xlws.FILTER(Components!$A$3:$A$302,(Components!$C$3:$C$302=B19)*(Components!$F$3:$F$302=C19))),"No matches found")</f>
        <v>CMF_1940_1_BASEMENT_FLOOR_STRUCTURE</v>
      </c>
      <c r="E19" s="74"/>
      <c r="F19" s="74"/>
      <c r="G19" s="74"/>
      <c r="H19" s="74"/>
      <c r="I19" s="74"/>
      <c r="J19" s="74"/>
      <c r="K19" s="74"/>
      <c r="L19" s="7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1:53" x14ac:dyDescent="0.2">
      <c r="A20" s="74" t="str">
        <f t="shared" si="0"/>
        <v>CMF_1940_1_EXT_WALL_LOW</v>
      </c>
      <c r="B20" s="75" t="s">
        <v>11</v>
      </c>
      <c r="C20" s="75" t="s">
        <v>23</v>
      </c>
      <c r="D20" s="74" t="str" cm="1">
        <f t="array" ref="D20">IFERROR(TRANSPOSE(_xlfn._xlws.FILTER(Components!$A$3:$A$302,(Components!$C$3:$C$302=B20)*(Components!$F$3:$F$302=C20))),"No matches found")</f>
        <v>No matches found</v>
      </c>
      <c r="E20" s="74"/>
      <c r="F20" s="74"/>
      <c r="G20" s="74"/>
      <c r="H20" s="74"/>
      <c r="I20" s="74"/>
      <c r="J20" s="74"/>
      <c r="K20" s="74"/>
      <c r="L20" s="74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1:53" x14ac:dyDescent="0.2">
      <c r="A21" s="74" t="str">
        <f t="shared" si="0"/>
        <v>CMF_1940_1_EXT_WALL_MEDIUM</v>
      </c>
      <c r="B21" s="75" t="s">
        <v>12</v>
      </c>
      <c r="C21" s="75" t="s">
        <v>23</v>
      </c>
      <c r="D21" s="74" t="str" cm="1">
        <f t="array" ref="D21">IFERROR(TRANSPOSE(_xlfn._xlws.FILTER(Components!$A$3:$A$302,(Components!$C$3:$C$302=B21)*(Components!$F$3:$F$302=C21))),"No matches found")</f>
        <v>No matches found</v>
      </c>
      <c r="E21" s="74"/>
      <c r="F21" s="74"/>
      <c r="G21" s="74"/>
      <c r="H21" s="74"/>
      <c r="I21" s="74"/>
      <c r="J21" s="74"/>
      <c r="K21" s="74"/>
      <c r="L21" s="74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spans="1:53" x14ac:dyDescent="0.2">
      <c r="A22" s="74" t="str">
        <f t="shared" si="0"/>
        <v>CMF_1940_1_EXT_WALL_HIGH</v>
      </c>
      <c r="B22" s="75" t="s">
        <v>13</v>
      </c>
      <c r="C22" s="75" t="s">
        <v>23</v>
      </c>
      <c r="D22" s="74" t="str" cm="1">
        <f t="array" ref="D22">IFERROR(TRANSPOSE(_xlfn._xlws.FILTER(Components!$A$3:$A$302,(Components!$C$3:$C$302=B22)*(Components!$F$3:$F$302=C22))),"No matches found")</f>
        <v>No matches found</v>
      </c>
      <c r="E22" s="74"/>
      <c r="F22" s="74"/>
      <c r="G22" s="74"/>
      <c r="H22" s="74"/>
      <c r="I22" s="74"/>
      <c r="J22" s="74"/>
      <c r="K22" s="74"/>
      <c r="L22" s="7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3" x14ac:dyDescent="0.2">
      <c r="A23" s="74" t="str">
        <f t="shared" si="0"/>
        <v>CMF_1940_1_BASEMENT_WALL</v>
      </c>
      <c r="B23" s="75" t="s">
        <v>14</v>
      </c>
      <c r="C23" s="75" t="s">
        <v>23</v>
      </c>
      <c r="D23" s="74" t="str" cm="1">
        <f t="array" ref="D23:F23">IFERROR(TRANSPOSE(_xlfn._xlws.FILTER(Components!$A$3:$A$302,(Components!$C$3:$C$302=B23)*(Components!$F$3:$F$302=C23))),"No matches found")</f>
        <v>CMF_1940_1_BASEMENT_WALL_SKIN</v>
      </c>
      <c r="E23" s="74" t="str">
        <v>CMF_1940_1_BASEMENT_WALL_STRUCTURE</v>
      </c>
      <c r="F23" s="74" t="str">
        <v>CMF_1940_1_BASEMENT_WALL_SPACE</v>
      </c>
      <c r="G23" s="74"/>
      <c r="H23" s="74"/>
      <c r="I23" s="74"/>
      <c r="J23" s="74"/>
      <c r="K23" s="74"/>
      <c r="L23" s="74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 spans="1:53" x14ac:dyDescent="0.2">
      <c r="A24" s="74" t="str">
        <f t="shared" si="0"/>
        <v>CMF_1940_1_INT_WALL_LOADBEARING</v>
      </c>
      <c r="B24" s="75" t="s">
        <v>15</v>
      </c>
      <c r="C24" s="75" t="s">
        <v>23</v>
      </c>
      <c r="D24" s="74" t="str" cm="1">
        <f t="array" ref="D24:E24">IFERROR(TRANSPOSE(_xlfn._xlws.FILTER(Components!$A$3:$A$302,(Components!$C$3:$C$302=B24)*(Components!$F$3:$F$302=C24))),"No matches found")</f>
        <v>CMF_1940_1_INT_WALL_LOADBEARING_SPACE</v>
      </c>
      <c r="E24" s="74" t="str">
        <v>CMF_1940_1_INT_WALL_LOADBEARING_STRUCTURE</v>
      </c>
      <c r="F24" s="74"/>
      <c r="G24" s="74"/>
      <c r="H24" s="74"/>
      <c r="I24" s="74"/>
      <c r="J24" s="74"/>
      <c r="K24" s="74"/>
      <c r="L24" s="74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spans="1:53" x14ac:dyDescent="0.2">
      <c r="A25" s="74" t="str">
        <f t="shared" si="0"/>
        <v>CMF_1940_1_INT_WALL_NONLOADBEARING</v>
      </c>
      <c r="B25" s="75" t="s">
        <v>16</v>
      </c>
      <c r="C25" s="75" t="s">
        <v>23</v>
      </c>
      <c r="D25" s="74" t="str" cm="1">
        <f t="array" ref="D25:E25">IFERROR(TRANSPOSE(_xlfn._xlws.FILTER(Components!$A$3:$A$302,(Components!$C$3:$C$302=B25)*(Components!$F$3:$F$302=C25))),"No matches found")</f>
        <v>CMF_1940_1_INT_WALL_NONLOADBEARING_SPACE</v>
      </c>
      <c r="E25" s="74" t="str">
        <v>CMF_1940_1_INT_WALL_NONLOADBEARING_SPACE</v>
      </c>
      <c r="F25" s="74"/>
      <c r="G25" s="74"/>
      <c r="H25" s="74"/>
      <c r="I25" s="74"/>
      <c r="J25" s="74"/>
      <c r="K25" s="74"/>
      <c r="L25" s="74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x14ac:dyDescent="0.2">
      <c r="A26" s="74" t="str">
        <f t="shared" si="0"/>
        <v>CMF_1940_1_EXT_WALL</v>
      </c>
      <c r="B26" s="75" t="s">
        <v>17</v>
      </c>
      <c r="C26" s="75" t="s">
        <v>23</v>
      </c>
      <c r="D26" s="74" t="str" cm="1">
        <f t="array" ref="D26:F26">IFERROR(TRANSPOSE(_xlfn._xlws.FILTER(Components!$A$3:$A$302,(Components!$C$3:$C$302=B26)*(Components!$F$3:$F$302=C26))),"No matches found")</f>
        <v>CMF_1940_1_EXT_WALL_SKIN</v>
      </c>
      <c r="E26" s="74" t="str">
        <v>CMF_1940_1_EXT_WALL_STRUCTURE</v>
      </c>
      <c r="F26" s="74" t="str">
        <v>CMF_1940_1_EXT_WALL_SPACE</v>
      </c>
      <c r="G26" s="74"/>
      <c r="H26" s="74"/>
      <c r="I26" s="74"/>
      <c r="J26" s="74"/>
      <c r="K26" s="74"/>
      <c r="L26" s="74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3" x14ac:dyDescent="0.2">
      <c r="A27" s="74" t="str">
        <f t="shared" si="0"/>
        <v>CMF_1960_1_ROOF</v>
      </c>
      <c r="B27" s="75" t="s">
        <v>6</v>
      </c>
      <c r="C27" s="75" t="s">
        <v>31</v>
      </c>
      <c r="D27" s="74" t="str" cm="1">
        <f t="array" ref="D27:H27">IFERROR(TRANSPOSE(_xlfn._xlws.FILTER(Components!$A$3:$A$302,(Components!$C$3:$C$302=B27)*(Components!$F$3:$F$302=C27))),"No matches found")</f>
        <v>CMF_1960_1_ROOF_SKIN</v>
      </c>
      <c r="E27" s="74" t="str">
        <v>CMF_1960_1_ROOF_SKIN</v>
      </c>
      <c r="F27" s="74" t="str">
        <v>CMF_1960_1_ROOF_SKIN</v>
      </c>
      <c r="G27" s="74" t="str">
        <v>CMF_1960_1_ROOF_SKIN</v>
      </c>
      <c r="H27" s="74" t="str">
        <v>CMF_1960_1_ROOF_SKIN</v>
      </c>
      <c r="I27" s="74"/>
      <c r="J27" s="74"/>
      <c r="K27" s="74"/>
      <c r="L27" s="74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 spans="1:53" x14ac:dyDescent="0.2">
      <c r="A28" s="74" t="str">
        <f t="shared" si="0"/>
        <v>CMF_1960_1_TOP_FLOOR</v>
      </c>
      <c r="B28" s="75" t="s">
        <v>7</v>
      </c>
      <c r="C28" s="75" t="s">
        <v>31</v>
      </c>
      <c r="D28" s="74" t="str" cm="1">
        <f t="array" ref="D28:G28">IFERROR(TRANSPOSE(_xlfn._xlws.FILTER(Components!$A$3:$A$302,(Components!$C$3:$C$302=B28)*(Components!$F$3:$F$302=C28))),"No matches found")</f>
        <v>CMF_1960_1_TOP_FLOOR_SPACE</v>
      </c>
      <c r="E28" s="74" t="str">
        <v>CMF_1960_1_TOP_FLOOR_SPACE</v>
      </c>
      <c r="F28" s="74" t="str">
        <v>CMF_1960_1_TOP_FLOOR_SPACE</v>
      </c>
      <c r="G28" s="74" t="str">
        <v>CMF_1960_1_TOP_FLOOR_STRUCTURE</v>
      </c>
      <c r="H28" s="74"/>
      <c r="I28" s="74"/>
      <c r="J28" s="74"/>
      <c r="K28" s="74"/>
      <c r="L28" s="74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spans="1:53" x14ac:dyDescent="0.2">
      <c r="A29" s="74" t="str">
        <f t="shared" si="0"/>
        <v>CMF_1960_1_INTERMEDIATE_FLOOR</v>
      </c>
      <c r="B29" s="75" t="s">
        <v>8</v>
      </c>
      <c r="C29" s="75" t="s">
        <v>31</v>
      </c>
      <c r="D29" s="74" t="str" cm="1">
        <f t="array" ref="D29:G29">IFERROR(TRANSPOSE(_xlfn._xlws.FILTER(Components!$A$3:$A$302,(Components!$C$3:$C$302=B29)*(Components!$F$3:$F$302=C29))),"No matches found")</f>
        <v>CMF_1960_1_INTERMEDIATE_FLOOR_SPACE</v>
      </c>
      <c r="E29" s="74" t="str">
        <v>CMF_1960_1_INTERMEDIATE_FLOOR_SPACE</v>
      </c>
      <c r="F29" s="74" t="str">
        <v>CMF_1960_1_INTERMEDIATE_FLOOR_STRUCTURE</v>
      </c>
      <c r="G29" s="74" t="str">
        <v>CMF_1960_1_INTERMEDIATE_FLOOR_SPACE</v>
      </c>
      <c r="H29" s="74"/>
      <c r="I29" s="74"/>
      <c r="J29" s="74"/>
      <c r="K29" s="74"/>
      <c r="L29" s="74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spans="1:53" x14ac:dyDescent="0.2">
      <c r="A30" s="74" t="str">
        <f t="shared" si="0"/>
        <v>CMF_1960_1_GROUND_FLOOR</v>
      </c>
      <c r="B30" s="75" t="s">
        <v>9</v>
      </c>
      <c r="C30" s="75" t="s">
        <v>31</v>
      </c>
      <c r="D30" s="74" t="str" cm="1">
        <f t="array" ref="D30:G30">IFERROR(TRANSPOSE(_xlfn._xlws.FILTER(Components!$A$3:$A$302,(Components!$C$3:$C$302=B30)*(Components!$F$3:$F$302=C30))),"No matches found")</f>
        <v>CMF_1960_1_GROUND_FLOOR_SPACE</v>
      </c>
      <c r="E30" s="74" t="str">
        <v>CMF_1960_1_GROUND_FLOOR_SPACE</v>
      </c>
      <c r="F30" s="74" t="str">
        <v>CMF_1960_1_GROUND_FLOOR_STRUCTURE</v>
      </c>
      <c r="G30" s="74" t="str">
        <v>CMF_1960_1_GROUND_FLOOR_SKIN</v>
      </c>
      <c r="H30" s="74"/>
      <c r="I30" s="74"/>
      <c r="J30" s="74"/>
      <c r="K30" s="74"/>
      <c r="L30" s="74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 spans="1:53" x14ac:dyDescent="0.2">
      <c r="A31" s="74" t="str">
        <f t="shared" si="0"/>
        <v>CMF_1960_1_BASEMENT_FLOOR</v>
      </c>
      <c r="B31" s="75" t="s">
        <v>10</v>
      </c>
      <c r="C31" s="75" t="s">
        <v>31</v>
      </c>
      <c r="D31" s="74" t="str" cm="1">
        <f t="array" ref="D31:F31">IFERROR(TRANSPOSE(_xlfn._xlws.FILTER(Components!$A$3:$A$302,(Components!$C$3:$C$302=B31)*(Components!$F$3:$F$302=C31))),"No matches found")</f>
        <v>CMF_1960_1_BASEMENT_FLOOR_SKIN</v>
      </c>
      <c r="E31" s="74" t="str">
        <v>CMF_1960_1_BASEMENT_FLOOR_STRUCTURE</v>
      </c>
      <c r="F31" s="74" t="str">
        <v>CMF_1960_1_BASEMENT_FLOOR_SPACE</v>
      </c>
      <c r="G31" s="74"/>
      <c r="H31" s="74"/>
      <c r="I31" s="74"/>
      <c r="J31" s="74"/>
      <c r="K31" s="74"/>
      <c r="L31" s="74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</row>
    <row r="32" spans="1:53" x14ac:dyDescent="0.2">
      <c r="A32" s="74" t="str">
        <f t="shared" si="0"/>
        <v>CMF_1960_1_EXT_WALL_LOW</v>
      </c>
      <c r="B32" s="75" t="s">
        <v>11</v>
      </c>
      <c r="C32" s="75" t="s">
        <v>31</v>
      </c>
      <c r="D32" s="74" t="str" cm="1">
        <f t="array" ref="D32">IFERROR(TRANSPOSE(_xlfn._xlws.FILTER(Components!$A$3:$A$302,(Components!$C$3:$C$302=B32)*(Components!$F$3:$F$302=C32))),"No matches found")</f>
        <v>No matches found</v>
      </c>
      <c r="E32" s="74"/>
      <c r="F32" s="74"/>
      <c r="G32" s="74"/>
      <c r="H32" s="74"/>
      <c r="I32" s="74"/>
      <c r="J32" s="74"/>
      <c r="K32" s="74"/>
      <c r="L32" s="74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</row>
    <row r="33" spans="1:53" x14ac:dyDescent="0.2">
      <c r="A33" s="74" t="str">
        <f t="shared" si="0"/>
        <v>CMF_1960_1_EXT_WALL_MEDIUM</v>
      </c>
      <c r="B33" s="75" t="s">
        <v>12</v>
      </c>
      <c r="C33" s="75" t="s">
        <v>31</v>
      </c>
      <c r="D33" s="74" t="str" cm="1">
        <f t="array" ref="D33">IFERROR(TRANSPOSE(_xlfn._xlws.FILTER(Components!$A$3:$A$302,(Components!$C$3:$C$302=B33)*(Components!$F$3:$F$302=C33))),"No matches found")</f>
        <v>No matches found</v>
      </c>
      <c r="E33" s="74"/>
      <c r="F33" s="74"/>
      <c r="G33" s="74"/>
      <c r="H33" s="74"/>
      <c r="I33" s="74"/>
      <c r="J33" s="74"/>
      <c r="K33" s="74"/>
      <c r="L33" s="74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 spans="1:53" x14ac:dyDescent="0.2">
      <c r="A34" s="74" t="str">
        <f t="shared" si="0"/>
        <v>CMF_1960_1_EXT_WALL_HIGH</v>
      </c>
      <c r="B34" s="75" t="s">
        <v>13</v>
      </c>
      <c r="C34" s="75" t="s">
        <v>31</v>
      </c>
      <c r="D34" s="74" t="str" cm="1">
        <f t="array" ref="D34">IFERROR(TRANSPOSE(_xlfn._xlws.FILTER(Components!$A$3:$A$302,(Components!$C$3:$C$302=B34)*(Components!$F$3:$F$302=C34))),"No matches found")</f>
        <v>No matches found</v>
      </c>
      <c r="E34" s="74"/>
      <c r="F34" s="74"/>
      <c r="G34" s="74"/>
      <c r="H34" s="74"/>
      <c r="I34" s="74"/>
      <c r="J34" s="74"/>
      <c r="K34" s="74"/>
      <c r="L34" s="74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 spans="1:53" x14ac:dyDescent="0.2">
      <c r="A35" s="74" t="str">
        <f t="shared" si="0"/>
        <v>CMF_1960_1_BASEMENT_WALL</v>
      </c>
      <c r="B35" s="75" t="s">
        <v>14</v>
      </c>
      <c r="C35" s="75" t="s">
        <v>31</v>
      </c>
      <c r="D35" s="74" t="str" cm="1">
        <f t="array" ref="D35:F35">IFERROR(TRANSPOSE(_xlfn._xlws.FILTER(Components!$A$3:$A$302,(Components!$C$3:$C$302=B35)*(Components!$F$3:$F$302=C35))),"No matches found")</f>
        <v>CMF_1960_1_BASEMENT_WALL_SKIN</v>
      </c>
      <c r="E35" s="74" t="str">
        <v>CMF_1960_1_BASEMENT_WALL_STRUCTURE</v>
      </c>
      <c r="F35" s="74" t="str">
        <v>CMF_1960_1_BASEMENT_WALL_SPACE</v>
      </c>
      <c r="G35" s="74"/>
      <c r="H35" s="74"/>
      <c r="I35" s="74"/>
      <c r="J35" s="74"/>
      <c r="K35" s="74"/>
      <c r="L35" s="74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spans="1:53" x14ac:dyDescent="0.2">
      <c r="A36" s="74" t="str">
        <f t="shared" si="0"/>
        <v>CMF_1960_1_INT_WALL_LOADBEARING</v>
      </c>
      <c r="B36" s="75" t="s">
        <v>15</v>
      </c>
      <c r="C36" s="75" t="s">
        <v>31</v>
      </c>
      <c r="D36" s="74" t="str" cm="1">
        <f t="array" ref="D36:E36">IFERROR(TRANSPOSE(_xlfn._xlws.FILTER(Components!$A$3:$A$302,(Components!$C$3:$C$302=B36)*(Components!$F$3:$F$302=C36))),"No matches found")</f>
        <v>CMF_1960_1_INT_WALL_LOADBEARING_SPACE</v>
      </c>
      <c r="E36" s="74" t="str">
        <v>CMF_1960_1_INT_WALL_LOADBEARING_STRUCTURE</v>
      </c>
      <c r="F36" s="74"/>
      <c r="G36" s="74"/>
      <c r="H36" s="74"/>
      <c r="I36" s="74"/>
      <c r="J36" s="74"/>
      <c r="K36" s="74"/>
      <c r="L36" s="74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spans="1:53" x14ac:dyDescent="0.2">
      <c r="A37" s="74" t="str">
        <f t="shared" si="0"/>
        <v>CMF_1960_1_INT_WALL_NONLOADBEARING</v>
      </c>
      <c r="B37" s="75" t="s">
        <v>16</v>
      </c>
      <c r="C37" s="75" t="s">
        <v>31</v>
      </c>
      <c r="D37" s="74" t="str" cm="1">
        <f t="array" ref="D37:E37">IFERROR(TRANSPOSE(_xlfn._xlws.FILTER(Components!$A$3:$A$302,(Components!$C$3:$C$302=B37)*(Components!$F$3:$F$302=C37))),"No matches found")</f>
        <v>CMF_1960_1_INT_WALL_NONLOADBEARING_SPACE</v>
      </c>
      <c r="E37" s="74" t="str">
        <v>CMF_1960_1_INT_WALL_NONLOADBEARING_STRUCTURE</v>
      </c>
      <c r="F37" s="74"/>
      <c r="G37" s="74"/>
      <c r="H37" s="74"/>
      <c r="I37" s="74"/>
      <c r="J37" s="74"/>
      <c r="K37" s="74"/>
      <c r="L37" s="74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 spans="1:53" x14ac:dyDescent="0.2">
      <c r="A38" s="74" t="str">
        <f t="shared" si="0"/>
        <v>CMF_1960_1_EXT_WALL</v>
      </c>
      <c r="B38" s="75" t="s">
        <v>17</v>
      </c>
      <c r="C38" s="75" t="s">
        <v>31</v>
      </c>
      <c r="D38" s="74" t="str" cm="1">
        <f t="array" ref="D38:I38">IFERROR(TRANSPOSE(_xlfn._xlws.FILTER(Components!$A$3:$A$302,(Components!$C$3:$C$302=B38)*(Components!$F$3:$F$302=C38))),"No matches found")</f>
        <v>CMF_1960_1_EXT_WALL_SKIN</v>
      </c>
      <c r="E38" s="74" t="str">
        <v>CMF_1960_1_EXT_WALL_SPACE</v>
      </c>
      <c r="F38" s="74" t="str">
        <v>CMF_1960_1_EXT_WALL_SKIN</v>
      </c>
      <c r="G38" s="74" t="str">
        <v>CMF_1960_1_EXT_WALL_STRUCTURE</v>
      </c>
      <c r="H38" s="74" t="str">
        <v>CMF_1960_1_EXT_WALL_SPACE</v>
      </c>
      <c r="I38" s="74" t="str">
        <v>CMF_1960_1_EXT_WALL_SPACE</v>
      </c>
      <c r="J38" s="74"/>
      <c r="K38" s="74"/>
      <c r="L38" s="74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 spans="1:53" x14ac:dyDescent="0.2">
      <c r="A39" s="74" t="str">
        <f t="shared" si="0"/>
        <v>CMF_1960_2_ROOF</v>
      </c>
      <c r="B39" s="75" t="s">
        <v>6</v>
      </c>
      <c r="C39" s="75" t="s">
        <v>34</v>
      </c>
      <c r="D39" s="74" t="str" cm="1">
        <f t="array" ref="D39:G39">IFERROR(TRANSPOSE(_xlfn._xlws.FILTER(Components!$A$3:$A$302,(Components!$C$3:$C$302=B39)*(Components!$F$3:$F$302=C39))),"No matches found")</f>
        <v>CMF_1960_2_ROOF_SKIN</v>
      </c>
      <c r="E39" s="74" t="str">
        <v>CMF_1960_2_ROOF_SKIN</v>
      </c>
      <c r="F39" s="74" t="str">
        <v>CMF_1960_2_ROOF_SKIN</v>
      </c>
      <c r="G39" s="74" t="str">
        <v>CMF_1960_2_ROOF_STRUCTURE</v>
      </c>
      <c r="H39" s="74"/>
      <c r="I39" s="74"/>
      <c r="J39" s="74"/>
      <c r="K39" s="74"/>
      <c r="L39" s="74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</row>
    <row r="40" spans="1:53" x14ac:dyDescent="0.2">
      <c r="A40" s="74" t="str">
        <f t="shared" si="0"/>
        <v>CMF_1960_2_TOP_FLOOR</v>
      </c>
      <c r="B40" s="75" t="s">
        <v>7</v>
      </c>
      <c r="C40" s="75" t="s">
        <v>34</v>
      </c>
      <c r="D40" s="74" t="str" cm="1">
        <f t="array" ref="D40:F40">IFERROR(TRANSPOSE(_xlfn._xlws.FILTER(Components!$A$3:$A$302,(Components!$C$3:$C$302=B40)*(Components!$F$3:$F$302=C40))),"No matches found")</f>
        <v>CMF_1960_2_TOP_FLOOR_SPACE</v>
      </c>
      <c r="E40" s="74" t="str">
        <v>CMF_1960_2_TOP_FLOOR_SPACE</v>
      </c>
      <c r="F40" s="74" t="str">
        <v>CMF_1960_2_TOP_FLOOR_STRUCTURE</v>
      </c>
      <c r="G40" s="74"/>
      <c r="H40" s="74"/>
      <c r="I40" s="74"/>
      <c r="J40" s="74"/>
      <c r="K40" s="74"/>
      <c r="L40" s="74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 spans="1:53" x14ac:dyDescent="0.2">
      <c r="A41" s="74" t="str">
        <f t="shared" si="0"/>
        <v>CMF_1960_2_INTERMEDIATE_FLOOR</v>
      </c>
      <c r="B41" s="75" t="s">
        <v>8</v>
      </c>
      <c r="C41" s="75" t="s">
        <v>34</v>
      </c>
      <c r="D41" s="74" t="str" cm="1">
        <f t="array" ref="D41:H41">IFERROR(TRANSPOSE(_xlfn._xlws.FILTER(Components!$A$3:$A$302,(Components!$C$3:$C$302=B41)*(Components!$F$3:$F$302=C41))),"No matches found")</f>
        <v>CMF_1960_2_INTERMEDIATE_FLOOR_STRUCTURE</v>
      </c>
      <c r="E41" s="74" t="str">
        <v>CMF_1960_2_INTERMEDIATE_FLOOR_SPACE</v>
      </c>
      <c r="F41" s="74" t="str">
        <v>CMF_1960_2_INTERMEDIATE_FLOOR_STRUCTURE</v>
      </c>
      <c r="G41" s="74" t="str">
        <v>CMF_1960_2_INTERMEDIATE_FLOOR_STRUCTURE</v>
      </c>
      <c r="H41" s="74" t="str">
        <v>CMF_1960_2_INTERMEDIATE_FLOOR_STRUCTURE</v>
      </c>
      <c r="I41" s="74"/>
      <c r="J41" s="74"/>
      <c r="K41" s="74"/>
      <c r="L41" s="74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 x14ac:dyDescent="0.2">
      <c r="A42" s="74" t="str">
        <f t="shared" si="0"/>
        <v>CMF_1960_2_GROUND_FLOOR</v>
      </c>
      <c r="B42" s="75" t="s">
        <v>9</v>
      </c>
      <c r="C42" s="75" t="s">
        <v>34</v>
      </c>
      <c r="D42" s="74" t="str" cm="1">
        <f t="array" ref="D42:H42">IFERROR(TRANSPOSE(_xlfn._xlws.FILTER(Components!$A$3:$A$302,(Components!$C$3:$C$302=B42)*(Components!$F$3:$F$302=C42))),"No matches found")</f>
        <v>CMF_1960_2_GROUND_FLOOR_STRUCTURE</v>
      </c>
      <c r="E42" s="74" t="str">
        <v>CMF_1960_2_GROUND_FLOOR_SPACE</v>
      </c>
      <c r="F42" s="74" t="str">
        <v>CMF_1960_2_GROUND_FLOOR_STRUCTURE</v>
      </c>
      <c r="G42" s="74" t="str">
        <v>CMF_1960_2_GROUND_FLOOR_STRUCTURE</v>
      </c>
      <c r="H42" s="74" t="str">
        <v>CMF_1960_2_GROUND_FLOOR_STRUCTURE</v>
      </c>
      <c r="I42" s="74"/>
      <c r="J42" s="74"/>
      <c r="K42" s="74"/>
      <c r="L42" s="74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 spans="1:53" x14ac:dyDescent="0.2">
      <c r="A43" s="74" t="str">
        <f t="shared" si="0"/>
        <v>CMF_1960_2_BASEMENT_FLOOR</v>
      </c>
      <c r="B43" s="75" t="s">
        <v>10</v>
      </c>
      <c r="C43" s="75" t="s">
        <v>34</v>
      </c>
      <c r="D43" s="74" t="str" cm="1">
        <f t="array" ref="D43:H43">IFERROR(TRANSPOSE(_xlfn._xlws.FILTER(Components!$A$3:$A$302,(Components!$C$3:$C$302=B43)*(Components!$F$3:$F$302=C43))),"No matches found")</f>
        <v>CMF_1960_2_BASEMENT_FLOOR_STRUCTURE</v>
      </c>
      <c r="E43" s="74" t="str">
        <v>CMF_1960_2_BASEMENT_FLOOR_STRUCTURE</v>
      </c>
      <c r="F43" s="74" t="str">
        <v>CMF_1960_2_BASEMENT_FLOOR_STRUCTURE</v>
      </c>
      <c r="G43" s="74" t="str">
        <v>CMF_1960_2_BASEMENT_FLOOR_STRUCTURE</v>
      </c>
      <c r="H43" s="74" t="str">
        <v>CMF_1960_2_BASEMENT_FLOOR_STRUCTURE</v>
      </c>
      <c r="I43" s="74"/>
      <c r="J43" s="74"/>
      <c r="K43" s="74"/>
      <c r="L43" s="74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</row>
    <row r="44" spans="1:53" x14ac:dyDescent="0.2">
      <c r="A44" s="74" t="str">
        <f t="shared" si="0"/>
        <v>CMF_1960_2_EXT_WALL_LOW</v>
      </c>
      <c r="B44" s="75" t="s">
        <v>11</v>
      </c>
      <c r="C44" s="75" t="s">
        <v>34</v>
      </c>
      <c r="D44" s="74" t="str" cm="1">
        <f t="array" ref="D44">IFERROR(TRANSPOSE(_xlfn._xlws.FILTER(Components!$A$3:$A$302,(Components!$C$3:$C$302=B44)*(Components!$F$3:$F$302=C44))),"No matches found")</f>
        <v>No matches found</v>
      </c>
      <c r="E44" s="74"/>
      <c r="F44" s="74"/>
      <c r="G44" s="74"/>
      <c r="H44" s="74"/>
      <c r="I44" s="74"/>
      <c r="J44" s="74"/>
      <c r="K44" s="74"/>
      <c r="L44" s="74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</row>
    <row r="45" spans="1:53" x14ac:dyDescent="0.2">
      <c r="A45" s="74" t="str">
        <f t="shared" si="0"/>
        <v>CMF_1960_2_EXT_WALL_MEDIUM</v>
      </c>
      <c r="B45" s="75" t="s">
        <v>12</v>
      </c>
      <c r="C45" s="75" t="s">
        <v>34</v>
      </c>
      <c r="D45" s="74" t="str" cm="1">
        <f t="array" ref="D45">IFERROR(TRANSPOSE(_xlfn._xlws.FILTER(Components!$A$3:$A$302,(Components!$C$3:$C$302=B45)*(Components!$F$3:$F$302=C45))),"No matches found")</f>
        <v>No matches found</v>
      </c>
      <c r="E45" s="74"/>
      <c r="F45" s="74"/>
      <c r="G45" s="74"/>
      <c r="H45" s="74"/>
      <c r="I45" s="74"/>
      <c r="J45" s="74"/>
      <c r="K45" s="74"/>
      <c r="L45" s="74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</row>
    <row r="46" spans="1:53" x14ac:dyDescent="0.2">
      <c r="A46" s="74" t="str">
        <f t="shared" si="0"/>
        <v>CMF_1960_2_EXT_WALL_HIGH</v>
      </c>
      <c r="B46" s="75" t="s">
        <v>13</v>
      </c>
      <c r="C46" s="75" t="s">
        <v>34</v>
      </c>
      <c r="D46" s="74" t="str" cm="1">
        <f t="array" ref="D46">IFERROR(TRANSPOSE(_xlfn._xlws.FILTER(Components!$A$3:$A$302,(Components!$C$3:$C$302=B46)*(Components!$F$3:$F$302=C46))),"No matches found")</f>
        <v>No matches found</v>
      </c>
      <c r="E46" s="74"/>
      <c r="F46" s="74"/>
      <c r="G46" s="74"/>
      <c r="H46" s="74"/>
      <c r="I46" s="74"/>
      <c r="J46" s="74"/>
      <c r="K46" s="74"/>
      <c r="L46" s="74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</row>
    <row r="47" spans="1:53" x14ac:dyDescent="0.2">
      <c r="A47" s="74" t="str">
        <f t="shared" si="0"/>
        <v>CMF_1960_2_BASEMENT_WALL</v>
      </c>
      <c r="B47" s="75" t="s">
        <v>14</v>
      </c>
      <c r="C47" s="75" t="s">
        <v>34</v>
      </c>
      <c r="D47" s="74" t="str" cm="1">
        <f t="array" ref="D47">IFERROR(TRANSPOSE(_xlfn._xlws.FILTER(Components!$A$3:$A$302,(Components!$C$3:$C$302=B47)*(Components!$F$3:$F$302=C47))),"No matches found")</f>
        <v>CMF_1960_2_BASEMENT_WALL_STRUCTURE</v>
      </c>
      <c r="E47" s="74"/>
      <c r="F47" s="74"/>
      <c r="G47" s="74"/>
      <c r="H47" s="74"/>
      <c r="I47" s="74"/>
      <c r="J47" s="74"/>
      <c r="K47" s="74"/>
      <c r="L47" s="74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</row>
    <row r="48" spans="1:53" x14ac:dyDescent="0.2">
      <c r="A48" s="74" t="str">
        <f t="shared" si="0"/>
        <v>CMF_1960_2_INT_WALL_LOADBEARING</v>
      </c>
      <c r="B48" s="75" t="s">
        <v>15</v>
      </c>
      <c r="C48" s="75" t="s">
        <v>34</v>
      </c>
      <c r="D48" s="74" t="str" cm="1">
        <f t="array" ref="D48:E48">IFERROR(TRANSPOSE(_xlfn._xlws.FILTER(Components!$A$3:$A$302,(Components!$C$3:$C$302=B48)*(Components!$F$3:$F$302=C48))),"No matches found")</f>
        <v>CMF_1960_2_INT_WALL_LOADBEARING_SPACE</v>
      </c>
      <c r="E48" s="74" t="str">
        <v>CMF_1960_2_INT_WALL_LOADBEARING_STRUCTURE</v>
      </c>
      <c r="F48" s="74"/>
      <c r="G48" s="74"/>
      <c r="H48" s="74"/>
      <c r="I48" s="74"/>
      <c r="J48" s="74"/>
      <c r="K48" s="74"/>
      <c r="L48" s="74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 spans="1:53" x14ac:dyDescent="0.2">
      <c r="A49" s="74" t="str">
        <f t="shared" si="0"/>
        <v>CMF_1960_2_INT_WALL_NONLOADBEARING</v>
      </c>
      <c r="B49" s="75" t="s">
        <v>16</v>
      </c>
      <c r="C49" s="75" t="s">
        <v>34</v>
      </c>
      <c r="D49" s="74" t="str" cm="1">
        <f t="array" ref="D49:E49">IFERROR(TRANSPOSE(_xlfn._xlws.FILTER(Components!$A$3:$A$302,(Components!$C$3:$C$302=B49)*(Components!$F$3:$F$302=C49))),"No matches found")</f>
        <v>CMF_1960_2_INT_WALL_NONLOADBEARING_SPACE</v>
      </c>
      <c r="E49" s="74" t="str">
        <v>CMF_1960_2_INT_WALL_NONLOADBEARING_STRUCTURE</v>
      </c>
      <c r="F49" s="74"/>
      <c r="G49" s="74"/>
      <c r="H49" s="74"/>
      <c r="I49" s="74"/>
      <c r="J49" s="74"/>
      <c r="K49" s="74"/>
      <c r="L49" s="74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spans="1:53" x14ac:dyDescent="0.2">
      <c r="A50" s="74" t="str">
        <f t="shared" si="0"/>
        <v>CMF_1960_2_EXT_WALL</v>
      </c>
      <c r="B50" s="75" t="s">
        <v>17</v>
      </c>
      <c r="C50" s="75" t="s">
        <v>34</v>
      </c>
      <c r="D50" s="74" t="str" cm="1">
        <f t="array" ref="D50:L50">IFERROR(TRANSPOSE(_xlfn._xlws.FILTER(Components!$A$3:$A$302,(Components!$C$3:$C$302=B50)*(Components!$F$3:$F$302=C50))),"No matches found")</f>
        <v>CMF_1960_2_EXT_WALL_SKIN</v>
      </c>
      <c r="E50" s="74" t="str">
        <v>CMF_1960_2_EXT_WALL_STRUCTURE</v>
      </c>
      <c r="F50" s="74" t="str">
        <v>CMF_1960_2_EXT_WALL_STRUCTURE</v>
      </c>
      <c r="G50" s="74" t="str">
        <v>CMF_1960_2_EXT_WALL_SPACE</v>
      </c>
      <c r="H50" s="74" t="str">
        <v>CMF_1960_2_EXT_WALL_SKIN</v>
      </c>
      <c r="I50" s="74" t="str">
        <v>CMF_1960_2_EXT_WALL_SKIN</v>
      </c>
      <c r="J50" s="74" t="str">
        <v>CMF_1960_2_EXT_WALL_STRUCTURE</v>
      </c>
      <c r="K50" s="74" t="str">
        <v>CMF_1960_2_EXT_WALL_SPACE</v>
      </c>
      <c r="L50" s="74" t="str">
        <v>CMF_1960_2_EXT_WALL_SPACE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spans="1:53" x14ac:dyDescent="0.2">
      <c r="A51" s="74" t="str">
        <f t="shared" si="0"/>
        <v>CMF_1970_ROOF</v>
      </c>
      <c r="B51" s="75" t="s">
        <v>6</v>
      </c>
      <c r="C51" s="65" t="s">
        <v>38</v>
      </c>
      <c r="D51" s="74" t="str" cm="1">
        <f t="array" ref="D51:E51">IFERROR(TRANSPOSE(_xlfn._xlws.FILTER(Components!$A$3:$A$302,(Components!$C$3:$C$302=B51)*(Components!$F$3:$F$302=C51))),"No matches found")</f>
        <v>CMF_1970_ROOF_SKIN</v>
      </c>
      <c r="E51" s="74" t="str">
        <v>CMF_1970_ROOF_SKIN</v>
      </c>
      <c r="F51" s="74"/>
      <c r="G51" s="74"/>
      <c r="H51" s="74"/>
      <c r="I51" s="74"/>
      <c r="J51" s="74"/>
      <c r="K51" s="74"/>
      <c r="L51" s="74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spans="1:53" x14ac:dyDescent="0.2">
      <c r="A52" s="74" t="str">
        <f t="shared" si="0"/>
        <v>CMF_1970_TOP_FLOOR</v>
      </c>
      <c r="B52" s="75" t="s">
        <v>7</v>
      </c>
      <c r="C52" s="65" t="s">
        <v>38</v>
      </c>
      <c r="D52" s="74" t="str" cm="1">
        <f t="array" ref="D52:E52">IFERROR(TRANSPOSE(_xlfn._xlws.FILTER(Components!$A$3:$A$302,(Components!$C$3:$C$302=B52)*(Components!$F$3:$F$302=C52))),"No matches found")</f>
        <v>CMF_1970_TOP_FLOOR_SKIN</v>
      </c>
      <c r="E52" s="74" t="str">
        <v>CMF_1970_TOP_FLOOR_STRUCTURE</v>
      </c>
      <c r="F52" s="74"/>
      <c r="G52" s="74"/>
      <c r="H52" s="74"/>
      <c r="I52" s="74"/>
      <c r="J52" s="74"/>
      <c r="K52" s="74"/>
      <c r="L52" s="74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spans="1:53" x14ac:dyDescent="0.2">
      <c r="A53" s="74" t="str">
        <f t="shared" si="0"/>
        <v>CMF_1970_INTERMEDIATE_FLOOR</v>
      </c>
      <c r="B53" s="75" t="s">
        <v>8</v>
      </c>
      <c r="C53" s="65" t="s">
        <v>38</v>
      </c>
      <c r="D53" s="74" t="str" cm="1">
        <f t="array" ref="D53:E53">IFERROR(TRANSPOSE(_xlfn._xlws.FILTER(Components!$A$3:$A$302,(Components!$C$3:$C$302=B53)*(Components!$F$3:$F$302=C53))),"No matches found")</f>
        <v>CMF_1970_INTERMEDIATE_FLOOR_STRUCTURE</v>
      </c>
      <c r="E53" s="74" t="str">
        <v>CMF_1970_INTERMEDIATE_FLOOR_SPACE</v>
      </c>
      <c r="F53" s="74"/>
      <c r="G53" s="74"/>
      <c r="H53" s="74"/>
      <c r="I53" s="74"/>
      <c r="J53" s="74"/>
      <c r="K53" s="74"/>
      <c r="L53" s="74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spans="1:53" x14ac:dyDescent="0.2">
      <c r="A54" s="74" t="str">
        <f t="shared" si="0"/>
        <v>CMF_1970_GROUND_FLOOR</v>
      </c>
      <c r="B54" s="75" t="s">
        <v>9</v>
      </c>
      <c r="C54" s="65" t="s">
        <v>38</v>
      </c>
      <c r="D54" s="74" t="str" cm="1">
        <f t="array" ref="D54:F54">IFERROR(TRANSPOSE(_xlfn._xlws.FILTER(Components!$A$3:$A$302,(Components!$C$3:$C$302=B54)*(Components!$F$3:$F$302=C54))),"No matches found")</f>
        <v>CMF_1970_GROUND_FLOOR_STRUCTURE</v>
      </c>
      <c r="E54" s="74" t="str">
        <v>CMF_1970_GROUND_FLOOR_STRUCTURE</v>
      </c>
      <c r="F54" s="74" t="str">
        <v>CMF_1970_GROUND_FLOOR_SPACE</v>
      </c>
      <c r="G54" s="74"/>
      <c r="H54" s="74"/>
      <c r="I54" s="74"/>
      <c r="J54" s="74"/>
      <c r="K54" s="74"/>
      <c r="L54" s="74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spans="1:53" x14ac:dyDescent="0.2">
      <c r="A55" s="74" t="str">
        <f t="shared" si="0"/>
        <v>CMF_1970_BASEMENT_FLOOR</v>
      </c>
      <c r="B55" s="75" t="s">
        <v>10</v>
      </c>
      <c r="C55" s="65" t="s">
        <v>38</v>
      </c>
      <c r="D55" s="74" t="str" cm="1">
        <f t="array" ref="D55:F55">IFERROR(TRANSPOSE(_xlfn._xlws.FILTER(Components!$A$3:$A$302,(Components!$C$3:$C$302=B55)*(Components!$F$3:$F$302=C55))),"No matches found")</f>
        <v>CMF_1970_BASEMENT_FLOOR_SKIN</v>
      </c>
      <c r="E55" s="74" t="str">
        <v>CMF_1970_BASEMENT_FLOOR_STRUCTURE</v>
      </c>
      <c r="F55" s="74" t="str">
        <v>CMF_1970_BASEMENT_FLOOR_SPACE</v>
      </c>
      <c r="G55" s="74"/>
      <c r="H55" s="74"/>
      <c r="I55" s="74"/>
      <c r="J55" s="74"/>
      <c r="K55" s="74"/>
      <c r="L55" s="74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spans="1:53" x14ac:dyDescent="0.2">
      <c r="A56" s="74" t="str">
        <f t="shared" si="0"/>
        <v>CMF_1970_EXT_WALL_LOW</v>
      </c>
      <c r="B56" s="75" t="s">
        <v>11</v>
      </c>
      <c r="C56" s="65" t="s">
        <v>38</v>
      </c>
      <c r="D56" s="74" t="str" cm="1">
        <f t="array" ref="D56">IFERROR(TRANSPOSE(_xlfn._xlws.FILTER(Components!$A$3:$A$302,(Components!$C$3:$C$302=B56)*(Components!$F$3:$F$302=C56))),"No matches found")</f>
        <v>No matches found</v>
      </c>
      <c r="E56" s="74"/>
      <c r="F56" s="74"/>
      <c r="G56" s="74"/>
      <c r="H56" s="74"/>
      <c r="I56" s="74"/>
      <c r="J56" s="74"/>
      <c r="K56" s="74"/>
      <c r="L56" s="74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 x14ac:dyDescent="0.2">
      <c r="A57" s="74" t="str">
        <f t="shared" si="0"/>
        <v>CMF_1970_EXT_WALL_MEDIUM</v>
      </c>
      <c r="B57" s="75" t="s">
        <v>12</v>
      </c>
      <c r="C57" s="65" t="s">
        <v>38</v>
      </c>
      <c r="D57" s="74" t="str" cm="1">
        <f t="array" ref="D57">IFERROR(TRANSPOSE(_xlfn._xlws.FILTER(Components!$A$3:$A$302,(Components!$C$3:$C$302=B57)*(Components!$F$3:$F$302=C57))),"No matches found")</f>
        <v>No matches found</v>
      </c>
      <c r="E57" s="74"/>
      <c r="F57" s="74"/>
      <c r="G57" s="74"/>
      <c r="H57" s="74"/>
      <c r="I57" s="74"/>
      <c r="J57" s="74"/>
      <c r="K57" s="74"/>
      <c r="L57" s="74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 x14ac:dyDescent="0.2">
      <c r="A58" s="74" t="str">
        <f t="shared" si="0"/>
        <v>CMF_1970_EXT_WALL_HIGH</v>
      </c>
      <c r="B58" s="75" t="s">
        <v>13</v>
      </c>
      <c r="C58" s="65" t="s">
        <v>38</v>
      </c>
      <c r="D58" s="74" t="str" cm="1">
        <f t="array" ref="D58">IFERROR(TRANSPOSE(_xlfn._xlws.FILTER(Components!$A$3:$A$302,(Components!$C$3:$C$302=B58)*(Components!$F$3:$F$302=C58))),"No matches found")</f>
        <v>No matches found</v>
      </c>
      <c r="E58" s="74"/>
      <c r="F58" s="74"/>
      <c r="G58" s="74"/>
      <c r="H58" s="74"/>
      <c r="I58" s="74"/>
      <c r="J58" s="74"/>
      <c r="K58" s="74"/>
      <c r="L58" s="74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 x14ac:dyDescent="0.2">
      <c r="A59" s="74" t="str">
        <f t="shared" si="0"/>
        <v>CMF_1970_BASEMENT_WALL</v>
      </c>
      <c r="B59" s="75" t="s">
        <v>14</v>
      </c>
      <c r="C59" s="65" t="s">
        <v>38</v>
      </c>
      <c r="D59" s="74" t="str" cm="1">
        <f t="array" ref="D59:F59">IFERROR(TRANSPOSE(_xlfn._xlws.FILTER(Components!$A$3:$A$302,(Components!$C$3:$C$302=B59)*(Components!$F$3:$F$302=C59))),"No matches found")</f>
        <v>CMF_1970_BASEMENT_WALL_SKIN</v>
      </c>
      <c r="E59" s="74" t="str">
        <v>CMF_1970_BASEMENT_WALL_STRUCTURE</v>
      </c>
      <c r="F59" s="74" t="str">
        <v>CMF_1970_BASEMENT_WALL_SPACE</v>
      </c>
      <c r="G59" s="74"/>
      <c r="H59" s="74"/>
      <c r="I59" s="74"/>
      <c r="J59" s="74"/>
      <c r="K59" s="74"/>
      <c r="L59" s="74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 x14ac:dyDescent="0.2">
      <c r="A60" s="74" t="str">
        <f t="shared" si="0"/>
        <v>CMF_1970_INT_WALL_LOADBEARING</v>
      </c>
      <c r="B60" s="75" t="s">
        <v>15</v>
      </c>
      <c r="C60" s="65" t="s">
        <v>38</v>
      </c>
      <c r="D60" s="74" t="str" cm="1">
        <f t="array" ref="D60">IFERROR(TRANSPOSE(_xlfn._xlws.FILTER(Components!$A$3:$A$302,(Components!$C$3:$C$302=B60)*(Components!$F$3:$F$302=C60))),"No matches found")</f>
        <v>CMF_1970_INT_WALL_LOADBEARING_STRUCTURE</v>
      </c>
      <c r="E60" s="74"/>
      <c r="F60" s="74"/>
      <c r="G60" s="74"/>
      <c r="H60" s="74"/>
      <c r="I60" s="74"/>
      <c r="J60" s="74"/>
      <c r="K60" s="74"/>
      <c r="L60" s="74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 x14ac:dyDescent="0.2">
      <c r="A61" s="74" t="str">
        <f t="shared" si="0"/>
        <v>CMF_1970_INT_WALL_NONLOADBEARING</v>
      </c>
      <c r="B61" s="75" t="s">
        <v>16</v>
      </c>
      <c r="C61" s="65" t="s">
        <v>38</v>
      </c>
      <c r="D61" s="74" t="str" cm="1">
        <f t="array" ref="D61:E61">IFERROR(TRANSPOSE(_xlfn._xlws.FILTER(Components!$A$3:$A$302,(Components!$C$3:$C$302=B61)*(Components!$F$3:$F$302=C61))),"No matches found")</f>
        <v>CMF_1970_INT_WALL_NONLOADBEARING_SPACE</v>
      </c>
      <c r="E61" s="74" t="str">
        <v>CMF_1970_INT_WALL_NONLOADBEARING_STRUCTURE</v>
      </c>
      <c r="F61" s="74"/>
      <c r="G61" s="74"/>
      <c r="H61" s="74"/>
      <c r="I61" s="74"/>
      <c r="J61" s="74"/>
      <c r="K61" s="74"/>
      <c r="L61" s="74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 x14ac:dyDescent="0.2">
      <c r="A62" s="74" t="str">
        <f t="shared" si="0"/>
        <v>CMF_1970_EXT_WALL</v>
      </c>
      <c r="B62" s="75" t="s">
        <v>17</v>
      </c>
      <c r="C62" s="65" t="s">
        <v>38</v>
      </c>
      <c r="D62" s="74" t="str" cm="1">
        <f t="array" ref="D62:F62">IFERROR(TRANSPOSE(_xlfn._xlws.FILTER(Components!$A$3:$A$302,(Components!$C$3:$C$302=B62)*(Components!$F$3:$F$302=C62))),"No matches found")</f>
        <v>CMF_1970_EXT_WALL_STRUCTURE</v>
      </c>
      <c r="E62" s="74" t="str">
        <v>CMF_1970_EXT_WALL_SKIN</v>
      </c>
      <c r="F62" s="74" t="str">
        <v>CMF_1970_EXT_WALL_SPACE</v>
      </c>
      <c r="G62" s="74"/>
      <c r="H62" s="74"/>
      <c r="I62" s="74"/>
      <c r="J62" s="74"/>
      <c r="K62" s="74"/>
      <c r="L62" s="74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x14ac:dyDescent="0.2">
      <c r="A63" s="74" t="str">
        <f t="shared" si="0"/>
        <v>CMF_1980_ROOF</v>
      </c>
      <c r="B63" s="75" t="s">
        <v>6</v>
      </c>
      <c r="C63" s="65" t="s">
        <v>41</v>
      </c>
      <c r="D63" s="74" t="str" cm="1">
        <f t="array" ref="D63:E63">IFERROR(TRANSPOSE(_xlfn._xlws.FILTER(Components!$A$3:$A$302,(Components!$C$3:$C$302=B63)*(Components!$F$3:$F$302=C63))),"No matches found")</f>
        <v>CMF_1980_ROOF_SKIN</v>
      </c>
      <c r="E63" s="74" t="str">
        <v>CMF_1980_ROOF_SKIN</v>
      </c>
      <c r="F63" s="74"/>
      <c r="G63" s="74"/>
      <c r="H63" s="74"/>
      <c r="I63" s="74"/>
      <c r="J63" s="74"/>
      <c r="K63" s="74"/>
      <c r="L63" s="74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x14ac:dyDescent="0.2">
      <c r="A64" s="74" t="str">
        <f t="shared" si="0"/>
        <v>CMF_1980_TOP_FLOOR</v>
      </c>
      <c r="B64" s="75" t="s">
        <v>7</v>
      </c>
      <c r="C64" s="65" t="s">
        <v>41</v>
      </c>
      <c r="D64" s="74" t="str" cm="1">
        <f t="array" ref="D64:E64">IFERROR(TRANSPOSE(_xlfn._xlws.FILTER(Components!$A$3:$A$302,(Components!$C$3:$C$302=B64)*(Components!$F$3:$F$302=C64))),"No matches found")</f>
        <v>CMF_1980_TOP_FLOOR_SKIN</v>
      </c>
      <c r="E64" s="74" t="str">
        <v>CMF_1980_TOP_FLOOR_STRUCTURE</v>
      </c>
      <c r="F64" s="74"/>
      <c r="G64" s="74"/>
      <c r="H64" s="74"/>
      <c r="I64" s="74"/>
      <c r="J64" s="74"/>
      <c r="K64" s="74"/>
      <c r="L64" s="74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x14ac:dyDescent="0.2">
      <c r="A65" s="74" t="str">
        <f t="shared" si="0"/>
        <v>CMF_1980_INTERMEDIATE_FLOOR</v>
      </c>
      <c r="B65" s="75" t="s">
        <v>8</v>
      </c>
      <c r="C65" s="65" t="s">
        <v>41</v>
      </c>
      <c r="D65" s="74" t="str" cm="1">
        <f t="array" ref="D65:E65">IFERROR(TRANSPOSE(_xlfn._xlws.FILTER(Components!$A$3:$A$302,(Components!$C$3:$C$302=B65)*(Components!$F$3:$F$302=C65))),"No matches found")</f>
        <v>CMF_1980_INTERMEDIATE_FLOOR_STRUCTURE</v>
      </c>
      <c r="E65" s="74" t="str">
        <v>CMF_1980_INTERMEDIATE_FLOOR_SPACE</v>
      </c>
      <c r="F65" s="74"/>
      <c r="G65" s="74"/>
      <c r="H65" s="74"/>
      <c r="I65" s="74"/>
      <c r="J65" s="74"/>
      <c r="K65" s="74"/>
      <c r="L65" s="74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x14ac:dyDescent="0.2">
      <c r="A66" s="74" t="str">
        <f t="shared" si="0"/>
        <v>CMF_1980_GROUND_FLOOR</v>
      </c>
      <c r="B66" s="75" t="s">
        <v>9</v>
      </c>
      <c r="C66" s="65" t="s">
        <v>41</v>
      </c>
      <c r="D66" s="74" t="str" cm="1">
        <f t="array" ref="D66:F66">IFERROR(TRANSPOSE(_xlfn._xlws.FILTER(Components!$A$3:$A$302,(Components!$C$3:$C$302=B66)*(Components!$F$3:$F$302=C66))),"No matches found")</f>
        <v>CMF_1980_GROUND_FLOOR_STRUCTURE</v>
      </c>
      <c r="E66" s="74" t="str">
        <v>CMF_1980_GROUND_FLOOR_STRUCTURE</v>
      </c>
      <c r="F66" s="74" t="str">
        <v>CMF_1980_GROUND_FLOOR_SPACE</v>
      </c>
      <c r="G66" s="74"/>
      <c r="H66" s="74"/>
      <c r="I66" s="74"/>
      <c r="J66" s="74"/>
      <c r="K66" s="74"/>
      <c r="L66" s="74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 x14ac:dyDescent="0.2">
      <c r="A67" s="74" t="str">
        <f t="shared" si="0"/>
        <v>CMF_1980_BASEMENT_FLOOR</v>
      </c>
      <c r="B67" s="75" t="s">
        <v>10</v>
      </c>
      <c r="C67" s="65" t="s">
        <v>41</v>
      </c>
      <c r="D67" s="74" t="str" cm="1">
        <f t="array" ref="D67:F67">IFERROR(TRANSPOSE(_xlfn._xlws.FILTER(Components!$A$3:$A$302,(Components!$C$3:$C$302=B67)*(Components!$F$3:$F$302=C67))),"No matches found")</f>
        <v>CMF_1980_BASEMENT_FLOOR_SKIN</v>
      </c>
      <c r="E67" s="74" t="str">
        <v>CMF_1980_BASEMENT_FLOOR_STRUCTURE</v>
      </c>
      <c r="F67" s="74" t="str">
        <v>CMF_1980_BASEMENT_FLOOR_SPACE</v>
      </c>
      <c r="G67" s="74"/>
      <c r="H67" s="74"/>
      <c r="I67" s="74"/>
      <c r="J67" s="74"/>
      <c r="K67" s="74"/>
      <c r="L67" s="74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 x14ac:dyDescent="0.2">
      <c r="A68" s="74" t="str">
        <f t="shared" ref="A68:A74" si="1">C68&amp;"_"&amp;B68</f>
        <v>CMF_1980_EXT_WALL_LOW</v>
      </c>
      <c r="B68" s="75" t="s">
        <v>11</v>
      </c>
      <c r="C68" s="65" t="s">
        <v>41</v>
      </c>
      <c r="D68" s="74" t="str" cm="1">
        <f t="array" ref="D68">IFERROR(TRANSPOSE(_xlfn._xlws.FILTER(Components!$A$3:$A$302,(Components!$C$3:$C$302=B68)*(Components!$F$3:$F$302=C68))),"No matches found")</f>
        <v>No matches found</v>
      </c>
      <c r="E68" s="74"/>
      <c r="F68" s="74"/>
      <c r="G68" s="74"/>
      <c r="H68" s="74"/>
      <c r="I68" s="74"/>
      <c r="J68" s="74"/>
      <c r="K68" s="74"/>
      <c r="L68" s="74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 x14ac:dyDescent="0.2">
      <c r="A69" s="74" t="str">
        <f t="shared" si="1"/>
        <v>CMF_1980_EXT_WALL_MEDIUM</v>
      </c>
      <c r="B69" s="75" t="s">
        <v>12</v>
      </c>
      <c r="C69" s="65" t="s">
        <v>41</v>
      </c>
      <c r="D69" s="74" t="str" cm="1">
        <f t="array" ref="D69">IFERROR(TRANSPOSE(_xlfn._xlws.FILTER(Components!$A$3:$A$302,(Components!$C$3:$C$302=B69)*(Components!$F$3:$F$302=C69))),"No matches found")</f>
        <v>No matches found</v>
      </c>
      <c r="E69" s="74"/>
      <c r="F69" s="74"/>
      <c r="G69" s="74"/>
      <c r="H69" s="74"/>
      <c r="I69" s="74"/>
      <c r="J69" s="74"/>
      <c r="K69" s="74"/>
      <c r="L69" s="74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 x14ac:dyDescent="0.2">
      <c r="A70" s="74" t="str">
        <f t="shared" si="1"/>
        <v>CMF_1980_EXT_WALL_HIGH</v>
      </c>
      <c r="B70" s="75" t="s">
        <v>13</v>
      </c>
      <c r="C70" s="65" t="s">
        <v>41</v>
      </c>
      <c r="D70" s="74" t="str" cm="1">
        <f t="array" ref="D70">IFERROR(TRANSPOSE(_xlfn._xlws.FILTER(Components!$A$3:$A$302,(Components!$C$3:$C$302=B70)*(Components!$F$3:$F$302=C70))),"No matches found")</f>
        <v>No matches found</v>
      </c>
      <c r="E70" s="74"/>
      <c r="F70" s="74"/>
      <c r="G70" s="74"/>
      <c r="H70" s="74"/>
      <c r="I70" s="74"/>
      <c r="J70" s="74"/>
      <c r="K70" s="74"/>
      <c r="L70" s="74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x14ac:dyDescent="0.2">
      <c r="A71" s="74" t="str">
        <f t="shared" si="1"/>
        <v>CMF_1980_BASEMENT_WALL</v>
      </c>
      <c r="B71" s="75" t="s">
        <v>14</v>
      </c>
      <c r="C71" s="65" t="s">
        <v>41</v>
      </c>
      <c r="D71" s="74" t="str" cm="1">
        <f t="array" ref="D71:F71">IFERROR(TRANSPOSE(_xlfn._xlws.FILTER(Components!$A$3:$A$302,(Components!$C$3:$C$302=B71)*(Components!$F$3:$F$302=C71))),"No matches found")</f>
        <v>CMF_1980_BASEMENT_WALL_SKIN</v>
      </c>
      <c r="E71" s="74" t="str">
        <v>CMF_1980_BASEMENT_WALL_STRUCTURE</v>
      </c>
      <c r="F71" s="74" t="str">
        <v>CMF_1980_BASEMENT_WALL_SPACE</v>
      </c>
      <c r="G71" s="74"/>
      <c r="H71" s="74"/>
      <c r="I71" s="74"/>
      <c r="J71" s="74"/>
      <c r="K71" s="74"/>
      <c r="L71" s="74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</row>
    <row r="72" spans="1:53" x14ac:dyDescent="0.2">
      <c r="A72" s="74" t="str">
        <f t="shared" si="1"/>
        <v>CMF_1980_INT_WALL_LOADBEARING</v>
      </c>
      <c r="B72" s="75" t="s">
        <v>15</v>
      </c>
      <c r="C72" s="65" t="s">
        <v>41</v>
      </c>
      <c r="D72" s="74" t="str" cm="1">
        <f t="array" ref="D72">IFERROR(TRANSPOSE(_xlfn._xlws.FILTER(Components!$A$3:$A$302,(Components!$C$3:$C$302=B72)*(Components!$F$3:$F$302=C72))),"No matches found")</f>
        <v>CMF_1980_INT_WALL_LOADBEARING_STRUCTURE</v>
      </c>
      <c r="E72" s="74"/>
      <c r="F72" s="74"/>
      <c r="G72" s="74"/>
      <c r="H72" s="74"/>
      <c r="I72" s="74"/>
      <c r="J72" s="74"/>
      <c r="K72" s="74"/>
      <c r="L72" s="74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</row>
    <row r="73" spans="1:53" x14ac:dyDescent="0.2">
      <c r="A73" s="74" t="str">
        <f t="shared" si="1"/>
        <v>CMF_1980_INT_WALL_NONLOADBEARING</v>
      </c>
      <c r="B73" s="75" t="s">
        <v>16</v>
      </c>
      <c r="C73" s="65" t="s">
        <v>41</v>
      </c>
      <c r="D73" s="74" t="str" cm="1">
        <f t="array" ref="D73:E73">IFERROR(TRANSPOSE(_xlfn._xlws.FILTER(Components!$A$3:$A$302,(Components!$C$3:$C$302=B73)*(Components!$F$3:$F$302=C73))),"No matches found")</f>
        <v>CMF_1980_INT_WALL_NONLOADBEARING_SPACE</v>
      </c>
      <c r="E73" s="74" t="str">
        <v>CMF_1980_INT_WALL_NONLOADBEARING_STRUCTURE</v>
      </c>
      <c r="F73" s="74"/>
      <c r="G73" s="74"/>
      <c r="H73" s="74"/>
      <c r="I73" s="74"/>
      <c r="J73" s="74"/>
      <c r="K73" s="74"/>
      <c r="L73" s="74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</row>
    <row r="74" spans="1:53" x14ac:dyDescent="0.2">
      <c r="A74" s="74" t="str">
        <f t="shared" si="1"/>
        <v>CMF_1980_EXT_WALL</v>
      </c>
      <c r="B74" s="75" t="s">
        <v>17</v>
      </c>
      <c r="C74" s="65" t="s">
        <v>41</v>
      </c>
      <c r="D74" s="74" t="str" cm="1">
        <f t="array" ref="D74:F74">IFERROR(TRANSPOSE(_xlfn._xlws.FILTER(Components!$A$3:$A$302,(Components!$C$3:$C$302=B74)*(Components!$F$3:$F$302=C74))),"No matches found")</f>
        <v>CMF_1980_EXT_WALL_STRUCTURE</v>
      </c>
      <c r="E74" s="74" t="str">
        <v>CMF_1980_EXT_WALL_SKIN</v>
      </c>
      <c r="F74" s="74" t="str">
        <v>CMF_1980_EXT_WALL_SPACE</v>
      </c>
      <c r="G74" s="74"/>
      <c r="H74" s="74"/>
      <c r="I74" s="74"/>
      <c r="J74" s="74"/>
      <c r="K74" s="74"/>
      <c r="L74" s="74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</row>
    <row r="75" spans="1:53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</row>
    <row r="76" spans="1:53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</row>
    <row r="77" spans="1:53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</row>
    <row r="78" spans="1:53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</row>
    <row r="79" spans="1:53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</row>
    <row r="80" spans="1:53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</row>
    <row r="81" spans="1:53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</row>
    <row r="82" spans="1:53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</row>
    <row r="83" spans="1:53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</row>
    <row r="84" spans="1:53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</row>
    <row r="85" spans="1:53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</row>
    <row r="86" spans="1:53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</row>
    <row r="87" spans="1:53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</row>
    <row r="88" spans="1:53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</row>
    <row r="89" spans="1:53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</row>
    <row r="90" spans="1:53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</row>
    <row r="91" spans="1:53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</row>
    <row r="92" spans="1:53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</row>
    <row r="93" spans="1:53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</row>
    <row r="94" spans="1:53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</row>
    <row r="95" spans="1:53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</row>
    <row r="96" spans="1:53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</row>
    <row r="97" spans="1:53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</row>
    <row r="98" spans="1:53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</row>
    <row r="99" spans="1:53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</row>
    <row r="100" spans="1:53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 spans="1:53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</row>
    <row r="102" spans="1:53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</row>
    <row r="103" spans="1:53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</row>
    <row r="104" spans="1:53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</row>
    <row r="105" spans="1:53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</row>
    <row r="106" spans="1:53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</row>
    <row r="107" spans="1:53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</row>
    <row r="108" spans="1:53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</row>
    <row r="109" spans="1:53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</row>
    <row r="110" spans="1:53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</row>
    <row r="111" spans="1:53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</row>
    <row r="112" spans="1:53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</row>
    <row r="113" spans="1:53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</row>
    <row r="114" spans="1:53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</row>
    <row r="115" spans="1:53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</row>
    <row r="116" spans="1:53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</row>
    <row r="117" spans="1:53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</row>
    <row r="118" spans="1:53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</row>
    <row r="119" spans="1:53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</row>
    <row r="120" spans="1:53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</row>
    <row r="121" spans="1:53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</row>
    <row r="122" spans="1:53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</row>
    <row r="123" spans="1:53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</row>
    <row r="124" spans="1:53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</row>
    <row r="125" spans="1:53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</row>
    <row r="126" spans="1:53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</row>
    <row r="127" spans="1:53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</row>
    <row r="128" spans="1:53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</row>
    <row r="129" spans="1:53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</row>
    <row r="130" spans="1:53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</row>
    <row r="131" spans="1:53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</row>
    <row r="132" spans="1:53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</row>
    <row r="133" spans="1:53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</row>
    <row r="134" spans="1:53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</row>
    <row r="135" spans="1:53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</row>
    <row r="136" spans="1:53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</row>
    <row r="137" spans="1:53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</row>
    <row r="138" spans="1:53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</row>
    <row r="139" spans="1:53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</row>
    <row r="140" spans="1:53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</row>
    <row r="141" spans="1:53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</row>
    <row r="142" spans="1:53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</row>
    <row r="143" spans="1:53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</row>
    <row r="144" spans="1:53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</row>
    <row r="145" spans="1:53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</row>
    <row r="146" spans="1:53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</row>
    <row r="147" spans="1:53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</row>
    <row r="148" spans="1:53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</row>
    <row r="149" spans="1:53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</row>
  </sheetData>
  <mergeCells count="2">
    <mergeCell ref="D1:L1"/>
    <mergeCell ref="D2:L2"/>
  </mergeCells>
  <phoneticPr fontId="15" type="noConversion"/>
  <conditionalFormatting sqref="D3:D74">
    <cfRule type="containsText" dxfId="3" priority="1" stopIfTrue="1" operator="containsText" text="No matches found">
      <formula>NOT(ISERROR(SEARCH("No matches found",D3)))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329F71-57DB-794D-9644-5170490E4FC1}">
          <x14:formula1>
            <xm:f>Dropdowns!$B$3:$B$14</xm:f>
          </x14:formula1>
          <xm:sqref>B3:B74</xm:sqref>
        </x14:dataValidation>
        <x14:dataValidation type="list" allowBlank="1" showInputMessage="1" showErrorMessage="1" xr:uid="{4FE3EC2A-FEEA-6B46-AF81-D2AFEFCF8716}">
          <x14:formula1>
            <xm:f>Dropdowns!$G$3:$G$29</xm:f>
          </x14:formula1>
          <xm:sqref>C3:C74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2279-99B3-CF48-8C94-7DF929DA0A96}">
  <dimension ref="A1:AR77"/>
  <sheetViews>
    <sheetView zoomScale="138" workbookViewId="0">
      <selection activeCell="C6" sqref="C6"/>
    </sheetView>
  </sheetViews>
  <sheetFormatPr baseColWidth="10" defaultColWidth="11" defaultRowHeight="16" x14ac:dyDescent="0.2"/>
  <cols>
    <col min="1" max="1" width="14.5" bestFit="1" customWidth="1"/>
    <col min="2" max="2" width="30.33203125" bestFit="1" customWidth="1"/>
    <col min="3" max="3" width="18.33203125" bestFit="1" customWidth="1"/>
    <col min="4" max="4" width="22.6640625" bestFit="1" customWidth="1"/>
    <col min="5" max="13" width="34.6640625" bestFit="1" customWidth="1"/>
    <col min="14" max="14" width="38" bestFit="1" customWidth="1"/>
  </cols>
  <sheetData>
    <row r="1" spans="1:44" x14ac:dyDescent="0.2">
      <c r="A1" s="47" t="s">
        <v>317</v>
      </c>
      <c r="B1" s="47" t="s">
        <v>318</v>
      </c>
      <c r="C1" s="47" t="s">
        <v>319</v>
      </c>
      <c r="D1" s="47" t="s">
        <v>320</v>
      </c>
      <c r="E1" s="47" t="s">
        <v>321</v>
      </c>
      <c r="F1" s="47" t="s">
        <v>322</v>
      </c>
      <c r="G1" s="47" t="s">
        <v>323</v>
      </c>
      <c r="H1" s="47" t="s">
        <v>324</v>
      </c>
      <c r="I1" s="47" t="s">
        <v>325</v>
      </c>
      <c r="J1" s="47" t="s">
        <v>326</v>
      </c>
      <c r="K1" s="47" t="s">
        <v>327</v>
      </c>
      <c r="L1" s="47" t="s">
        <v>328</v>
      </c>
      <c r="M1" s="47" t="s">
        <v>329</v>
      </c>
      <c r="N1" s="47" t="s">
        <v>330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4" ht="51" x14ac:dyDescent="0.2">
      <c r="A2" s="58" t="s">
        <v>331</v>
      </c>
      <c r="B2" s="58" t="s">
        <v>332</v>
      </c>
      <c r="C2" s="58" t="s">
        <v>333</v>
      </c>
      <c r="D2" s="58" t="s">
        <v>334</v>
      </c>
      <c r="E2" s="58" t="s">
        <v>335</v>
      </c>
      <c r="F2" s="58" t="s">
        <v>336</v>
      </c>
      <c r="G2" s="59" t="s">
        <v>337</v>
      </c>
      <c r="H2" s="59" t="s">
        <v>338</v>
      </c>
      <c r="I2" s="59" t="s">
        <v>338</v>
      </c>
      <c r="J2" s="59" t="s">
        <v>338</v>
      </c>
      <c r="K2" s="59" t="s">
        <v>338</v>
      </c>
      <c r="L2" s="59" t="s">
        <v>339</v>
      </c>
      <c r="M2" s="59" t="s">
        <v>340</v>
      </c>
      <c r="N2" s="59" t="s">
        <v>341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</row>
    <row r="3" spans="1:44" x14ac:dyDescent="0.2">
      <c r="A3" s="1" t="s">
        <v>23</v>
      </c>
      <c r="B3" s="65" t="s">
        <v>342</v>
      </c>
      <c r="C3" s="76" t="str" cm="1">
        <f t="array" ref="C3">IF(
COUNTIFS(Elements!$A$3:$A$300,"*"&amp;Building!A3&amp;"*",Elements!$B$3:$B$300,"ROOF",Elements!$D$3:$D$300,"No matches found")&gt;0,
"No components assigned to this element",
IFERROR(
_xlfn._xlws.FILTER(Elements!$A$3:$A$300,(ISNUMBER(SEARCH(Building!A3,Elements!$A$3:$A$300)))*(Elements!$B$3:$B$300="ROOF")),
"No match"
))</f>
        <v>CMF_1940_1_ROOF</v>
      </c>
      <c r="D3" s="76" t="str" cm="1">
        <f t="array" ref="D3">IF(
COUNTIFS(Elements!$A$3:$A$300,"*"&amp;Building!A3&amp;"*",Elements!$B$3:$B$300,"TOP_FLOOR",Elements!$D$3:$D$300,"No matches found")&gt;0,
"No components assigned to this element",
IFERROR(
_xlfn._xlws.FILTER(Elements!$A$3:$A$300,(ISNUMBER(SEARCH(Building!A3,Elements!$A$3:$A$300)))*(Elements!$B$3:$B$300="TOP_FLOOR")),
"No match"
))</f>
        <v>CMF_1940_1_TOP_FLOOR</v>
      </c>
      <c r="E3" s="76" t="str" cm="1">
        <f t="array" ref="E3">IF(
COUNTIFS(Elements!$A$3:$A$300,"*"&amp;Building!A3&amp;"*",Elements!$B$3:$B$300,"INTERMEDIATE_FLOOR",Elements!$D$3:$D$300,"No matches found")&gt;0,
"No components assigned to this element",
IFERROR(
_xlfn._xlws.FILTER(Elements!$A$3:$A$300,(ISNUMBER(SEARCH(Building!A3,Elements!$A$3:$A$300)))*(Elements!$B$3:$B$300="INTERMEDIATE_FLOOR")),
"No match"
))</f>
        <v>CMF_1940_1_INTERMEDIATE_FLOOR</v>
      </c>
      <c r="F3" s="76" t="str" cm="1">
        <f t="array" ref="F3">IF(
COUNTIFS(Elements!$A$3:$A$300,"*"&amp;Building!A3&amp;"*",Elements!$B$3:$B$300,"GROUND_FLOOR",Elements!$D$3:$D$300,"No matches found")&gt;0,
"No components assigned to this element",
IFERROR(
_xlfn._xlws.FILTER(Elements!$A$3:$A$300,(ISNUMBER(SEARCH(Building!A3,Elements!$A$3:$A$300)))*(Elements!$B$3:$B$300="GROUND_FLOOR")),
"No match"
))</f>
        <v>CMF_1940_1_GROUND_FLOOR</v>
      </c>
      <c r="G3" s="76" t="str" cm="1">
        <f t="array" ref="G3">IF(
COUNTIFS(Elements!$A$3:$A$300,"*"&amp;Building!A3&amp;"*",Elements!$B$3:$B$300,"BASEMENT_FLOOR",Elements!$D$3:$D$300,"No matches found")&gt;0,
"No components assigned to this element",
IFERROR(
_xlfn._xlws.FILTER(Elements!$A$3:$A$300,(ISNUMBER(SEARCH(Building!A3,Elements!$A$3:$A$300)))*(Elements!$B$3:$B$300="BASEMENT_FLOOR")),
"No match"
))</f>
        <v>CMF_1940_1_BASEMENT_FLOOR</v>
      </c>
      <c r="H3" s="76" t="str" cm="1">
        <f t="array" ref="H3">_xlfn.LET(
_xlpm.x,
IF(
COUNTIFS(Elements!$A$3:$A$300,"*"&amp;Building!A3&amp;"*",Elements!$B$3:$B$300,"EXT_WALL",Elements!$D$3:$D$300,"No matches found")&gt;0,
"No components assigned to this element",
IFERROR(
_xlfn._xlws.FILTER(Elements!$A$3:$A$300,(ISNUMBER(SEARCH(Building!A3,Elements!$A$3:$A$300)))*(Elements!$B$3:$B$300="EXT_WALL")),
"No match"
)
),
IF((_xlpm.x="No components assigned to this element")*(B3="Yes"),"Not required",_xlpm.x)
)</f>
        <v>CMF_1940_1_EXT_WALL</v>
      </c>
      <c r="I3" s="76" t="str" cm="1">
        <f t="array" ref="I3">_xlfn.LET(
_xlpm.x,
IF(
COUNTIFS(Elements!$A$3:$A$300,"*"&amp;Building!A3&amp;"*",Elements!$B$3:$B$300,"EXT_WALL_LOW",Elements!$D$3:$D$300,"No matches found")&gt;0,
"No components assigned to this element",
IFERROR(
_xlfn._xlws.FILTER(Elements!$A$3:$A$300,(ISNUMBER(SEARCH(Building!A3,Elements!$A$3:$A$300)))*(Elements!$B$3:$B$300="EXT_WALL_LOW")),
"No match"
)
),
IF((_xlpm.x="No components assigned to this element")*(B3="No"),"Not required",_xlpm.x)
)</f>
        <v>Not required</v>
      </c>
      <c r="J3" s="76" t="str" cm="1">
        <f t="array" ref="J3">_xlfn.LET(
_xlpm.x,
IF(
COUNTIFS(Elements!$A$3:$A$300,"*"&amp;Building!A3&amp;"*",Elements!$B$3:$B$300,"EXT_WALL_MEDIUM",Elements!$D$3:$D$300,"No matches found")&gt;0,
"No components assigned to this element",
IFERROR(
_xlfn._xlws.FILTER(Elements!$A$3:$A$300,(ISNUMBER(SEARCH(Building!A3,Elements!$A$3:$A$300)))*(Elements!$B$3:$B$300="EXT_WALL_MEDIUM")),
"No match"
)
),
IF((_xlpm.x="No components assigned to this element")*(B3="No"),"Not required",_xlpm.x))</f>
        <v>Not required</v>
      </c>
      <c r="K3" s="76" t="str" cm="1">
        <f t="array" ref="K3">_xlfn.LET(
_xlpm.x,
IF(
COUNTIFS(Elements!$A$3:$A$300,"*"&amp;Building!A3&amp;"*",Elements!$B$3:$B$300,"EXT_WALL_HIGH",Elements!$D$3:$D$300,"No matches found")&gt;0,
"No components assigned to this element",
IFERROR(
_xlfn._xlws.FILTER(Elements!$A$3:$A$300,(ISNUMBER(SEARCH(Building!A3,Elements!$A$3:$A$300)))*(Elements!$B$3:$B$300="EXT_WALL_HIGH")),
"No match"
)
),
IF((_xlpm.x="No components assigned to this element")*(B3="No"),"Not required",_xlpm.x))</f>
        <v>Not required</v>
      </c>
      <c r="L3" s="76" t="str" cm="1">
        <f t="array" ref="L3">IF(
COUNTIFS(Elements!$A$3:$A$300,"*"&amp;Building!A3&amp;"*",Elements!$B$3:$B$300,"BASEMENT_WALL",Elements!$D$3:$D$300,"No matches found")&gt;0,
"No components assigned to this element",
IFERROR(
_xlfn._xlws.FILTER(Elements!$A$3:$A$300,(ISNUMBER(SEARCH(Building!A3,Elements!$A$3:$A$300)))*(Elements!$B$3:$B$300="BASEMENT_WALL")),
"No match"
))</f>
        <v>CMF_1940_1_BASEMENT_WALL</v>
      </c>
      <c r="M3" s="76" t="str" cm="1">
        <f t="array" ref="M3">IF(
COUNTIFS(Elements!$A$3:$A$300,"*"&amp;Building!A3&amp;"*",Elements!$B$3:$B$300,"INT_WALL_LOADBEARING",Elements!$D$3:$D$300,"No matches found")&gt;0,
"No components assigned to this element",
IFERROR(
_xlfn._xlws.FILTER(Elements!$A$3:$A$300,(ISNUMBER(SEARCH(Building!A3,Elements!$A$3:$A$300)))*(Elements!$B$3:$B$300="INT_WALL_LOADBEARING")),
"No match"
))</f>
        <v>CMF_1940_1_INT_WALL_LOADBEARING</v>
      </c>
      <c r="N3" s="76" t="str" cm="1">
        <f t="array" ref="N3">IF(
COUNTIFS(Elements!$A$3:$A$300,"*"&amp;Building!A3&amp;"*",Elements!$B$3:$B$300,"INT_WALL_NONLOADBEARING",Elements!$D$3:$D$300,"No matches found")&gt;0,
"No components assigned to this element",
IFERROR(
_xlfn._xlws.FILTER(Elements!$A$3:$A$300,(ISNUMBER(SEARCH(Building!A3,Elements!$A$3:$A$300)))*(Elements!$B$3:$B$300="INT_WALL_NONLOADBEARING")),
"No match"
))</f>
        <v>CMF_1940_1_INT_WALL_NONLOADBEARING</v>
      </c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1:44" x14ac:dyDescent="0.2">
      <c r="A4" s="1" t="s">
        <v>29</v>
      </c>
      <c r="B4" s="65" t="s">
        <v>343</v>
      </c>
      <c r="C4" s="76" t="str" cm="1">
        <f t="array" ref="C4">IF(
COUNTIFS(Elements!$A$3:$A$300,"*"&amp;Building!A4&amp;"*",Elements!$B$3:$B$300,"ROOF",Elements!$D$3:$D$300,"No matches found")&gt;0,
"No components assigned to this element",
IFERROR(
_xlfn._xlws.FILTER(Elements!$A$3:$A$300,(ISNUMBER(SEARCH(Building!A4,Elements!$A$3:$A$300)))*(Elements!$B$3:$B$300="ROOF")),
"No match"
))</f>
        <v>CMF_1950_ROOF</v>
      </c>
      <c r="D4" s="76" t="str" cm="1">
        <f t="array" ref="D4">IF(
COUNTIFS(Elements!$A$3:$A$300,"*"&amp;Building!A4&amp;"*",Elements!$B$3:$B$300,"TOP_FLOOR",Elements!$D$3:$D$300,"No matches found")&gt;0,
"No components assigned to this element",
IFERROR(
_xlfn._xlws.FILTER(Elements!$A$3:$A$300,(ISNUMBER(SEARCH(Building!A4,Elements!$A$3:$A$300)))*(Elements!$B$3:$B$300="TOP_FLOOR")),
"No match"
))</f>
        <v>CMF_1950_TOP_FLOOR</v>
      </c>
      <c r="E4" s="76" t="str" cm="1">
        <f t="array" ref="E4">IF(
COUNTIFS(Elements!$A$3:$A$300,"*"&amp;Building!A4&amp;"*",Elements!$B$3:$B$300,"INTERMEDIATE_FLOOR",Elements!$D$3:$D$300,"No matches found")&gt;0,
"No components assigned to this element",
IFERROR(
_xlfn._xlws.FILTER(Elements!$A$3:$A$300,(ISNUMBER(SEARCH(Building!A4,Elements!$A$3:$A$300)))*(Elements!$B$3:$B$300="INTERMEDIATE_FLOOR")),
"No match"
))</f>
        <v>CMF_1950_INTERMEDIATE_FLOOR</v>
      </c>
      <c r="F4" s="76" t="str" cm="1">
        <f t="array" ref="F4">IF(
COUNTIFS(Elements!$A$3:$A$300,"*"&amp;Building!A4&amp;"*",Elements!$B$3:$B$300,"GROUND_FLOOR",Elements!$D$3:$D$300,"No matches found")&gt;0,
"No components assigned to this element",
IFERROR(
_xlfn._xlws.FILTER(Elements!$A$3:$A$300,(ISNUMBER(SEARCH(Building!A4,Elements!$A$3:$A$300)))*(Elements!$B$3:$B$300="GROUND_FLOOR")),
"No match"
))</f>
        <v>CMF_1950_GROUND_FLOOR</v>
      </c>
      <c r="G4" s="76" t="str" cm="1">
        <f t="array" ref="G4">IF(
COUNTIFS(Elements!$A$3:$A$300,"*"&amp;Building!A4&amp;"*",Elements!$B$3:$B$300,"BASEMENT_FLOOR",Elements!$D$3:$D$300,"No matches found")&gt;0,
"No components assigned to this element",
IFERROR(
_xlfn._xlws.FILTER(Elements!$A$3:$A$300,(ISNUMBER(SEARCH(Building!A4,Elements!$A$3:$A$300)))*(Elements!$B$3:$B$300="BASEMENT_FLOOR")),
"No match"
))</f>
        <v>CMF_1950_BASEMENT_FLOOR</v>
      </c>
      <c r="H4" s="76" t="str" cm="1">
        <f t="array" ref="H4">_xlfn.LET(
_xlpm.x,
IF(
COUNTIFS(Elements!$A$3:$A$300,"*"&amp;Building!A4&amp;"*",Elements!$B$3:$B$300,"EXT_WALL",Elements!$D$3:$D$300,"No matches found")&gt;0,
"No components assigned to this element",
IFERROR(
_xlfn._xlws.FILTER(Elements!$A$3:$A$300,(ISNUMBER(SEARCH(Building!A4,Elements!$A$3:$A$300)))*(Elements!$B$3:$B$300="EXT_WALL")),
"No match"
)
),
IF((_xlpm.x="No components assigned to this element")*(B4="Yes"),"Not required",_xlpm.x)
)</f>
        <v>Not required</v>
      </c>
      <c r="I4" s="76" t="str" cm="1">
        <f t="array" ref="I4">_xlfn.LET(
_xlpm.x,
IF(
COUNTIFS(Elements!$A$3:$A$300,"*"&amp;Building!A4&amp;"*",Elements!$B$3:$B$300,"EXT_WALL_LOW",Elements!$D$3:$D$300,"No matches found")&gt;0,
"No components assigned to this element",
IFERROR(
_xlfn._xlws.FILTER(Elements!$A$3:$A$300,(ISNUMBER(SEARCH(Building!A4,Elements!$A$3:$A$300)))*(Elements!$B$3:$B$300="EXT_WALL_LOW")),
"No match"
)
),
IF((_xlpm.x="No components assigned to this element")*(B4="No"),"Not required",_xlpm.x)
)</f>
        <v>CMF_1950_EXT_WALL_LOW</v>
      </c>
      <c r="J4" s="76" t="str" cm="1">
        <f t="array" ref="J4">_xlfn.LET(
_xlpm.x,
IF(
COUNTIFS(Elements!$A$3:$A$300,"*"&amp;Building!A4&amp;"*",Elements!$B$3:$B$300,"EXT_WALL_MEDIUM",Elements!$D$3:$D$300,"No matches found")&gt;0,
"No components assigned to this element",
IFERROR(
_xlfn._xlws.FILTER(Elements!$A$3:$A$300,(ISNUMBER(SEARCH(Building!A4,Elements!$A$3:$A$300)))*(Elements!$B$3:$B$300="EXT_WALL_MEDIUM")),
"No match"
)
),
IF((_xlpm.x="No components assigned to this element")*(B4="No"),"Not required",_xlpm.x))</f>
        <v>CMF_1950_EXT_WALL_MEDIUM</v>
      </c>
      <c r="K4" s="76" t="str" cm="1">
        <f t="array" ref="K4">_xlfn.LET(
_xlpm.x,
IF(
COUNTIFS(Elements!$A$3:$A$300,"*"&amp;Building!A4&amp;"*",Elements!$B$3:$B$300,"EXT_WALL_HIGH",Elements!$D$3:$D$300,"No matches found")&gt;0,
"No components assigned to this element",
IFERROR(
_xlfn._xlws.FILTER(Elements!$A$3:$A$300,(ISNUMBER(SEARCH(Building!A4,Elements!$A$3:$A$300)))*(Elements!$B$3:$B$300="EXT_WALL_HIGH")),
"No match"
)
),
IF((_xlpm.x="No components assigned to this element")*(B4="No"),"Not required",_xlpm.x))</f>
        <v>CMF_1950_EXT_WALL_HIGH</v>
      </c>
      <c r="L4" s="76" t="str" cm="1">
        <f t="array" ref="L4">IF(
COUNTIFS(Elements!$A$3:$A$300,"*"&amp;Building!A4&amp;"*",Elements!$B$3:$B$300,"BASEMENT_WALL",Elements!$D$3:$D$300,"No matches found")&gt;0,
"No components assigned to this element",
IFERROR(
_xlfn._xlws.FILTER(Elements!$A$3:$A$300,(ISNUMBER(SEARCH(Building!A4,Elements!$A$3:$A$300)))*(Elements!$B$3:$B$300="BASEMENT_WALL")),
"No match"
))</f>
        <v>CMF_1950_BASEMENT_WALL</v>
      </c>
      <c r="M4" s="76" t="str" cm="1">
        <f t="array" ref="M4">IF(
COUNTIFS(Elements!$A$3:$A$300,"*"&amp;Building!A4&amp;"*",Elements!$B$3:$B$300,"INT_WALL_LOADBEARING",Elements!$D$3:$D$300,"No matches found")&gt;0,
"No components assigned to this element",
IFERROR(
_xlfn._xlws.FILTER(Elements!$A$3:$A$300,(ISNUMBER(SEARCH(Building!A4,Elements!$A$3:$A$300)))*(Elements!$B$3:$B$300="INT_WALL_LOADBEARING")),
"No match"
))</f>
        <v>CMF_1950_INT_WALL_LOADBEARING</v>
      </c>
      <c r="N4" s="76" t="str" cm="1">
        <f t="array" ref="N4">IF(
COUNTIFS(Elements!$A$3:$A$300,"*"&amp;Building!A4&amp;"*",Elements!$B$3:$B$300,"INT_WALL_NONLOADBEARING",Elements!$D$3:$D$300,"No matches found")&gt;0,
"No components assigned to this element",
IFERROR(
_xlfn._xlws.FILTER(Elements!$A$3:$A$300,(ISNUMBER(SEARCH(Building!A4,Elements!$A$3:$A$300)))*(Elements!$B$3:$B$300="INT_WALL_NONLOADBEARING")),
"No match"
))</f>
        <v>CMF_1950_INT_WALL_NONLOADBEARING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x14ac:dyDescent="0.2">
      <c r="A5" s="1" t="s">
        <v>31</v>
      </c>
      <c r="B5" s="65" t="s">
        <v>342</v>
      </c>
      <c r="C5" s="76" t="str" cm="1">
        <f t="array" ref="C5">IF(
COUNTIFS(Elements!$A$3:$A$300,"*"&amp;Building!A5&amp;"*",Elements!$B$3:$B$300,"ROOF",Elements!$D$3:$D$300,"No matches found")&gt;0,
"No components assigned to this element",
IFERROR(
_xlfn._xlws.FILTER(Elements!$A$3:$A$300,(ISNUMBER(SEARCH(Building!A5,Elements!$A$3:$A$300)))*(Elements!$B$3:$B$300="ROOF")),
"No match"
))</f>
        <v>CMF_1960_1_ROOF</v>
      </c>
      <c r="D5" s="76" t="str" cm="1">
        <f t="array" ref="D5">IF(
COUNTIFS(Elements!$A$3:$A$300,"*"&amp;Building!A5&amp;"*",Elements!$B$3:$B$300,"TOP_FLOOR",Elements!$D$3:$D$300,"No matches found")&gt;0,
"No components assigned to this element",
IFERROR(
_xlfn._xlws.FILTER(Elements!$A$3:$A$300,(ISNUMBER(SEARCH(Building!A5,Elements!$A$3:$A$300)))*(Elements!$B$3:$B$300="TOP_FLOOR")),
"No match"
))</f>
        <v>CMF_1960_1_TOP_FLOOR</v>
      </c>
      <c r="E5" s="76" t="str" cm="1">
        <f t="array" ref="E5">IF(
COUNTIFS(Elements!$A$3:$A$300,"*"&amp;Building!A5&amp;"*",Elements!$B$3:$B$300,"INTERMEDIATE_FLOOR",Elements!$D$3:$D$300,"No matches found")&gt;0,
"No components assigned to this element",
IFERROR(
_xlfn._xlws.FILTER(Elements!$A$3:$A$300,(ISNUMBER(SEARCH(Building!A5,Elements!$A$3:$A$300)))*(Elements!$B$3:$B$300="INTERMEDIATE_FLOOR")),
"No match"
))</f>
        <v>CMF_1960_1_INTERMEDIATE_FLOOR</v>
      </c>
      <c r="F5" s="76" t="str" cm="1">
        <f t="array" ref="F5">IF(
COUNTIFS(Elements!$A$3:$A$300,"*"&amp;Building!A5&amp;"*",Elements!$B$3:$B$300,"GROUND_FLOOR",Elements!$D$3:$D$300,"No matches found")&gt;0,
"No components assigned to this element",
IFERROR(
_xlfn._xlws.FILTER(Elements!$A$3:$A$300,(ISNUMBER(SEARCH(Building!A5,Elements!$A$3:$A$300)))*(Elements!$B$3:$B$300="GROUND_FLOOR")),
"No match"
))</f>
        <v>CMF_1960_1_GROUND_FLOOR</v>
      </c>
      <c r="G5" s="76" t="str" cm="1">
        <f t="array" ref="G5">IF(
COUNTIFS(Elements!$A$3:$A$300,"*"&amp;Building!A5&amp;"*",Elements!$B$3:$B$300,"BASEMENT_FLOOR",Elements!$D$3:$D$300,"No matches found")&gt;0,
"No components assigned to this element",
IFERROR(
_xlfn._xlws.FILTER(Elements!$A$3:$A$300,(ISNUMBER(SEARCH(Building!A5,Elements!$A$3:$A$300)))*(Elements!$B$3:$B$300="BASEMENT_FLOOR")),
"No match"
))</f>
        <v>CMF_1960_1_BASEMENT_FLOOR</v>
      </c>
      <c r="H5" s="76" t="str" cm="1">
        <f t="array" ref="H5">_xlfn.LET(
_xlpm.x,
IF(
COUNTIFS(Elements!$A$3:$A$300,"*"&amp;Building!A5&amp;"*",Elements!$B$3:$B$300,"EXT_WALL",Elements!$D$3:$D$300,"No matches found")&gt;0,
"No components assigned to this element",
IFERROR(
_xlfn._xlws.FILTER(Elements!$A$3:$A$300,(ISNUMBER(SEARCH(Building!A5,Elements!$A$3:$A$300)))*(Elements!$B$3:$B$300="EXT_WALL")),
"No match"
)
),
IF((_xlpm.x="No components assigned to this element")*(B5="Yes"),"Not required",_xlpm.x)
)</f>
        <v>CMF_1960_1_EXT_WALL</v>
      </c>
      <c r="I5" s="76" t="str" cm="1">
        <f t="array" ref="I5">_xlfn.LET(
_xlpm.x,
IF(
COUNTIFS(Elements!$A$3:$A$300,"*"&amp;Building!A5&amp;"*",Elements!$B$3:$B$300,"EXT_WALL_LOW",Elements!$D$3:$D$300,"No matches found")&gt;0,
"No components assigned to this element",
IFERROR(
_xlfn._xlws.FILTER(Elements!$A$3:$A$300,(ISNUMBER(SEARCH(Building!A5,Elements!$A$3:$A$300)))*(Elements!$B$3:$B$300="EXT_WALL_LOW")),
"No match"
)
),
IF((_xlpm.x="No components assigned to this element")*(B5="No"),"Not required",_xlpm.x)
)</f>
        <v>Not required</v>
      </c>
      <c r="J5" s="76" t="str" cm="1">
        <f t="array" ref="J5">_xlfn.LET(
_xlpm.x,
IF(
COUNTIFS(Elements!$A$3:$A$300,"*"&amp;Building!A5&amp;"*",Elements!$B$3:$B$300,"EXT_WALL_MEDIUM",Elements!$D$3:$D$300,"No matches found")&gt;0,
"No components assigned to this element",
IFERROR(
_xlfn._xlws.FILTER(Elements!$A$3:$A$300,(ISNUMBER(SEARCH(Building!A5,Elements!$A$3:$A$300)))*(Elements!$B$3:$B$300="EXT_WALL_MEDIUM")),
"No match"
)
),
IF((_xlpm.x="No components assigned to this element")*(B5="No"),"Not required",_xlpm.x))</f>
        <v>Not required</v>
      </c>
      <c r="K5" s="76" t="str" cm="1">
        <f t="array" ref="K5">_xlfn.LET(
_xlpm.x,
IF(
COUNTIFS(Elements!$A$3:$A$300,"*"&amp;Building!A5&amp;"*",Elements!$B$3:$B$300,"EXT_WALL_HIGH",Elements!$D$3:$D$300,"No matches found")&gt;0,
"No components assigned to this element",
IFERROR(
_xlfn._xlws.FILTER(Elements!$A$3:$A$300,(ISNUMBER(SEARCH(Building!A5,Elements!$A$3:$A$300)))*(Elements!$B$3:$B$300="EXT_WALL_HIGH")),
"No match"
)
),
IF((_xlpm.x="No components assigned to this element")*(B5="No"),"Not required",_xlpm.x))</f>
        <v>Not required</v>
      </c>
      <c r="L5" s="76" t="str" cm="1">
        <f t="array" ref="L5">IF(
COUNTIFS(Elements!$A$3:$A$300,"*"&amp;Building!A5&amp;"*",Elements!$B$3:$B$300,"BASEMENT_WALL",Elements!$D$3:$D$300,"No matches found")&gt;0,
"No components assigned to this element",
IFERROR(
_xlfn._xlws.FILTER(Elements!$A$3:$A$300,(ISNUMBER(SEARCH(Building!A5,Elements!$A$3:$A$300)))*(Elements!$B$3:$B$300="BASEMENT_WALL")),
"No match"
))</f>
        <v>CMF_1960_1_BASEMENT_WALL</v>
      </c>
      <c r="M5" s="76" t="str" cm="1">
        <f t="array" ref="M5">IF(
COUNTIFS(Elements!$A$3:$A$300,"*"&amp;Building!A5&amp;"*",Elements!$B$3:$B$300,"INT_WALL_LOADBEARING",Elements!$D$3:$D$300,"No matches found")&gt;0,
"No components assigned to this element",
IFERROR(
_xlfn._xlws.FILTER(Elements!$A$3:$A$300,(ISNUMBER(SEARCH(Building!A5,Elements!$A$3:$A$300)))*(Elements!$B$3:$B$300="INT_WALL_LOADBEARING")),
"No match"
))</f>
        <v>CMF_1960_1_INT_WALL_LOADBEARING</v>
      </c>
      <c r="N5" s="76" t="str" cm="1">
        <f t="array" ref="N5">IF(
COUNTIFS(Elements!$A$3:$A$300,"*"&amp;Building!A5&amp;"*",Elements!$B$3:$B$300,"INT_WALL_NONLOADBEARING",Elements!$D$3:$D$300,"No matches found")&gt;0,
"No components assigned to this element",
IFERROR(
_xlfn._xlws.FILTER(Elements!$A$3:$A$300,(ISNUMBER(SEARCH(Building!A5,Elements!$A$3:$A$300)))*(Elements!$B$3:$B$300="INT_WALL_NONLOADBEARING")),
"No match"
))</f>
        <v>CMF_1960_1_INT_WALL_NONLOADBEARING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x14ac:dyDescent="0.2">
      <c r="A6" s="1" t="s">
        <v>34</v>
      </c>
      <c r="B6" s="65" t="s">
        <v>342</v>
      </c>
      <c r="C6" s="76" t="str" cm="1">
        <f t="array" ref="C6">IF(
COUNTIFS(Elements!$A$3:$A$300,"*"&amp;Building!A6&amp;"*",Elements!$B$3:$B$300,"ROOF",Elements!$D$3:$D$300,"No matches found")&gt;0,
"No components assigned to this element",
IFERROR(
_xlfn._xlws.FILTER(Elements!$A$3:$A$300,(ISNUMBER(SEARCH(Building!A6,Elements!$A$3:$A$300)))*(Elements!$B$3:$B$300="ROOF")),
"No match"
))</f>
        <v>CMF_1960_2_ROOF</v>
      </c>
      <c r="D6" s="76" t="str" cm="1">
        <f t="array" ref="D6">IF(
COUNTIFS(Elements!$A$3:$A$300,"*"&amp;Building!A6&amp;"*",Elements!$B$3:$B$300,"TOP_FLOOR",Elements!$D$3:$D$300,"No matches found")&gt;0,
"No components assigned to this element",
IFERROR(
_xlfn._xlws.FILTER(Elements!$A$3:$A$300,(ISNUMBER(SEARCH(Building!A6,Elements!$A$3:$A$300)))*(Elements!$B$3:$B$300="TOP_FLOOR")),
"No match"
))</f>
        <v>CMF_1960_2_TOP_FLOOR</v>
      </c>
      <c r="E6" s="76" t="str" cm="1">
        <f t="array" ref="E6">IF(
COUNTIFS(Elements!$A$3:$A$300,"*"&amp;Building!A6&amp;"*",Elements!$B$3:$B$300,"INTERMEDIATE_FLOOR",Elements!$D$3:$D$300,"No matches found")&gt;0,
"No components assigned to this element",
IFERROR(
_xlfn._xlws.FILTER(Elements!$A$3:$A$300,(ISNUMBER(SEARCH(Building!A6,Elements!$A$3:$A$300)))*(Elements!$B$3:$B$300="INTERMEDIATE_FLOOR")),
"No match"
))</f>
        <v>CMF_1960_2_INTERMEDIATE_FLOOR</v>
      </c>
      <c r="F6" s="76" t="str" cm="1">
        <f t="array" ref="F6">IF(
COUNTIFS(Elements!$A$3:$A$300,"*"&amp;Building!A6&amp;"*",Elements!$B$3:$B$300,"GROUND_FLOOR",Elements!$D$3:$D$300,"No matches found")&gt;0,
"No components assigned to this element",
IFERROR(
_xlfn._xlws.FILTER(Elements!$A$3:$A$300,(ISNUMBER(SEARCH(Building!A6,Elements!$A$3:$A$300)))*(Elements!$B$3:$B$300="GROUND_FLOOR")),
"No match"
))</f>
        <v>CMF_1960_2_GROUND_FLOOR</v>
      </c>
      <c r="G6" s="76" t="str" cm="1">
        <f t="array" ref="G6">IF(
COUNTIFS(Elements!$A$3:$A$300,"*"&amp;Building!A6&amp;"*",Elements!$B$3:$B$300,"BASEMENT_FLOOR",Elements!$D$3:$D$300,"No matches found")&gt;0,
"No components assigned to this element",
IFERROR(
_xlfn._xlws.FILTER(Elements!$A$3:$A$300,(ISNUMBER(SEARCH(Building!A6,Elements!$A$3:$A$300)))*(Elements!$B$3:$B$300="BASEMENT_FLOOR")),
"No match"
))</f>
        <v>CMF_1960_2_BASEMENT_FLOOR</v>
      </c>
      <c r="H6" s="76" t="str" cm="1">
        <f t="array" ref="H6">_xlfn.LET(
_xlpm.x,
IF(
COUNTIFS(Elements!$A$3:$A$300,"*"&amp;Building!A6&amp;"*",Elements!$B$3:$B$300,"EXT_WALL",Elements!$D$3:$D$300,"No matches found")&gt;0,
"No components assigned to this element",
IFERROR(
_xlfn._xlws.FILTER(Elements!$A$3:$A$300,(ISNUMBER(SEARCH(Building!A6,Elements!$A$3:$A$300)))*(Elements!$B$3:$B$300="EXT_WALL")),
"No match"
)
),
IF((_xlpm.x="No components assigned to this element")*(B6="Yes"),"Not required",_xlpm.x)
)</f>
        <v>CMF_1960_2_EXT_WALL</v>
      </c>
      <c r="I6" s="76" t="str" cm="1">
        <f t="array" ref="I6">_xlfn.LET(
_xlpm.x,
IF(
COUNTIFS(Elements!$A$3:$A$300,"*"&amp;Building!A6&amp;"*",Elements!$B$3:$B$300,"EXT_WALL_LOW",Elements!$D$3:$D$300,"No matches found")&gt;0,
"No components assigned to this element",
IFERROR(
_xlfn._xlws.FILTER(Elements!$A$3:$A$300,(ISNUMBER(SEARCH(Building!A6,Elements!$A$3:$A$300)))*(Elements!$B$3:$B$300="EXT_WALL_LOW")),
"No match"
)
),
IF((_xlpm.x="No components assigned to this element")*(B6="No"),"Not required",_xlpm.x)
)</f>
        <v>Not required</v>
      </c>
      <c r="J6" s="76" t="str" cm="1">
        <f t="array" ref="J6">_xlfn.LET(
_xlpm.x,
IF(
COUNTIFS(Elements!$A$3:$A$300,"*"&amp;Building!A6&amp;"*",Elements!$B$3:$B$300,"EXT_WALL_MEDIUM",Elements!$D$3:$D$300,"No matches found")&gt;0,
"No components assigned to this element",
IFERROR(
_xlfn._xlws.FILTER(Elements!$A$3:$A$300,(ISNUMBER(SEARCH(Building!A6,Elements!$A$3:$A$300)))*(Elements!$B$3:$B$300="EXT_WALL_MEDIUM")),
"No match"
)
),
IF((_xlpm.x="No components assigned to this element")*(B6="No"),"Not required",_xlpm.x))</f>
        <v>Not required</v>
      </c>
      <c r="K6" s="76" t="str" cm="1">
        <f t="array" ref="K6">_xlfn.LET(
_xlpm.x,
IF(
COUNTIFS(Elements!$A$3:$A$300,"*"&amp;Building!A6&amp;"*",Elements!$B$3:$B$300,"EXT_WALL_HIGH",Elements!$D$3:$D$300,"No matches found")&gt;0,
"No components assigned to this element",
IFERROR(
_xlfn._xlws.FILTER(Elements!$A$3:$A$300,(ISNUMBER(SEARCH(Building!A6,Elements!$A$3:$A$300)))*(Elements!$B$3:$B$300="EXT_WALL_HIGH")),
"No match"
)
),
IF((_xlpm.x="No components assigned to this element")*(B6="No"),"Not required",_xlpm.x))</f>
        <v>Not required</v>
      </c>
      <c r="L6" s="76" t="str" cm="1">
        <f t="array" ref="L6">IF(
COUNTIFS(Elements!$A$3:$A$300,"*"&amp;Building!A6&amp;"*",Elements!$B$3:$B$300,"BASEMENT_WALL",Elements!$D$3:$D$300,"No matches found")&gt;0,
"No components assigned to this element",
IFERROR(
_xlfn._xlws.FILTER(Elements!$A$3:$A$300,(ISNUMBER(SEARCH(Building!A6,Elements!$A$3:$A$300)))*(Elements!$B$3:$B$300="BASEMENT_WALL")),
"No match"
))</f>
        <v>CMF_1960_2_BASEMENT_WALL</v>
      </c>
      <c r="M6" s="76" t="str" cm="1">
        <f t="array" ref="M6">IF(
COUNTIFS(Elements!$A$3:$A$300,"*"&amp;Building!A6&amp;"*",Elements!$B$3:$B$300,"INT_WALL_LOADBEARING",Elements!$D$3:$D$300,"No matches found")&gt;0,
"No components assigned to this element",
IFERROR(
_xlfn._xlws.FILTER(Elements!$A$3:$A$300,(ISNUMBER(SEARCH(Building!A6,Elements!$A$3:$A$300)))*(Elements!$B$3:$B$300="INT_WALL_LOADBEARING")),
"No match"
))</f>
        <v>CMF_1960_2_INT_WALL_LOADBEARING</v>
      </c>
      <c r="N6" s="76" t="str" cm="1">
        <f t="array" ref="N6">IF(
COUNTIFS(Elements!$A$3:$A$300,"*"&amp;Building!A6&amp;"*",Elements!$B$3:$B$300,"INT_WALL_NONLOADBEARING",Elements!$D$3:$D$300,"No matches found")&gt;0,
"No components assigned to this element",
IFERROR(
_xlfn._xlws.FILTER(Elements!$A$3:$A$300,(ISNUMBER(SEARCH(Building!A6,Elements!$A$3:$A$300)))*(Elements!$B$3:$B$300="INT_WALL_NONLOADBEARING")),
"No match"
))</f>
        <v>CMF_1960_2_INT_WALL_NONLOADBEARING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x14ac:dyDescent="0.2">
      <c r="A7" s="33" t="s">
        <v>38</v>
      </c>
      <c r="B7" s="65" t="s">
        <v>342</v>
      </c>
      <c r="C7" s="76" t="str" cm="1">
        <f t="array" ref="C7">IF(
COUNTIFS(Elements!$A$3:$A$300,"*"&amp;Building!A7&amp;"*",Elements!$B$3:$B$300,"ROOF",Elements!$D$3:$D$300,"No matches found")&gt;0,
"No components assigned to this element",
IFERROR(
_xlfn._xlws.FILTER(Elements!$A$3:$A$300,(ISNUMBER(SEARCH(Building!A7,Elements!$A$3:$A$300)))*(Elements!$B$3:$B$300="ROOF")),
"No match"
))</f>
        <v>CMF_1970_ROOF</v>
      </c>
      <c r="D7" s="76" t="str" cm="1">
        <f t="array" ref="D7">IF(
COUNTIFS(Elements!$A$3:$A$300,"*"&amp;Building!A7&amp;"*",Elements!$B$3:$B$300,"TOP_FLOOR",Elements!$D$3:$D$300,"No matches found")&gt;0,
"No components assigned to this element",
IFERROR(
_xlfn._xlws.FILTER(Elements!$A$3:$A$300,(ISNUMBER(SEARCH(Building!A7,Elements!$A$3:$A$300)))*(Elements!$B$3:$B$300="TOP_FLOOR")),
"No match"
))</f>
        <v>CMF_1970_TOP_FLOOR</v>
      </c>
      <c r="E7" s="76" t="str" cm="1">
        <f t="array" ref="E7">IF(
COUNTIFS(Elements!$A$3:$A$300,"*"&amp;Building!A7&amp;"*",Elements!$B$3:$B$300,"INTERMEDIATE_FLOOR",Elements!$D$3:$D$300,"No matches found")&gt;0,
"No components assigned to this element",
IFERROR(
_xlfn._xlws.FILTER(Elements!$A$3:$A$300,(ISNUMBER(SEARCH(Building!A7,Elements!$A$3:$A$300)))*(Elements!$B$3:$B$300="INTERMEDIATE_FLOOR")),
"No match"
))</f>
        <v>CMF_1970_INTERMEDIATE_FLOOR</v>
      </c>
      <c r="F7" s="76" t="str" cm="1">
        <f t="array" ref="F7">IF(
COUNTIFS(Elements!$A$3:$A$300,"*"&amp;Building!A7&amp;"*",Elements!$B$3:$B$300,"GROUND_FLOOR",Elements!$D$3:$D$300,"No matches found")&gt;0,
"No components assigned to this element",
IFERROR(
_xlfn._xlws.FILTER(Elements!$A$3:$A$300,(ISNUMBER(SEARCH(Building!A7,Elements!$A$3:$A$300)))*(Elements!$B$3:$B$300="GROUND_FLOOR")),
"No match"
))</f>
        <v>CMF_1970_GROUND_FLOOR</v>
      </c>
      <c r="G7" s="76" t="str" cm="1">
        <f t="array" ref="G7">IF(
COUNTIFS(Elements!$A$3:$A$300,"*"&amp;Building!A7&amp;"*",Elements!$B$3:$B$300,"BASEMENT_FLOOR",Elements!$D$3:$D$300,"No matches found")&gt;0,
"No components assigned to this element",
IFERROR(
_xlfn._xlws.FILTER(Elements!$A$3:$A$300,(ISNUMBER(SEARCH(Building!A7,Elements!$A$3:$A$300)))*(Elements!$B$3:$B$300="BASEMENT_FLOOR")),
"No match"
))</f>
        <v>CMF_1970_BASEMENT_FLOOR</v>
      </c>
      <c r="H7" s="76" t="str" cm="1">
        <f t="array" ref="H7">_xlfn.LET(
_xlpm.x,
IF(
COUNTIFS(Elements!$A$3:$A$300,"*"&amp;Building!A7&amp;"*",Elements!$B$3:$B$300,"EXT_WALL",Elements!$D$3:$D$300,"No matches found")&gt;0,
"No components assigned to this element",
IFERROR(
_xlfn._xlws.FILTER(Elements!$A$3:$A$300,(ISNUMBER(SEARCH(Building!A7,Elements!$A$3:$A$300)))*(Elements!$B$3:$B$300="EXT_WALL")),
"No match"
)
),
IF((_xlpm.x="No components assigned to this element")*(B7="Yes"),"Not required",_xlpm.x)
)</f>
        <v>CMF_1970_EXT_WALL</v>
      </c>
      <c r="I7" s="76" t="str" cm="1">
        <f t="array" ref="I7">_xlfn.LET(
_xlpm.x,
IF(
COUNTIFS(Elements!$A$3:$A$300,"*"&amp;Building!A7&amp;"*",Elements!$B$3:$B$300,"EXT_WALL_LOW",Elements!$D$3:$D$300,"No matches found")&gt;0,
"No components assigned to this element",
IFERROR(
_xlfn._xlws.FILTER(Elements!$A$3:$A$300,(ISNUMBER(SEARCH(Building!A7,Elements!$A$3:$A$300)))*(Elements!$B$3:$B$300="EXT_WALL_LOW")),
"No match"
)
),
IF((_xlpm.x="No components assigned to this element")*(B7="No"),"Not required",_xlpm.x)
)</f>
        <v>Not required</v>
      </c>
      <c r="J7" s="76" t="str" cm="1">
        <f t="array" ref="J7">_xlfn.LET(
_xlpm.x,
IF(
COUNTIFS(Elements!$A$3:$A$300,"*"&amp;Building!A7&amp;"*",Elements!$B$3:$B$300,"EXT_WALL_MEDIUM",Elements!$D$3:$D$300,"No matches found")&gt;0,
"No components assigned to this element",
IFERROR(
_xlfn._xlws.FILTER(Elements!$A$3:$A$300,(ISNUMBER(SEARCH(Building!A7,Elements!$A$3:$A$300)))*(Elements!$B$3:$B$300="EXT_WALL_MEDIUM")),
"No match"
)
),
IF((_xlpm.x="No components assigned to this element")*(B7="No"),"Not required",_xlpm.x))</f>
        <v>Not required</v>
      </c>
      <c r="K7" s="76" t="str" cm="1">
        <f t="array" ref="K7">_xlfn.LET(
_xlpm.x,
IF(
COUNTIFS(Elements!$A$3:$A$300,"*"&amp;Building!A7&amp;"*",Elements!$B$3:$B$300,"EXT_WALL_HIGH",Elements!$D$3:$D$300,"No matches found")&gt;0,
"No components assigned to this element",
IFERROR(
_xlfn._xlws.FILTER(Elements!$A$3:$A$300,(ISNUMBER(SEARCH(Building!A7,Elements!$A$3:$A$300)))*(Elements!$B$3:$B$300="EXT_WALL_HIGH")),
"No match"
)
),
IF((_xlpm.x="No components assigned to this element")*(B7="No"),"Not required",_xlpm.x))</f>
        <v>Not required</v>
      </c>
      <c r="L7" s="76" t="str" cm="1">
        <f t="array" ref="L7">IF(
COUNTIFS(Elements!$A$3:$A$300,"*"&amp;Building!A7&amp;"*",Elements!$B$3:$B$300,"BASEMENT_WALL",Elements!$D$3:$D$300,"No matches found")&gt;0,
"No components assigned to this element",
IFERROR(
_xlfn._xlws.FILTER(Elements!$A$3:$A$300,(ISNUMBER(SEARCH(Building!A7,Elements!$A$3:$A$300)))*(Elements!$B$3:$B$300="BASEMENT_WALL")),
"No match"
))</f>
        <v>CMF_1970_BASEMENT_WALL</v>
      </c>
      <c r="M7" s="76" t="str" cm="1">
        <f t="array" ref="M7">IF(
COUNTIFS(Elements!$A$3:$A$300,"*"&amp;Building!A7&amp;"*",Elements!$B$3:$B$300,"INT_WALL_LOADBEARING",Elements!$D$3:$D$300,"No matches found")&gt;0,
"No components assigned to this element",
IFERROR(
_xlfn._xlws.FILTER(Elements!$A$3:$A$300,(ISNUMBER(SEARCH(Building!A7,Elements!$A$3:$A$300)))*(Elements!$B$3:$B$300="INT_WALL_LOADBEARING")),
"No match"
))</f>
        <v>CMF_1970_INT_WALL_LOADBEARING</v>
      </c>
      <c r="N7" s="76" t="str" cm="1">
        <f t="array" ref="N7">IF(
COUNTIFS(Elements!$A$3:$A$300,"*"&amp;Building!A7&amp;"*",Elements!$B$3:$B$300,"INT_WALL_NONLOADBEARING",Elements!$D$3:$D$300,"No matches found")&gt;0,
"No components assigned to this element",
IFERROR(
_xlfn._xlws.FILTER(Elements!$A$3:$A$300,(ISNUMBER(SEARCH(Building!A7,Elements!$A$3:$A$300)))*(Elements!$B$3:$B$300="INT_WALL_NONLOADBEARING")),
"No match"
))</f>
        <v>CMF_1970_INT_WALL_NONLOADBEARING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x14ac:dyDescent="0.2">
      <c r="A8" s="33" t="s">
        <v>41</v>
      </c>
      <c r="B8" s="65" t="s">
        <v>342</v>
      </c>
      <c r="C8" s="76" t="str" cm="1">
        <f t="array" ref="C8">IF(
COUNTIFS(Elements!$A$3:$A$300,"*"&amp;Building!A8&amp;"*",Elements!$B$3:$B$300,"ROOF",Elements!$D$3:$D$300,"No matches found")&gt;0,
"No components assigned to this element",
IFERROR(
_xlfn._xlws.FILTER(Elements!$A$3:$A$300,(ISNUMBER(SEARCH(Building!A8,Elements!$A$3:$A$300)))*(Elements!$B$3:$B$300="ROOF")),
"No match"
))</f>
        <v>CMF_1980_ROOF</v>
      </c>
      <c r="D8" s="76" t="str" cm="1">
        <f t="array" ref="D8">IF(
COUNTIFS(Elements!$A$3:$A$300,"*"&amp;Building!A8&amp;"*",Elements!$B$3:$B$300,"TOP_FLOOR",Elements!$D$3:$D$300,"No matches found")&gt;0,
"No components assigned to this element",
IFERROR(
_xlfn._xlws.FILTER(Elements!$A$3:$A$300,(ISNUMBER(SEARCH(Building!A8,Elements!$A$3:$A$300)))*(Elements!$B$3:$B$300="TOP_FLOOR")),
"No match"
))</f>
        <v>CMF_1980_TOP_FLOOR</v>
      </c>
      <c r="E8" s="76" t="str" cm="1">
        <f t="array" ref="E8">IF(
COUNTIFS(Elements!$A$3:$A$300,"*"&amp;Building!A8&amp;"*",Elements!$B$3:$B$300,"INTERMEDIATE_FLOOR",Elements!$D$3:$D$300,"No matches found")&gt;0,
"No components assigned to this element",
IFERROR(
_xlfn._xlws.FILTER(Elements!$A$3:$A$300,(ISNUMBER(SEARCH(Building!A8,Elements!$A$3:$A$300)))*(Elements!$B$3:$B$300="INTERMEDIATE_FLOOR")),
"No match"
))</f>
        <v>CMF_1980_INTERMEDIATE_FLOOR</v>
      </c>
      <c r="F8" s="76" t="str" cm="1">
        <f t="array" ref="F8">IF(
COUNTIFS(Elements!$A$3:$A$300,"*"&amp;Building!A8&amp;"*",Elements!$B$3:$B$300,"GROUND_FLOOR",Elements!$D$3:$D$300,"No matches found")&gt;0,
"No components assigned to this element",
IFERROR(
_xlfn._xlws.FILTER(Elements!$A$3:$A$300,(ISNUMBER(SEARCH(Building!A8,Elements!$A$3:$A$300)))*(Elements!$B$3:$B$300="GROUND_FLOOR")),
"No match"
))</f>
        <v>CMF_1980_GROUND_FLOOR</v>
      </c>
      <c r="G8" s="76" t="str" cm="1">
        <f t="array" ref="G8">IF(
COUNTIFS(Elements!$A$3:$A$300,"*"&amp;Building!A8&amp;"*",Elements!$B$3:$B$300,"BASEMENT_FLOOR",Elements!$D$3:$D$300,"No matches found")&gt;0,
"No components assigned to this element",
IFERROR(
_xlfn._xlws.FILTER(Elements!$A$3:$A$300,(ISNUMBER(SEARCH(Building!A8,Elements!$A$3:$A$300)))*(Elements!$B$3:$B$300="BASEMENT_FLOOR")),
"No match"
))</f>
        <v>CMF_1980_BASEMENT_FLOOR</v>
      </c>
      <c r="H8" s="76" t="str" cm="1">
        <f t="array" ref="H8">_xlfn.LET(
_xlpm.x,
IF(
COUNTIFS(Elements!$A$3:$A$300,"*"&amp;Building!A8&amp;"*",Elements!$B$3:$B$300,"EXT_WALL",Elements!$D$3:$D$300,"No matches found")&gt;0,
"No components assigned to this element",
IFERROR(
_xlfn._xlws.FILTER(Elements!$A$3:$A$300,(ISNUMBER(SEARCH(Building!A8,Elements!$A$3:$A$300)))*(Elements!$B$3:$B$300="EXT_WALL")),
"No match"
)
),
IF((_xlpm.x="No components assigned to this element")*(B8="Yes"),"Not required",_xlpm.x)
)</f>
        <v>CMF_1980_EXT_WALL</v>
      </c>
      <c r="I8" s="76" t="str" cm="1">
        <f t="array" ref="I8">_xlfn.LET(
_xlpm.x,
IF(
COUNTIFS(Elements!$A$3:$A$300,"*"&amp;Building!A8&amp;"*",Elements!$B$3:$B$300,"EXT_WALL_LOW",Elements!$D$3:$D$300,"No matches found")&gt;0,
"No components assigned to this element",
IFERROR(
_xlfn._xlws.FILTER(Elements!$A$3:$A$300,(ISNUMBER(SEARCH(Building!A8,Elements!$A$3:$A$300)))*(Elements!$B$3:$B$300="EXT_WALL_LOW")),
"No match"
)
),
IF((_xlpm.x="No components assigned to this element")*(B8="No"),"Not required",_xlpm.x)
)</f>
        <v>Not required</v>
      </c>
      <c r="J8" s="76" t="str" cm="1">
        <f t="array" ref="J8">_xlfn.LET(
_xlpm.x,
IF(
COUNTIFS(Elements!$A$3:$A$300,"*"&amp;Building!A8&amp;"*",Elements!$B$3:$B$300,"EXT_WALL_MEDIUM",Elements!$D$3:$D$300,"No matches found")&gt;0,
"No components assigned to this element",
IFERROR(
_xlfn._xlws.FILTER(Elements!$A$3:$A$300,(ISNUMBER(SEARCH(Building!A8,Elements!$A$3:$A$300)))*(Elements!$B$3:$B$300="EXT_WALL_MEDIUM")),
"No match"
)
),
IF((_xlpm.x="No components assigned to this element")*(B8="No"),"Not required",_xlpm.x))</f>
        <v>Not required</v>
      </c>
      <c r="K8" s="76" t="str" cm="1">
        <f t="array" ref="K8">_xlfn.LET(
_xlpm.x,
IF(
COUNTIFS(Elements!$A$3:$A$300,"*"&amp;Building!A8&amp;"*",Elements!$B$3:$B$300,"EXT_WALL_HIGH",Elements!$D$3:$D$300,"No matches found")&gt;0,
"No components assigned to this element",
IFERROR(
_xlfn._xlws.FILTER(Elements!$A$3:$A$300,(ISNUMBER(SEARCH(Building!A8,Elements!$A$3:$A$300)))*(Elements!$B$3:$B$300="EXT_WALL_HIGH")),
"No match"
)
),
IF((_xlpm.x="No components assigned to this element")*(B8="No"),"Not required",_xlpm.x))</f>
        <v>Not required</v>
      </c>
      <c r="L8" s="76" t="str" cm="1">
        <f t="array" ref="L8">IF(
COUNTIFS(Elements!$A$3:$A$300,"*"&amp;Building!A8&amp;"*",Elements!$B$3:$B$300,"BASEMENT_WALL",Elements!$D$3:$D$300,"No matches found")&gt;0,
"No components assigned to this element",
IFERROR(
_xlfn._xlws.FILTER(Elements!$A$3:$A$300,(ISNUMBER(SEARCH(Building!A8,Elements!$A$3:$A$300)))*(Elements!$B$3:$B$300="BASEMENT_WALL")),
"No match"
))</f>
        <v>CMF_1980_BASEMENT_WALL</v>
      </c>
      <c r="M8" s="76" t="str" cm="1">
        <f t="array" ref="M8">IF(
COUNTIFS(Elements!$A$3:$A$300,"*"&amp;Building!A8&amp;"*",Elements!$B$3:$B$300,"INT_WALL_LOADBEARING",Elements!$D$3:$D$300,"No matches found")&gt;0,
"No components assigned to this element",
IFERROR(
_xlfn._xlws.FILTER(Elements!$A$3:$A$300,(ISNUMBER(SEARCH(Building!A8,Elements!$A$3:$A$300)))*(Elements!$B$3:$B$300="INT_WALL_LOADBEARING")),
"No match"
))</f>
        <v>CMF_1980_INT_WALL_LOADBEARING</v>
      </c>
      <c r="N8" s="76" t="str" cm="1">
        <f t="array" ref="N8">IF(
COUNTIFS(Elements!$A$3:$A$300,"*"&amp;Building!A8&amp;"*",Elements!$B$3:$B$300,"INT_WALL_NONLOADBEARING",Elements!$D$3:$D$300,"No matches found")&gt;0,
"No components assigned to this element",
IFERROR(
_xlfn._xlws.FILTER(Elements!$A$3:$A$300,(ISNUMBER(SEARCH(Building!A8,Elements!$A$3:$A$300)))*(Elements!$B$3:$B$300="INT_WALL_NONLOADBEARING")),
"No match"
))</f>
        <v>CMF_1980_INT_WALL_NONLOADBEARING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x14ac:dyDescent="0.2">
      <c r="A9" s="29"/>
      <c r="B9" s="29"/>
      <c r="C9" s="29"/>
      <c r="D9" s="29"/>
      <c r="E9" s="60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x14ac:dyDescent="0.2">
      <c r="A12" s="29"/>
      <c r="B12" s="29"/>
      <c r="C12" s="29"/>
      <c r="D12" s="29"/>
      <c r="E12" s="60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x14ac:dyDescent="0.2">
      <c r="A13" s="29"/>
      <c r="B13" s="29"/>
      <c r="C13" s="29"/>
      <c r="D13" s="29"/>
      <c r="E13" s="60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x14ac:dyDescent="0.2">
      <c r="A14" s="29"/>
      <c r="B14" s="29"/>
      <c r="C14" s="29"/>
      <c r="D14" s="29"/>
      <c r="E14" s="60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x14ac:dyDescent="0.2">
      <c r="A15" s="29"/>
      <c r="B15" s="29"/>
      <c r="C15" s="29"/>
      <c r="D15" s="29"/>
      <c r="E15" s="60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x14ac:dyDescent="0.2">
      <c r="A16" s="29"/>
      <c r="B16" s="29"/>
      <c r="C16" s="29"/>
      <c r="D16" s="29"/>
      <c r="E16" s="60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x14ac:dyDescent="0.2">
      <c r="A17" s="29"/>
      <c r="B17" s="29"/>
      <c r="C17" s="29"/>
      <c r="D17" s="29"/>
      <c r="E17" s="6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x14ac:dyDescent="0.2">
      <c r="A18" s="29"/>
      <c r="B18" s="29"/>
      <c r="C18" s="29"/>
      <c r="D18" s="29"/>
      <c r="E18" s="6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x14ac:dyDescent="0.2">
      <c r="A19" s="29"/>
      <c r="B19" s="29"/>
      <c r="C19" s="29"/>
      <c r="D19" s="29"/>
      <c r="E19" s="6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x14ac:dyDescent="0.2">
      <c r="A20" s="29"/>
      <c r="B20" s="29"/>
      <c r="C20" s="29"/>
      <c r="D20" s="29"/>
      <c r="E20" s="6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</sheetData>
  <phoneticPr fontId="15" type="noConversion"/>
  <conditionalFormatting sqref="C3:N8">
    <cfRule type="containsText" dxfId="2" priority="1" operator="containsText" text="No match">
      <formula>NOT(ISERROR(SEARCH("No match",C3)))</formula>
    </cfRule>
    <cfRule type="containsText" dxfId="1" priority="3" operator="containsText" text="No components assigned to this element">
      <formula>NOT(ISERROR(SEARCH("No components assigned to this element",C3)))</formula>
    </cfRule>
  </conditionalFormatting>
  <conditionalFormatting sqref="H3:K8">
    <cfRule type="containsText" dxfId="0" priority="2" operator="containsText" text="Not required">
      <formula>NOT(ISERROR(SEARCH("Not required",H3)))</formula>
    </cfRule>
  </conditionalFormatting>
  <dataValidations count="1">
    <dataValidation type="list" allowBlank="1" showInputMessage="1" showErrorMessage="1" sqref="B3:B8" xr:uid="{005D2A6D-EDD0-4949-BC3C-EFA3A52CBF76}">
      <formula1>"Yes, 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08988F-4422-4041-B09F-A9A7684A3C7D}">
          <x14:formula1>
            <xm:f>Dropdowns!$B$3:$B$14</xm:f>
          </x14:formula1>
          <xm:sqref>E9 E12:E20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9F64-86B1-9349-8C80-FA120829CE4B}">
  <sheetPr>
    <tabColor theme="3" tint="0.89999084444715716"/>
  </sheetPr>
  <dimension ref="B1:G14"/>
  <sheetViews>
    <sheetView workbookViewId="0">
      <selection activeCell="B3" sqref="B3:B14"/>
    </sheetView>
  </sheetViews>
  <sheetFormatPr baseColWidth="10" defaultColWidth="11" defaultRowHeight="16" x14ac:dyDescent="0.2"/>
  <sheetData>
    <row r="1" spans="2:7" x14ac:dyDescent="0.2">
      <c r="B1" t="s">
        <v>215</v>
      </c>
      <c r="E1" t="s">
        <v>344</v>
      </c>
      <c r="G1" t="s">
        <v>345</v>
      </c>
    </row>
    <row r="3" spans="2:7" x14ac:dyDescent="0.2">
      <c r="B3" t="s">
        <v>6</v>
      </c>
      <c r="E3" t="s">
        <v>228</v>
      </c>
      <c r="G3" t="s">
        <v>23</v>
      </c>
    </row>
    <row r="4" spans="2:7" x14ac:dyDescent="0.2">
      <c r="B4" t="s">
        <v>7</v>
      </c>
      <c r="E4" t="s">
        <v>232</v>
      </c>
      <c r="G4" t="s">
        <v>29</v>
      </c>
    </row>
    <row r="5" spans="2:7" x14ac:dyDescent="0.2">
      <c r="B5" t="s">
        <v>8</v>
      </c>
      <c r="E5" t="s">
        <v>236</v>
      </c>
      <c r="G5" t="s">
        <v>31</v>
      </c>
    </row>
    <row r="6" spans="2:7" x14ac:dyDescent="0.2">
      <c r="B6" t="s">
        <v>9</v>
      </c>
      <c r="G6" t="s">
        <v>34</v>
      </c>
    </row>
    <row r="7" spans="2:7" x14ac:dyDescent="0.2">
      <c r="B7" t="s">
        <v>10</v>
      </c>
      <c r="G7" t="s">
        <v>38</v>
      </c>
    </row>
    <row r="8" spans="2:7" x14ac:dyDescent="0.2">
      <c r="B8" t="s">
        <v>11</v>
      </c>
      <c r="G8" t="s">
        <v>41</v>
      </c>
    </row>
    <row r="9" spans="2:7" x14ac:dyDescent="0.2">
      <c r="B9" t="s">
        <v>12</v>
      </c>
    </row>
    <row r="10" spans="2:7" x14ac:dyDescent="0.2">
      <c r="B10" t="s">
        <v>13</v>
      </c>
    </row>
    <row r="11" spans="2:7" x14ac:dyDescent="0.2">
      <c r="B11" t="s">
        <v>14</v>
      </c>
    </row>
    <row r="12" spans="2:7" x14ac:dyDescent="0.2">
      <c r="B12" t="s">
        <v>15</v>
      </c>
    </row>
    <row r="13" spans="2:7" x14ac:dyDescent="0.2">
      <c r="B13" t="s">
        <v>16</v>
      </c>
    </row>
    <row r="14" spans="2:7" x14ac:dyDescent="0.2">
      <c r="B14" t="s">
        <v>17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CC629-197B-4D60-91D3-646BD1B9B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Progress Notes</vt:lpstr>
      <vt:lpstr>Legend</vt:lpstr>
      <vt:lpstr>Opaque_Materials</vt:lpstr>
      <vt:lpstr>Window_Materials</vt:lpstr>
      <vt:lpstr>Layers</vt:lpstr>
      <vt:lpstr>Components</vt:lpstr>
      <vt:lpstr>Elements</vt:lpstr>
      <vt:lpstr>Building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Blomsterberg</dc:creator>
  <cp:keywords/>
  <dc:description/>
  <cp:lastModifiedBy>Sanjay Somanath</cp:lastModifiedBy>
  <cp:revision/>
  <dcterms:created xsi:type="dcterms:W3CDTF">2025-12-03T09:11:53Z</dcterms:created>
  <dcterms:modified xsi:type="dcterms:W3CDTF">2026-04-15T12:58:31Z</dcterms:modified>
  <cp:category/>
  <cp:contentStatus/>
</cp:coreProperties>
</file>