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jami\Documents\GitHub\EPSM_data\"/>
    </mc:Choice>
  </mc:AlternateContent>
  <xr:revisionPtr revIDLastSave="0" documentId="13_ncr:1_{8CB4D9B8-AC4E-42FA-9D89-FE3572650E8A}" xr6:coauthVersionLast="47" xr6:coauthVersionMax="47" xr10:uidLastSave="{00000000-0000-0000-0000-000000000000}"/>
  <bookViews>
    <workbookView xWindow="-110" yWindow="-110" windowWidth="19420" windowHeight="11500" firstSheet="1" activeTab="3" xr2:uid="{674BB936-5EA3-D94C-A89F-A01CB7CEE187}"/>
  </bookViews>
  <sheets>
    <sheet name="Progress Notes" sheetId="5" r:id="rId1"/>
    <sheet name="Opaque_Materials" sheetId="1" r:id="rId2"/>
    <sheet name="Window_Materials" sheetId="2" r:id="rId3"/>
    <sheet name="Layers" sheetId="4" r:id="rId4"/>
    <sheet name="Components" sheetId="3" r:id="rId5"/>
  </sheets>
  <externalReferences>
    <externalReference r:id="rId6"/>
  </externalReferences>
  <definedNames>
    <definedName name="building_layer">[1]Dropdowns!$D$5:$D$7</definedName>
    <definedName name="Densities">[1]Densities!$A$4:$E$410</definedName>
    <definedName name="dimension_calc">[1]Dropdowns!$T$5:$T$8</definedName>
    <definedName name="Level1_matcat">[1]Material_classif_dropdowns!$B$5:$B$14</definedName>
    <definedName name="Material_categories">'[1]Crossmatch material classific.'!$A$1:$Z$491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49" i="1"/>
  <c r="G27" i="1"/>
  <c r="G8" i="1"/>
  <c r="G4" i="1"/>
  <c r="G5" i="1"/>
  <c r="G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50" i="1"/>
  <c r="G51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tc={3206CACE-8394-4121-9269-0EA8CAAF86B2}</author>
    <author>tc={2113958F-D93A-4B72-9A27-4CE4FBEEAA3B}</author>
    <author>tc={E3B66A5C-4257-4423-90E2-3C4F485F94E4}</author>
    <author>tc={63E75155-291D-404C-B313-1AF4E66194E8}</author>
    <author>tc={B2A9821F-0147-4752-848D-F3C9C655B99C}</author>
    <author>tc={BB4FC2B9-BA1F-4EA5-B691-CF3EA295DA25}</author>
    <author>tc={261C8EBC-4D03-4C47-A332-27A70C92E6E5}</author>
    <author>tc={19159A99-372E-4AEB-A2A3-8A2620179DC6}</author>
    <author>tc={4768D1CA-0281-489C-8890-493EDF2E42FC}</author>
    <author>tc={6B629ABE-2EFA-4F2C-AD59-8B48A4573FA8}</author>
    <author>tc={D1C85F94-74D2-4C40-B2A6-CAE72652D12D}</author>
    <author>tc={31404CAB-DC9F-4DFA-BB4E-FBD9ADD6D463}</author>
    <author>tc={AC4C6092-4E4D-460F-BFF6-05E9D096651F}</author>
    <author>tc={C76F23C2-744A-4F5B-8E93-C92988DCEE50}</author>
    <author>tc={E593AE45-BFBC-4A98-85EB-1F88F0EF546C}</author>
    <author>tc={718A134D-676E-4A8A-B271-F30AAE35BC96}</author>
    <author>tc={F356163D-CC1D-44C8-933A-745241019FA2}</author>
    <author>tc={87C1EFB4-FED1-400C-B715-2FFCC96D5F2D}</author>
    <author>tc={E60A6551-649A-4C04-95E1-FA84B1B69D7E}</author>
    <author>tc={7268449F-3191-428A-8371-DD50056F1F43}</author>
    <author>tc={3F43729D-EBB4-4593-A275-FE8B53D78FEA}</author>
    <author>tc={E7C52893-AA17-450F-920D-11C21788EBD9}</author>
    <author>tc={23F12E34-1B4E-45BB-A08F-8B64E51E0389}</author>
    <author>tc={18D9EEC2-9764-4F05-BDEE-1F7F69B611F4}</author>
    <author>tc={C91F94D8-8AD2-4074-803D-F77C2526C8D2}</author>
    <author>tc={16296FEB-3037-4598-AEB7-E2D43462D860}</author>
    <author>tc={FEF83151-61B5-496E-9EF9-E10E1AF7F09C}</author>
    <author>tc={F2014166-D5BD-416D-A5A9-D7840AFC5CE3}</author>
    <author>tc={1FEFA72F-4293-4A15-AC93-B61BCFC6CC2A}</author>
  </authors>
  <commentList>
    <comment ref="E7" authorId="0" shapeId="0" xr:uid="{3206CACE-8394-4121-9269-0EA8CAAF86B2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Generic metal surface</t>
      </text>
    </comment>
    <comment ref="A8" authorId="1" shapeId="0" xr:uid="{2113958F-D93A-4B72-9A27-4CE4FBEEAA3B}">
      <text>
        <t>[Threaded comment]
Your version of Excel allows you to read this threaded comment; however, any edits to it will get removed if the file is opened in a newer version of Excel. Learn more: https://go.microsoft.com/fwlink/?linkid=870924
Comment:
    boverket and json doesnt contain any gravel type materials</t>
      </text>
    </comment>
    <comment ref="C8" authorId="2" shapeId="0" xr:uid="{E3B66A5C-4257-4423-90E2-3C4F485F94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Restproducts that are sometimes used are similar</t>
      </text>
    </comment>
    <comment ref="E8" authorId="3" shapeId="0" xr:uid="{63E75155-291D-404C-B313-1AF4E6619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Specific heat matched closest w value given in https://www.mdpi.com/2673-4109/2/1/14 
alt. M11 100mm lightweight concrete 
Density in SS-EN ISO 10456  for Concrete with more than 70 % expanded blast-furnace slag aggregate is 1100-1700 (Dry sand from json is about 1500)</t>
      </text>
    </comment>
    <comment ref="E10" authorId="4" shapeId="0" xr:uid="{B2A9821F-0147-4752-848D-F3C9C655B99C}">
      <text>
        <t>[Threaded comment]
Your version of Excel allows you to read this threaded comment; however, any edits to it will get removed if the file is opened in a newer version of Excel. Learn more: https://go.microsoft.com/fwlink/?linkid=870924
Comment:
    25mm Stucco
Fits better according to ISO</t>
      </text>
    </comment>
    <comment ref="E11" authorId="5" shapeId="0" xr:uid="{BB4FC2B9-BA1F-4EA5-B691-CF3EA295DA25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Works with autoclaved concrete given in SS-EN ISO 10456 (based on density and specific heat capacity)</t>
      </text>
    </comment>
    <comment ref="C12" authorId="6" shapeId="0" xr:uid="{261C8EBC-4D03-4C47-A332-27A70C92E6E5}">
      <text>
        <t>[Threaded comment]
Your version of Excel allows you to read this threaded comment; however, any edits to it will get removed if the file is opened in a newer version of Excel. Learn more: https://go.microsoft.com/fwlink/?linkid=870924
Comment:
    Terrasit is a specific brand of plaster that utilises EPS (Expanding Polystyrene)</t>
      </text>
    </comment>
    <comment ref="A15" authorId="7" shapeId="0" xr:uid="{19159A99-372E-4AEB-A2A3-8A2620179DC6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identical to plaster</t>
      </text>
    </comment>
    <comment ref="C16" authorId="8" shapeId="0" xr:uid="{4768D1CA-0281-489C-8890-493EDF2E42FC}">
      <text>
        <t>[Threaded comment]
Your version of Excel allows you to read this threaded comment; however, any edits to it will get removed if the file is opened in a newer version of Excel. Learn more: https://go.microsoft.com/fwlink/?linkid=870924
Comment:
     desc: Wood wool panels are made by mixing wood shavings with cement and lime as a binder and any paint.</t>
      </text>
    </comment>
    <comment ref="E17" authorId="9" shapeId="0" xr:uid="{6B629ABE-2EFA-4F2C-AD59-8B48A4573FA8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 when comparing values https://www.engineeringtoolbox.com/specific-heat-solids-d_154.html
https://www.engineeringtoolbox.com/thermal-conductivity-d_429.html</t>
      </text>
    </comment>
    <comment ref="C18" authorId="10" shapeId="0" xr:uid="{D1C85F94-74D2-4C40-B2A6-CAE72652D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is a bit arbitrary</t>
      </text>
    </comment>
    <comment ref="C21" authorId="11" shapeId="0" xr:uid="{31404CAB-DC9F-4DFA-BB4E-FBD9ADD6D463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</t>
      </text>
    </comment>
    <comment ref="C24" authorId="12" shapeId="0" xr:uid="{AC4C6092-4E4D-460F-BFF6-05E9D09665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stenull</t>
      </text>
    </comment>
    <comment ref="E24" authorId="13" shapeId="0" xr:uid="{C76F23C2-744A-4F5B-8E93-C92988DCEE5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closest conductivity match</t>
      </text>
    </comment>
    <comment ref="C27" authorId="14" shapeId="0" xr:uid="{E593AE45-BFBC-4A98-85EB-1F88F0EF5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without the asbestos</t>
      </text>
    </comment>
    <comment ref="E27" authorId="15" shapeId="0" xr:uid="{718A134D-676E-4A8A-B271-F30AAE35BC9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https://help.iesve.com/ve2021/table_6_thermal_conductivity__specific_heat_capacity_and_density.htm</t>
      </text>
    </comment>
    <comment ref="C28" authorId="16" shapeId="0" xr:uid="{F356163D-CC1D-44C8-933A-745241019FA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Contains bitumen, otherwise 6000000140</t>
      </text>
    </comment>
    <comment ref="E28" authorId="17" shapeId="0" xr:uid="{87C1EFB4-FED1-400C-B715-2FFCC96D5F2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https://help.iesve.com/ve2021/table_6_thermal_conductivity__specific_heat_capacity_and_density.htm</t>
      </text>
    </comment>
    <comment ref="C29" authorId="18" shapeId="0" xr:uid="{E60A6551-649A-4C04-95E1-FA84B1B69D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 plastic product</t>
      </text>
    </comment>
    <comment ref="C31" authorId="19" shapeId="0" xr:uid="{7268449F-3191-428A-8371-DD50056F1F43}">
      <text>
        <t>[Threaded comment]
Your version of Excel allows you to read this threaded comment; however, any edits to it will get removed if the file is opened in a newer version of Excel. Learn more: https://go.microsoft.com/fwlink/?linkid=870924
Comment:
    lättklinkerkulor</t>
      </text>
    </comment>
    <comment ref="E32" authorId="20" shapeId="0" xr:uid="{3F43729D-EBB4-4593-A275-FE8B53D78FE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closest conductivity match</t>
      </text>
    </comment>
    <comment ref="E33" authorId="21" shapeId="0" xr:uid="{E7C52893-AA17-450F-920D-11C21788EBD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closest conductivity match</t>
      </text>
    </comment>
    <comment ref="E36" authorId="22" shapeId="0" xr:uid="{23F12E34-1B4E-45BB-A08F-8B64E51E038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https://help.iesve.com/ve2021/table_6_thermal_conductivity__specific_heat_capacity_and_density.htm</t>
      </text>
    </comment>
    <comment ref="C40" authorId="23" shapeId="0" xr:uid="{18D9EEC2-9764-4F05-BDEE-1F7F69B611F4}">
      <text>
        <t>[Threaded comment]
Your version of Excel allows you to read this threaded comment; however, any edits to it will get removed if the file is opened in a newer version of Excel. Learn more: https://go.microsoft.com/fwlink/?linkid=870924
Comment:
    either or for lightweight</t>
      </text>
    </comment>
    <comment ref="E43" authorId="24" shapeId="0" xr:uid="{C91F94D8-8AD2-4074-803D-F77C2526C8D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https://materialsark.com/faqs/thermal-conductivity/</t>
      </text>
    </comment>
    <comment ref="E45" authorId="25" shapeId="0" xr:uid="{16296FEB-3037-4598-AEB7-E2D43462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Least dense wood material</t>
      </text>
    </comment>
    <comment ref="C47" authorId="26" shapeId="0" xr:uid="{FEF83151-61B5-496E-9EF9-E10E1AF7F09C}">
      <text>
        <t>[Threaded comment]
Your version of Excel allows you to read this threaded comment; however, any edits to it will get removed if the file is opened in a newer version of Excel. Learn more: https://go.microsoft.com/fwlink/?linkid=870924
Comment:
    Plastic product used as a vapor barrier, if thickness is accounted for perhaps it’s the closest</t>
      </text>
    </comment>
    <comment ref="A54" authorId="27" shapeId="0" xr:uid="{F2014166-D5BD-416D-A5A9-D7840AFC5CE3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enough from galvanised sheet metal?
Reply:
    Copied from metal_sheet</t>
      </text>
    </comment>
    <comment ref="C54" authorId="28" shapeId="0" xr:uid="{1FEFA72F-4293-4A15-AC93-B61BCFC6CC2A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is a bit arbitrary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tc={5E27E27F-F63F-4BB0-9353-68268EDCE23F}</author>
    <author>tc={3D9EF86A-3862-43DF-9C17-9C3FC6D289C0}</author>
    <author>tc={8AA6B5C5-6D41-445E-940F-A7B0C47D947F}</author>
  </authors>
  <commentList>
    <comment ref="B4" authorId="0" shapeId="0" xr:uid="{5E27E27F-F63F-4BB0-9353-68268EDCE2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pane specific</t>
      </text>
    </comment>
    <comment ref="B6" authorId="1" shapeId="0" xr:uid="{3D9EF86A-3862-43DF-9C17-9C3FC6D289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pane specific</t>
      </text>
    </comment>
    <comment ref="B7" authorId="2" shapeId="0" xr:uid="{8AA6B5C5-6D41-445E-940F-A7B0C47D94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pane specific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tc={A0EE899B-ABE0-CE4E-8805-883642A27ACD}</author>
    <author>tc={377B3BF5-80DA-BA44-BA68-95BF0DA1BEC0}</author>
    <author>tc={621AA077-48C9-4360-A6E7-C76F69094A28}</author>
  </authors>
  <commentList>
    <comment ref="H60" authorId="0" shapeId="0" xr:uid="{A0EE899B-ABE0-CE4E-8805-883642A27AC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20251205</t>
      </text>
    </comment>
    <comment ref="H96" authorId="1" shapeId="0" xr:uid="{377B3BF5-80DA-BA44-BA68-95BF0DA1BEC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20251205</t>
      </text>
    </comment>
    <comment ref="A126" authorId="2" shapeId="0" xr:uid="{621AA077-48C9-4360-A6E7-C76F69094A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BUD_MI the floorboards and stud are also referenced, but those are specific to the livingroom - if living room and bathroom are on the bottom floor intermediate and bottom have identical composition. </t>
      </text>
    </comment>
  </commentList>
</comments>
</file>

<file path=xl/sharedStrings.xml><?xml version="1.0" encoding="utf-8"?>
<sst xmlns="http://schemas.openxmlformats.org/spreadsheetml/2006/main" count="1592" uniqueCount="538">
  <si>
    <t>Date</t>
  </si>
  <si>
    <t>Sheet</t>
  </si>
  <si>
    <t>Note</t>
  </si>
  <si>
    <t>Status</t>
  </si>
  <si>
    <t>Archetype</t>
  </si>
  <si>
    <t>External wall</t>
  </si>
  <si>
    <t>Internal wall</t>
  </si>
  <si>
    <t>Roof</t>
  </si>
  <si>
    <t>Window</t>
  </si>
  <si>
    <t>Top floor</t>
  </si>
  <si>
    <t>Intermediate floors</t>
  </si>
  <si>
    <t>Bottom floor</t>
  </si>
  <si>
    <t>Substructure</t>
  </si>
  <si>
    <t>Date of change/comment.</t>
  </si>
  <si>
    <t>The sheet that changes/comments concern</t>
  </si>
  <si>
    <t>Short description of content</t>
  </si>
  <si>
    <t>Completed/Pending</t>
  </si>
  <si>
    <t>CMF_1940_1</t>
  </si>
  <si>
    <t>X</t>
  </si>
  <si>
    <t>Opaque_Materials &amp; Window_Materials</t>
  </si>
  <si>
    <t>Complete adding the materials for the two archetypes</t>
  </si>
  <si>
    <t>Completed</t>
  </si>
  <si>
    <t>CMF_1950</t>
  </si>
  <si>
    <t>Confidence matching between Id's (create a new column for boverket and one for honeybee high-low confidence)</t>
  </si>
  <si>
    <t>CMF_1960_1</t>
  </si>
  <si>
    <t>Naming needs to be cleaned up; lowercase, no spaces no special characters...all similar and remove duplicates</t>
  </si>
  <si>
    <t>Double check that all of the honeybee materials are not of no mass type</t>
  </si>
  <si>
    <t>Pending</t>
  </si>
  <si>
    <t>Layers</t>
  </si>
  <si>
    <t>split the layer names column into name and materials that its made up of</t>
  </si>
  <si>
    <t>Identify which layers need to have a composite u-value (need area fraction), add flag (column) that signifies if its a composite layer or not</t>
  </si>
  <si>
    <t>Friday, 5 December 2025</t>
  </si>
  <si>
    <t>add ignore column for red ones to keep track of not used materials</t>
  </si>
  <si>
    <r>
      <rPr>
        <sz val="12"/>
        <color rgb="FF000000"/>
        <rFont val="Calibri"/>
        <family val="2"/>
      </rPr>
      <t xml:space="preserve">Documentation/logbok </t>
    </r>
    <r>
      <rPr>
        <b/>
        <sz val="12"/>
        <color rgb="FF000000"/>
        <rFont val="Calibri"/>
        <family val="2"/>
      </rPr>
      <t>when its finished</t>
    </r>
    <r>
      <rPr>
        <sz val="12"/>
        <color rgb="FF000000"/>
        <rFont val="Calibri"/>
        <family val="2"/>
      </rPr>
      <t xml:space="preserve"> to track process</t>
    </r>
  </si>
  <si>
    <t>Mark the lowconfidence w pink</t>
  </si>
  <si>
    <t>Thursday, 11 December 2025</t>
  </si>
  <si>
    <t>Window_Materials</t>
  </si>
  <si>
    <t>Complete external database mapping and specifically to simple glazing materials in the Honeybee library and do a confidence scoring for the materials</t>
  </si>
  <si>
    <t>All Sheets</t>
  </si>
  <si>
    <t>For the current archetypes, identify components, layers and materials for internal structures from the BUD_MI data</t>
  </si>
  <si>
    <t>Components</t>
  </si>
  <si>
    <t>Add column or switch out Component Name for a code describing the components similar to the Layer codes. Also Switch out the Layer identifier for the layer code instead</t>
  </si>
  <si>
    <t>Elements</t>
  </si>
  <si>
    <t>Make a sheet for Elements that should be combinations of components. Make sure to add a column for area ratio of component relative the total area of overall element</t>
  </si>
  <si>
    <t>Syncronise components in Excel with Enums in Python script</t>
  </si>
  <si>
    <t>Add component codes for all components and clean up window components so that they refer back to layers using simple glazing materials</t>
  </si>
  <si>
    <t>Friday, 12 December 2025</t>
  </si>
  <si>
    <t>For tall buildings, move no. Floors to notes and categorize between low, mid, high</t>
  </si>
  <si>
    <t>Tuesday, 20 January 2026</t>
  </si>
  <si>
    <t>Layers, Components</t>
  </si>
  <si>
    <t>Add data for CMF_1940_1 bottom floor from BUD_MI</t>
  </si>
  <si>
    <t>Material Name</t>
  </si>
  <si>
    <t>Ignore?</t>
  </si>
  <si>
    <t>Boverket ID</t>
  </si>
  <si>
    <t>Boverket Match Confidence</t>
  </si>
  <si>
    <t>EnergyPlus Identifier</t>
  </si>
  <si>
    <t>Honeybee Match Confidence</t>
  </si>
  <si>
    <t>Combined Match Confidence</t>
  </si>
  <si>
    <t>Human-readable material name for the matched materials.</t>
  </si>
  <si>
    <t>An X if the material should be ignored/not used</t>
  </si>
  <si>
    <t>Boverket ID to inherit environmental impact values</t>
  </si>
  <si>
    <t>A confidence score (1-10) for how good the match between BUD_MI and Boverket is.</t>
  </si>
  <si>
    <t>Honeybee Materal name (identifier) to inherit thermal material properties</t>
  </si>
  <si>
    <t>A confidence score (1-10) for how good the match between BUD_MI and Honeybee is.</t>
  </si>
  <si>
    <t>Average confidence score between BUD_MI and Boverket and BUD_MI and Honeybee.</t>
  </si>
  <si>
    <t>wooden_stud</t>
  </si>
  <si>
    <t>Std Wood 6 in.</t>
  </si>
  <si>
    <t>wooden_beam</t>
  </si>
  <si>
    <t>wooden_rafter</t>
  </si>
  <si>
    <t>wooden_panel</t>
  </si>
  <si>
    <t>Wood Siding</t>
  </si>
  <si>
    <t>galvanized_sheet_metal</t>
  </si>
  <si>
    <t>Metal Surface</t>
  </si>
  <si>
    <t>granulated_blast_furnace_slag</t>
  </si>
  <si>
    <t>concrete</t>
  </si>
  <si>
    <t>100mm Normalweight concrete floor</t>
  </si>
  <si>
    <t>lime_plaster</t>
  </si>
  <si>
    <t>1IN Stucco</t>
  </si>
  <si>
    <t>lightweight_concrete</t>
  </si>
  <si>
    <t>M11 100mm lightweight concrete</t>
  </si>
  <si>
    <t>terrasit_plaster</t>
  </si>
  <si>
    <t>mortar</t>
  </si>
  <si>
    <t>plastic_mat</t>
  </si>
  <si>
    <t>plaster</t>
  </si>
  <si>
    <t>concrete_mixed_with_sawdust</t>
  </si>
  <si>
    <t>coke_ash</t>
  </si>
  <si>
    <t>metal_sheet</t>
  </si>
  <si>
    <t>battens_1</t>
  </si>
  <si>
    <t>battens_2</t>
  </si>
  <si>
    <t>roofing_felt</t>
  </si>
  <si>
    <t>Roof Membrane</t>
  </si>
  <si>
    <t>brick</t>
  </si>
  <si>
    <t>M01 100mm brick</t>
  </si>
  <si>
    <t>mineral_wool</t>
  </si>
  <si>
    <t>I02 50mm insulation board</t>
  </si>
  <si>
    <t>stud</t>
  </si>
  <si>
    <t>1/2 in. Gypsum Board</t>
  </si>
  <si>
    <t>eternit_board</t>
  </si>
  <si>
    <t>asphalt_board</t>
  </si>
  <si>
    <t>linoleum</t>
  </si>
  <si>
    <t>woodfiber_board</t>
  </si>
  <si>
    <t>Plywood - 5/8 in. CBES</t>
  </si>
  <si>
    <t>leca</t>
  </si>
  <si>
    <t>mineral_wool_blanket</t>
  </si>
  <si>
    <t>AtticFloor Insulation</t>
  </si>
  <si>
    <t>mineral_wool_carpet</t>
  </si>
  <si>
    <t>wooden_truss</t>
  </si>
  <si>
    <t>reinforced concrete: steel</t>
  </si>
  <si>
    <t>F08 Metal surface</t>
  </si>
  <si>
    <t>asbestos_cement_board</t>
  </si>
  <si>
    <t>foil</t>
  </si>
  <si>
    <t>gypsum_board</t>
  </si>
  <si>
    <t>5/8 in. Gypsum Board</t>
  </si>
  <si>
    <t>wooden_frame</t>
  </si>
  <si>
    <t>lightweight_concrete_beam</t>
  </si>
  <si>
    <t>beam_plate</t>
  </si>
  <si>
    <t>battens</t>
  </si>
  <si>
    <t>ceramic_tile</t>
  </si>
  <si>
    <t>paper</t>
  </si>
  <si>
    <t>wood_shavings</t>
  </si>
  <si>
    <t>floorboard</t>
  </si>
  <si>
    <t>vinyl_flooring</t>
  </si>
  <si>
    <t>membrane</t>
  </si>
  <si>
    <t>wooden frame pane windows</t>
  </si>
  <si>
    <t>Top floor: mineral wool blanket</t>
  </si>
  <si>
    <t>Top floor: mineral wool carpet</t>
  </si>
  <si>
    <t>Wooden frame</t>
  </si>
  <si>
    <t>Glass</t>
  </si>
  <si>
    <t>CLEAR 3MM</t>
  </si>
  <si>
    <t>wooden frame double pane windows</t>
  </si>
  <si>
    <t>2 pane glass</t>
  </si>
  <si>
    <t>3 pane glass</t>
  </si>
  <si>
    <t>Window, wood, fixed, 3-glass</t>
  </si>
  <si>
    <t>Layer Name</t>
  </si>
  <si>
    <t>Layer Code</t>
  </si>
  <si>
    <t>Layer Thickness</t>
  </si>
  <si>
    <t>Composite Layer?</t>
  </si>
  <si>
    <t>Material 1</t>
  </si>
  <si>
    <t>Material 1 Area Ratio</t>
  </si>
  <si>
    <t>Material 1 Thickness</t>
  </si>
  <si>
    <t>Material 2</t>
  </si>
  <si>
    <t>Material 2 Area Ratio</t>
  </si>
  <si>
    <t>Material 2 Thickness</t>
  </si>
  <si>
    <t>Material 3</t>
  </si>
  <si>
    <t>Material 3 Area Ratio</t>
  </si>
  <si>
    <t>Material 3 Thickness</t>
  </si>
  <si>
    <r>
      <t xml:space="preserve">Notes from </t>
    </r>
    <r>
      <rPr>
        <b/>
        <i/>
        <sz val="12"/>
        <rFont val="Calibri"/>
        <family val="2"/>
      </rPr>
      <t>Så byggdes husen 1880-2010</t>
    </r>
  </si>
  <si>
    <t>Human-readable layer name for the matched materials.</t>
  </si>
  <si>
    <t>Thickness of the layer in m.</t>
  </si>
  <si>
    <t>Data Validation (Yes/No) whether the layer is a composite layer or not.</t>
  </si>
  <si>
    <t>If Composite Layer = No, Only this material column should be filled</t>
  </si>
  <si>
    <t>If Composite Layer = Yes: In-plane area ratio of material 1 in layer.</t>
  </si>
  <si>
    <t>Thickness in [m] of the material in layer.</t>
  </si>
  <si>
    <t>If Composite Layer = Yes, this column should consist of the second material in the layer</t>
  </si>
  <si>
    <t>If Composite Layer = Yes: In-plane area ratio of material 2 in layer.</t>
  </si>
  <si>
    <t>If Composite Layer = Yes, this column should consist of the third material in the layer (if it exists)</t>
  </si>
  <si>
    <t>If Composite Layer = Yes: In-plane area ratio of material 3 in layer.</t>
  </si>
  <si>
    <t>Code for archetype inhertied from BUD_MI</t>
  </si>
  <si>
    <t>Qualitative information about the layers.</t>
  </si>
  <si>
    <t>An X if the layer should be ignored/not used</t>
  </si>
  <si>
    <t>Roof: wooden stud 4" x 4"</t>
  </si>
  <si>
    <t>CMF_1950_ROOF_WOODENSTUD4X4_T102_S</t>
  </si>
  <si>
    <t>No</t>
  </si>
  <si>
    <t>Wooden studs working as support for 2" x 6" beams. Not part of the building envelope.</t>
  </si>
  <si>
    <t>Roof: wooden beam 2" x 6"</t>
  </si>
  <si>
    <t>CMF_1950_ROOF_WOODENBEAM2X6_T152_S</t>
  </si>
  <si>
    <t>Spanning longside - long side</t>
  </si>
  <si>
    <t>Roof: wooden rafter 2" x 4"</t>
  </si>
  <si>
    <t>CMF_1950_ROOF_WOODENRAFTER2X4_T102_S</t>
  </si>
  <si>
    <t>Resting on top wooden beams with c-c 1,2 m</t>
  </si>
  <si>
    <t>Roof: wooden panel</t>
  </si>
  <si>
    <t>CMF_1950_ROOF_WOODENPANEL_T038_S</t>
  </si>
  <si>
    <t>Positioned directly under galvanized metal sheets</t>
  </si>
  <si>
    <t>Roof: galvaniced sheet metal</t>
  </si>
  <si>
    <t>CMF_1950_ROOF_GALVANICEDSHEETMETAL_T003_S</t>
  </si>
  <si>
    <t> </t>
  </si>
  <si>
    <t>Top floor: concrete, top</t>
  </si>
  <si>
    <t>CMF_1950_TOPFLOOR_CONCRETE_T050_S</t>
  </si>
  <si>
    <t>Top floor: granulated blast furnace slag</t>
  </si>
  <si>
    <t>CMF_1950_TOPFLOOR_GRANULATEDBLASTFURNACESLAG_T150_S</t>
  </si>
  <si>
    <t>Insulation layer</t>
  </si>
  <si>
    <t>Top floor: concrete</t>
  </si>
  <si>
    <t>CMF_1950_TOPFLOOR_CONCRETE_T140_S</t>
  </si>
  <si>
    <t>Exterior wall, floor 1-6: Lime plaster</t>
  </si>
  <si>
    <t>CMF_1950_EXTERIORWALLFLOOR16_LIMEPLASTER_T005_S</t>
  </si>
  <si>
    <t>Exterior wall, floor 1-6: concrete</t>
  </si>
  <si>
    <t>CMF_1950_EXTERIORWALLFLOOR16_CONCRETE_T150_S</t>
  </si>
  <si>
    <t>Exterior wall, floor 1-6: lightweight concrete 12,5 cm</t>
  </si>
  <si>
    <t>CMF_1950_EXTERIORWALLFLOOR16_LIGHTWEIGHTCONCRETE12_T125_C</t>
  </si>
  <si>
    <t>Yes</t>
  </si>
  <si>
    <t>Sharing the same space as mortar 12,5 cm vertically</t>
  </si>
  <si>
    <t>Exterior wall, floor 1-6: terrasit plaster</t>
  </si>
  <si>
    <t>CMF_1950_EXTERIORWALLFLOOR16_TERRASITPLASTER_T005_S</t>
  </si>
  <si>
    <t>Exterior wall, floor 1-6: mortar 5 mm</t>
  </si>
  <si>
    <t>CMF_1950_EXTERIORWALLFLOOR16_MORTAR5MM_T005_S</t>
  </si>
  <si>
    <t>Was not specified in BUD_MI but in the book (however measurement is assumed)</t>
  </si>
  <si>
    <t>Exterior wall, floor 7-10: Lime plaster</t>
  </si>
  <si>
    <t>CMF_1950_EXTERIORWALLFLOOR710_LIMEPLASTER_T005_S</t>
  </si>
  <si>
    <t>Exterior wall, floor 7-10: lightweight concrete 25 cm</t>
  </si>
  <si>
    <t>CMF_1950_EXTERIORWALLFLOOR710_LIGHTWEIGHTCONCRETE25CM_T250_C</t>
  </si>
  <si>
    <t>Sharing the same space as mortar vertically</t>
  </si>
  <si>
    <t>Exterior wall, floor 7-10: terrasit plaster</t>
  </si>
  <si>
    <t>CMF_1950_EXTERIORWALLFLOOR710_TERRASITPLASTER_T005_S</t>
  </si>
  <si>
    <t>Exterior wall, floor 11: mortar 20 cm</t>
  </si>
  <si>
    <t>CMF_1950_EXTERIORWALLFLOOR11_MORTAR20CM_T200_C</t>
  </si>
  <si>
    <t>Assumed in accordance with other lightweight concrete/mortar structures for this building.</t>
  </si>
  <si>
    <t>Exterior wall, floor 11: terrasit plaster</t>
  </si>
  <si>
    <t>CMF_1950_EXTERIORWALLFLOOR11_TERRASITPLASTER_T005_S</t>
  </si>
  <si>
    <t>Was missing from BUD_MI</t>
  </si>
  <si>
    <t>Window: wooden frame</t>
  </si>
  <si>
    <t>CMF_1950_WINDOW_WOODENFRAME_T150_C</t>
  </si>
  <si>
    <t>glass_pane</t>
  </si>
  <si>
    <t>Bottom floor: plastic mat</t>
  </si>
  <si>
    <t>CMF_1950_BOTTOMFLOOR_PLASTICMAT_T010_S</t>
  </si>
  <si>
    <t>Bottom floor: plaster</t>
  </si>
  <si>
    <t>CMF_1950_BOTTOMFLOOR_PLASTER_T050_S</t>
  </si>
  <si>
    <t>Bottom floor: concrete mixed with sawdust</t>
  </si>
  <si>
    <t>CMF_1950_BOTTOMFLOOR_CONCRETEMIXEDWITHSAWDUST_T050_S</t>
  </si>
  <si>
    <t>Bottom floor: coke ash</t>
  </si>
  <si>
    <t>CMF_1950_BOTTOMFLOOR_COKEASH_T080_S</t>
  </si>
  <si>
    <t>Bottom floor: concrete 16 cm</t>
  </si>
  <si>
    <t>CMF_1950_BOTTOMFLOOR_CONCRETE16CM_T160_S</t>
  </si>
  <si>
    <t>Roof: Metal sheet</t>
  </si>
  <si>
    <t>CMF_1960_1_ROOF_METALSHEET_T003_S</t>
  </si>
  <si>
    <t>Roof: battens 1</t>
  </si>
  <si>
    <t>CMF_1960_1_ROOF_BATTENS1_T023_S</t>
  </si>
  <si>
    <t>Roof: battens 2</t>
  </si>
  <si>
    <t>CMF_1960_1_ROOF_BATTENS2_T023_S</t>
  </si>
  <si>
    <t>Roof: Cardboard</t>
  </si>
  <si>
    <t>CMF_1960_1_ROOF_ROOFINGFELT_T005_S</t>
  </si>
  <si>
    <t>CMF_1960_1_ROOF_WOODENPANEL_T025_S</t>
  </si>
  <si>
    <t>Exterior wall, brick 75%: Mortar</t>
  </si>
  <si>
    <t>CMF_1960_1_EXTERIORWALLBRICK75_BRICK_T125_C</t>
  </si>
  <si>
    <t>Exterior wall, brick 75%: mineral wool</t>
  </si>
  <si>
    <t>CMF_1960_1_EXTERIORWALLBRICK75_MINERALWOOL_T095_C</t>
  </si>
  <si>
    <t>Assumed to be parallel vertically with studs and therefore has the same thickness, original thickness in BUD_MI was 5 cm</t>
  </si>
  <si>
    <t>Exterior wall, brick 75% : plasterboard</t>
  </si>
  <si>
    <t>CMF_1960_1_EXTERIORWALLBRICK75_PLASTERBOARD_T130_S</t>
  </si>
  <si>
    <t>plaster_board</t>
  </si>
  <si>
    <t>Exterior wall, balcony 25%: eternit board</t>
  </si>
  <si>
    <t>CMF_1960_1_EXTERIORWALLBALCONY25_ETERNITBOARD_T090_S</t>
  </si>
  <si>
    <t>Exterior wall, balcony 25%: mineral wool</t>
  </si>
  <si>
    <t>CMF_1960_1_EXTERIORWALLBALCONY25_MINERALWOOL_T095_C</t>
  </si>
  <si>
    <t>Sharing same vertical space as studs</t>
  </si>
  <si>
    <t>Exterior wall, balcony 25%: apshalt board</t>
  </si>
  <si>
    <t>CMF_1960_1_EXTERIORWALLBALCONY25_APSHALTBOARD_T012_S</t>
  </si>
  <si>
    <t>Exterior wall, balcony 25% : plasterboard</t>
  </si>
  <si>
    <t>CMF_1960_1_EXTERIORWALLBALCONY25_PLASTERBOARD_T013_S</t>
  </si>
  <si>
    <t>Bottom floor: Linoleum</t>
  </si>
  <si>
    <t>CMF_1960_1_BOTTOMFLOOR_LINOLEUM_T010_S</t>
  </si>
  <si>
    <t>Bottom floor: Woodfiber board</t>
  </si>
  <si>
    <t>CMF_1960_1_BOTTOMFLOOR_WOODFIBERBOARD_T013_S</t>
  </si>
  <si>
    <t>Bottom floor: reinforced concrete: concrete</t>
  </si>
  <si>
    <t>CMF_1960_1_BOTTOMFLOOR_REINFORCEDCONCRETE_T150_S</t>
  </si>
  <si>
    <t>Bottom floor: Leca</t>
  </si>
  <si>
    <t>CMF_1960_1_BOTTOMFLOOR_LECA_T150_S</t>
  </si>
  <si>
    <t>Window: wooden frame double pane windows</t>
  </si>
  <si>
    <t>CMF_1960_1_WINDOW_WOODENFRAMEDOUBLEPANEWINDOWS_T150_S</t>
  </si>
  <si>
    <t>Window: 2 pane glass</t>
  </si>
  <si>
    <t>CMF_1960_1_WINDOW_2PANEGLASS_T008_S</t>
  </si>
  <si>
    <t>Missing from BUD_MI, instead the whole window was specified as one material. Thickness in assumed based on the other window</t>
  </si>
  <si>
    <t>Window: 3 pane glass</t>
  </si>
  <si>
    <t>CMF_1960_1_WINDOW_3PANEGLASS_T012_S</t>
  </si>
  <si>
    <t>Window, large: Wooden frame</t>
  </si>
  <si>
    <t>CMF_1960_1_WINDOWLARGE_WOODENFRAME_T150_S</t>
  </si>
  <si>
    <t>Top floor: Cardboard</t>
  </si>
  <si>
    <t>CMF_1960_1_TOPFLOOR_CARDBOARD_T005_S</t>
  </si>
  <si>
    <t>cardboard</t>
  </si>
  <si>
    <t>CMF_1960_1_TOPFLOOR_MINERALWOOLBLANKET_T030_S</t>
  </si>
  <si>
    <t>CMF_1960_1_TOPFLOOR_MINERALWOOLCARPET_T120_S</t>
  </si>
  <si>
    <t>CMF_1960_1_TOPFLOOR_CONCRETE_T140_S</t>
  </si>
  <si>
    <t>Roof: sheet metal</t>
  </si>
  <si>
    <t>CMF_1960_2_ROOF_SHEETMETAL_T003_S</t>
  </si>
  <si>
    <t>sheet_metal</t>
  </si>
  <si>
    <t>CMF_1960_2</t>
  </si>
  <si>
    <t>Roof: cardboard</t>
  </si>
  <si>
    <t>CMF_1960_2_ROOF_ROOFINGFELT_T010_S</t>
  </si>
  <si>
    <t>CMF_1960_2_ROOF_WOODENPANEL_T025_S</t>
  </si>
  <si>
    <t>Roof: truss</t>
  </si>
  <si>
    <t>CMF_1960_2_ROOF_TRUSS_T050_S</t>
  </si>
  <si>
    <t>CMF_1960_2_TOPFLOOR_MINERALWOOLCARPET_T120_S</t>
  </si>
  <si>
    <t>CMF_1960_2_TOPFLOOR_MINERALWOOLBLANKET_T030_S</t>
  </si>
  <si>
    <t>Top floor: reinforced concrete: concrete</t>
  </si>
  <si>
    <t>CMF_1960_2_TOPFLOOR_REINFORCEDCONCRETE_T160_S</t>
  </si>
  <si>
    <t>Top floor: reinforced concrete: steel</t>
  </si>
  <si>
    <t>CMF_1960_2_TOPFLOOR_REINFORCEDCONCRETESTEEL_T160_S</t>
  </si>
  <si>
    <t>Exterior wall 85%: plaster int</t>
  </si>
  <si>
    <t>CMF_1960_2_EXTERIORWALL85_PLASTERINT_T010_S</t>
  </si>
  <si>
    <t>Exterior wall 85%: light weight concrete</t>
  </si>
  <si>
    <t>CMF_1960_2_EXTERIORWALL85_LIGHTWEIGHTCONCRETE_T150_C</t>
  </si>
  <si>
    <t>Exterior wall 85%: concrete</t>
  </si>
  <si>
    <t>CMF_1960_2_EXTERIORWALL85_CONCRETE_T150_S</t>
  </si>
  <si>
    <t>Exterior wall 15%: asbestos cement board</t>
  </si>
  <si>
    <t>CMF_1960_2_EXTERIORWALL15_ASBESTOSCEMENTBOARD_T010_S</t>
  </si>
  <si>
    <t>Exterior wall 15%: asphalt board</t>
  </si>
  <si>
    <t>CMF_1960_2_EXTERIORWALL15_ASPHALTBOARD_T010_S</t>
  </si>
  <si>
    <t>Exterior wall 15%: studs</t>
  </si>
  <si>
    <t>CMF_1960_2_EXTERIORWALL15_STUDS_T050_C</t>
  </si>
  <si>
    <t>Not sure about this measurement</t>
  </si>
  <si>
    <t>Exterior wall 15%: foil</t>
  </si>
  <si>
    <t>CMF_1960_2_EXTERIORWALL15_FOIL_T001_S</t>
  </si>
  <si>
    <t>Exterior wall 15%: gypsum board</t>
  </si>
  <si>
    <t>CMF_1960_2_EXTERIORWALL15_GYPSUMBOARD_T013_S</t>
  </si>
  <si>
    <t>CMF_1960_2_WINDOW_WOODENFRAME_T150_S</t>
  </si>
  <si>
    <t>Window: glass</t>
  </si>
  <si>
    <t>CMF_1960_2_WINDOW_GLASS_T120_S</t>
  </si>
  <si>
    <t>Assumed 3-glass 4 mm --&gt; should be double 8mm?</t>
  </si>
  <si>
    <t>Window: light weight concrete beam</t>
  </si>
  <si>
    <t>CMF_1960_2_WINDOW_LIGHTWEIGHTCONCRETEBEAM_T300_S</t>
  </si>
  <si>
    <t>Missing in BUD_MI</t>
  </si>
  <si>
    <t>Interior Wall, bearing: plaster</t>
  </si>
  <si>
    <t>CMF_1960_2_INTERIORWALLBEARING_PLASTER_T000_S</t>
  </si>
  <si>
    <t>Assumed on 9 floors</t>
  </si>
  <si>
    <t>Interior Wall, bearing: concrete</t>
  </si>
  <si>
    <t>CMF_1960_2_INTERIORWALLBEARING_CONCRETE_T150_S</t>
  </si>
  <si>
    <t>CMF_1940_1_ROOF_TRUSS_T050_S</t>
  </si>
  <si>
    <t>How do we annotate dimensions of a truss?</t>
  </si>
  <si>
    <t>Roof: beam plate</t>
  </si>
  <si>
    <t>CMF_1940_1_ROOF_BEAMPLATE_T089_S</t>
  </si>
  <si>
    <t>Roof: battens</t>
  </si>
  <si>
    <t>CMF_1940_1_ROOF_BATTENS_T040_S</t>
  </si>
  <si>
    <t>CMF_1940_1_ROOF_WOODENPANEL_T030_S</t>
  </si>
  <si>
    <t>Roof: Tile</t>
  </si>
  <si>
    <t>CMF_1940_1_ROOF_TILE_T030_S</t>
  </si>
  <si>
    <t>concrete_tile</t>
  </si>
  <si>
    <t>Top floor: coke ash</t>
  </si>
  <si>
    <t>CMF_1940_1_TOPFLOOR_COKEASH_T100_S</t>
  </si>
  <si>
    <t>Top floor: paper</t>
  </si>
  <si>
    <t>CMF_1940_1_TOPFLOOR_PAPER_T000_S</t>
  </si>
  <si>
    <t>couldn't verify source</t>
  </si>
  <si>
    <t>Top floor:  wood shavings</t>
  </si>
  <si>
    <t>CMF_1940_1_TOPFLOOR_WOODSHAVINGS_T150_S</t>
  </si>
  <si>
    <t>CMF_1940_1_TOPFLOOR_REINFORCEDCONCRETE_T140_S</t>
  </si>
  <si>
    <t>CMF_1940_1_TOPFLOOR_REINFORCEDCONCRETESTEEL_T140_S</t>
  </si>
  <si>
    <t>Intermediate floor: reinforced concrete: concrete</t>
  </si>
  <si>
    <t>CMF_1940_1_INTERMEDIATEFLOOR_REINFORCEDCONCRETE_T160_S</t>
  </si>
  <si>
    <t>Intermediate floor: reinforced concrete: steel</t>
  </si>
  <si>
    <t>CMF_1940_1_INTERMEDIATEFLOOR_REINFORCEDCONCRETESTEEL_T160_S</t>
  </si>
  <si>
    <t>Intermediate floor (living room): floorboard</t>
  </si>
  <si>
    <t>CMF_1940_1_INTERMEDIATEFLOORLIVINGROOM_FLOORBOARD_T040_S</t>
  </si>
  <si>
    <t>Intermediate floor (living room): coke ash</t>
  </si>
  <si>
    <t>CMF_1940_1_INTERMEDIATEFLOORLIVINGROOM_COKEASH_T100_S</t>
  </si>
  <si>
    <t>Intermediate floor (living room): studs</t>
  </si>
  <si>
    <t>CMF_1940_1_INTERMEDIATEFLOORLIVINGROOM_STUDS_T050_S</t>
  </si>
  <si>
    <t>Intermediate floor: vinyl flooring</t>
  </si>
  <si>
    <t>CMF_1940_1_INTERMEDIATEFLOOR_VINYLFLOORING_T040_S</t>
  </si>
  <si>
    <t>Intermediate floor: concrete</t>
  </si>
  <si>
    <t>CMF_1940_1_INTERMEDIATEFLOOR_CONCRETE_T050_S</t>
  </si>
  <si>
    <t>Intermediate floor: coke ash</t>
  </si>
  <si>
    <t>CMF_1940_1_INTERMEDIATEFLOOR_COKEASH_T080_S</t>
  </si>
  <si>
    <t>Intermediate floor (bathroom): tiles</t>
  </si>
  <si>
    <t>CMF_1940_1_INTERMEDIATEFLOORBATHROOM_TILES_T006_S</t>
  </si>
  <si>
    <t>Intermediate floor (bathroom): membrane</t>
  </si>
  <si>
    <t>CMF_1940_1_INTERMEDIATEFLOORBATHROOM_MEMBRANE_T030_S</t>
  </si>
  <si>
    <t>waterproof_membrane</t>
  </si>
  <si>
    <t>Intermediate floor (bathroom): concrete</t>
  </si>
  <si>
    <t>CMF_1940_1_INTERMEDIATEFLOORBATHROOM_CONCRETE_T040_S</t>
  </si>
  <si>
    <t>Intermediate floor (bathroom): coke ash</t>
  </si>
  <si>
    <t>CMF_1940_1_INTERMEDIATEFLOORBATHROOM_COKEASH_T080_S</t>
  </si>
  <si>
    <t>Exterior wall: plaster int</t>
  </si>
  <si>
    <t>CMF_1940_1_EXTERIORWALL_PLASTERINT_T010_S</t>
  </si>
  <si>
    <t>Exterior wall: light weight concrete</t>
  </si>
  <si>
    <t>CMF_1940_1_EXTERIORWALL_LIGHTWEIGHTCONCRETE_T250_C</t>
  </si>
  <si>
    <t>Exterior wall: plaster ext</t>
  </si>
  <si>
    <t>CMF_1940_1_EXTERIORWALL_PLASTEREXT_T010_S</t>
  </si>
  <si>
    <t>Window: wooden frame pane windows</t>
  </si>
  <si>
    <t>CMF_1940_1_WINDOW_WOODENFRAMEPANEWINDOWS_T150_S</t>
  </si>
  <si>
    <t>Window: glazing</t>
  </si>
  <si>
    <t>CMF_1940_1_WINDOW_GLAZING_T080_S</t>
  </si>
  <si>
    <t>Double glazing, 4mm x2</t>
  </si>
  <si>
    <t>Small window: wooden frame</t>
  </si>
  <si>
    <t>CMF_1940_1_SMALLWINDOW_WOODENFRAME_T150_S</t>
  </si>
  <si>
    <t>Small window: glazing</t>
  </si>
  <si>
    <t>CMF_1940_1_SMALLWINDOW_GLAZING_T080_S</t>
  </si>
  <si>
    <t>Small window: light weight concrete beam</t>
  </si>
  <si>
    <t>CMF_1940_1_SMALLWINDOW_LIGHTWEIGHTCONCRETEBEAM_T300_S</t>
  </si>
  <si>
    <t>Assumed</t>
  </si>
  <si>
    <t>CMF_1940_1_INTERIORWALLBEARING_PLASTER_T010_S</t>
  </si>
  <si>
    <t>CMF_1940_1_INTERIORWALLBEARING_CONCRETE_T200_S</t>
  </si>
  <si>
    <t>Interior Wall, non bearing: plaster</t>
  </si>
  <si>
    <t>CMF_1940_1_INTERIORWALLNONBEARING_PLASTER_T010_S</t>
  </si>
  <si>
    <t>Interior Wall, non bearing: concrete</t>
  </si>
  <si>
    <t>CMF_1940_1_INTERIORWALLNONBEARING_CONCRETE_T070_S</t>
  </si>
  <si>
    <t>Interior wall, bearing: plaster</t>
  </si>
  <si>
    <t>CMF_1950_INTERIORWALLBEARING_PLASTER_T0005_S</t>
  </si>
  <si>
    <t>Interior wall, bearing: brick</t>
  </si>
  <si>
    <t>CMF_1950_INTERIORWALLBEARING_BRICK_T02_C</t>
  </si>
  <si>
    <t>Interior wall, non-bearing: gypsum</t>
  </si>
  <si>
    <t>CMF_1950_INTERIORWALLNONBEARING_GYPSUM_T0013_S</t>
  </si>
  <si>
    <t>Interior wall, non-bearing: mineral wool</t>
  </si>
  <si>
    <t>CMF_1950_INTERIORWALLNONBEARING_MINERALWOOL_T007_C</t>
  </si>
  <si>
    <t>CMF_1960_1_INTERIORWALLBEARING_PLASTER_T0005_S</t>
  </si>
  <si>
    <t>Interior wall, bearing: concrete</t>
  </si>
  <si>
    <t>CMF_1960_1_INTERIORWALLBEARING_CONCRETE_T016_S</t>
  </si>
  <si>
    <t>Interior wall: gypsum</t>
  </si>
  <si>
    <t>CMF_1960_1_INTERIORWALLNONBEARING_GYPSUM_T0013_S</t>
  </si>
  <si>
    <t>Interior wall: mineral wool</t>
  </si>
  <si>
    <t>CMF_1960_1_INTERIORWALLNONBEARING_MINERALWOOL_T0007_C</t>
  </si>
  <si>
    <t>Intermediate floor x2: Linoleum</t>
  </si>
  <si>
    <t>CMF_1960_1_INTERMEDIATEFLOOR_LINOLEUM_T0002_S</t>
  </si>
  <si>
    <t>Intermediate floor x2: Woodfiber board</t>
  </si>
  <si>
    <t>CMF_1960_1_INTERMEDIATEFLOOR_WOODFRIBERBOARD_T0013_S</t>
  </si>
  <si>
    <t>Intermediate floor x2: reinforced concrete: concrete</t>
  </si>
  <si>
    <t>CMF_1960_1_INTERMEDIATEFLOOR_CONCRETE_T016_S</t>
  </si>
  <si>
    <t>Intermediate floor x2: plaster</t>
  </si>
  <si>
    <t>CMF_1960_1_INTERMEDIATEFLOOR_PLASTER_T0005_S</t>
  </si>
  <si>
    <t>Intermediate floor x9: plastic mat</t>
  </si>
  <si>
    <t>CMF_1950_INTERMEDIATEFLOOR_PLASTICMAT_T001_S</t>
  </si>
  <si>
    <t>Intermediate floor x9: concrete mixed with sawdust</t>
  </si>
  <si>
    <t>CMF_1950_INTERMEDIATEFLOOR_CONCRETESAWDUST_T005_S</t>
  </si>
  <si>
    <t>Intermediate floor x9: coke ash</t>
  </si>
  <si>
    <t>CMF_1950_INTERMEDIATEFLOOR_COKEASH_T008_S</t>
  </si>
  <si>
    <t>Intermediate floor x9: concrete</t>
  </si>
  <si>
    <t>CMF_1950_INTERMEDIATEFLOOR_CONCRETE_T016_S</t>
  </si>
  <si>
    <t>Intermediate floor x9: plaster</t>
  </si>
  <si>
    <t>CMF_1950_INTERMEDIATEFLOOR_PLASTER_T0005_S</t>
  </si>
  <si>
    <t>Bottom Floor: reinforced concrete: concrete</t>
  </si>
  <si>
    <t>CMF_1940_1_BOTTOMFLOOR_REINFORCEDCONCRETE_T160_S</t>
  </si>
  <si>
    <t>Bottom Floor: reinforced concrete: steel</t>
  </si>
  <si>
    <t>CMF_1940_1_BOTTOMFLOOR_REINFORCEDSTEEL_T160_S</t>
  </si>
  <si>
    <t>steel</t>
  </si>
  <si>
    <t>Bottom Floor: coke ash</t>
  </si>
  <si>
    <t>CMF_1940_1_BOTTOMFLOOR_COKEASH_T80_S</t>
  </si>
  <si>
    <t>Bottom Floor: concrete</t>
  </si>
  <si>
    <t>CMF_1940_BOTTOMFLOOR_CONCRETE_T50_S</t>
  </si>
  <si>
    <t>Bottom Floor: vinyl flooring</t>
  </si>
  <si>
    <t>CMF_1940_BOTTOMFLOOR_VINYLFLOORING_T40_S</t>
  </si>
  <si>
    <t>Component Code</t>
  </si>
  <si>
    <t>Layer Index</t>
  </si>
  <si>
    <t>Shearing Layer</t>
  </si>
  <si>
    <t>Component Code as ARCHETYPE_APPLICATION_SHEARINGLAYER_NO.LAYERS</t>
  </si>
  <si>
    <t>Order of layer from exterior to interior</t>
  </si>
  <si>
    <t>Index of layer, from exterior to interior where 0 is most exterior</t>
  </si>
  <si>
    <t>Shearing Layer as in Brand model</t>
  </si>
  <si>
    <t>Qualitative information about the components.</t>
  </si>
  <si>
    <t>CMF_1950_ROOF_SKIN_2</t>
  </si>
  <si>
    <t>Skin</t>
  </si>
  <si>
    <t>Cold roof, no insulation as part of outermost structure</t>
  </si>
  <si>
    <t>CMF_1950_ROOF_STRUCTURE_3</t>
  </si>
  <si>
    <t>Structure</t>
  </si>
  <si>
    <t>Minor impact on thermal performance of roof structure as they are not interupting any insulation layer.</t>
  </si>
  <si>
    <t>CMF_1950_TOPFLOOR_SPACE_2</t>
  </si>
  <si>
    <t>Space</t>
  </si>
  <si>
    <t>Insulating "roof" structure</t>
  </si>
  <si>
    <t>CMF_1950_TOPFLOOR_STRUCTURE_1</t>
  </si>
  <si>
    <t>CMF_1950_EXTERNALWALL1.6_SKIN_1</t>
  </si>
  <si>
    <t>CMF_1950_EXTERNALWALL1.6_STRUCTURE_3</t>
  </si>
  <si>
    <t>CMF_1950_EXTERNALWALL1.6_SPACE_1</t>
  </si>
  <si>
    <t>CMF_1950_EXTERNALWALL7.10_SKIN_1</t>
  </si>
  <si>
    <t>CMF_1950_EXTERNALWALL1.7_STRUCTURE_1</t>
  </si>
  <si>
    <t>CMF_1950_EXTERNALWALL7.10_SPACE_1</t>
  </si>
  <si>
    <t>CMF_1950_EXTERNALWALL11_SKIN_1</t>
  </si>
  <si>
    <t>CMF_1950_EXTERNALWALL11_STRUCTURE_1</t>
  </si>
  <si>
    <t>CMF_1950_BOTTOMFLOOR_SPACE_2</t>
  </si>
  <si>
    <t>CMF_1950_BOTTOMFLOOR_STRUCTURE_3</t>
  </si>
  <si>
    <t>CMF_1950_INTERIORWALLBEARING_SKIN_1</t>
  </si>
  <si>
    <t>CMF_1950_INTERIORWALLBEARING_STRUCTURE_1</t>
  </si>
  <si>
    <t>CMF_1950_INTERIORWALLNONBEARING_SPACE_1</t>
  </si>
  <si>
    <t>CMF_1950_INTERIORWALLNONBEARING_STRUCTURE_1</t>
  </si>
  <si>
    <t>CMF_1950_INTERMEDIATEFLOOR_SPACE_3</t>
  </si>
  <si>
    <t>CMF_1950_INTERMEDIATEFLOOR_STRUCTURE_1</t>
  </si>
  <si>
    <t>CMF_1950_INTERMEDIATEFLOOR_SPACE_1</t>
  </si>
  <si>
    <t>CMF_1960_1_ROOF_SKIN_5</t>
  </si>
  <si>
    <t>Double check in book</t>
  </si>
  <si>
    <t>CMF_1960_1_EXTERIORWALL075_SKIN_1</t>
  </si>
  <si>
    <t>CMF_1960_1_EXTERIORWALL075_STRUCTURE_1</t>
  </si>
  <si>
    <t>Is the mineral wool here regarded as structure since its a composite layer?</t>
  </si>
  <si>
    <t>CMF_1960_1_EXTERIORWALL075_SPACE_1</t>
  </si>
  <si>
    <t>CMF_1960_1_EXTERIORWALL025_SKIN_1</t>
  </si>
  <si>
    <t>CMF_1960_1_EXTERIORWALL025_STRUCTURE_1</t>
  </si>
  <si>
    <t>CMF_1960_1_EXTERIORWALL025_SPACE_2</t>
  </si>
  <si>
    <t>CMF_1960_1_BOTTOMFLOOR_SPACE_2</t>
  </si>
  <si>
    <t>CMF_1960_1_BOTTOMFLOOR_STRUCTURE_1</t>
  </si>
  <si>
    <t>CMF_1960_1_BOTTOMFLOOR_SKIN_1</t>
  </si>
  <si>
    <t>What should shearing layer be here?</t>
  </si>
  <si>
    <t>Window: Skin</t>
  </si>
  <si>
    <t>CMF_1960_1_TOPFLOOR_SPACE_3</t>
  </si>
  <si>
    <t>CMF_1960_1_TOPFLOOR_STRUCTURE_1</t>
  </si>
  <si>
    <t>CMF_1960_1_INTERIORWALLBEARING_SPACE_1</t>
  </si>
  <si>
    <t>CMF_1960_1_INTERIORWALLBEARING_STRUCTURE_1</t>
  </si>
  <si>
    <t>CMF_1960_1_INTERIORWALLNONBEARING_SPACE_1</t>
  </si>
  <si>
    <t>CMF_1960_1_INTERIORWALLNONBEARING_STRUCTURE_1</t>
  </si>
  <si>
    <t>CMF_1960_1_INTERMEDIATEFLOOR_SPACE_2</t>
  </si>
  <si>
    <t>CMF_1960_1_INTERMEDIATEFLOOR_STRUCTURE_1</t>
  </si>
  <si>
    <t>CMF_1960_1_INTERMEDIATEFLOOR_SPACE_1</t>
  </si>
  <si>
    <t>CMF_1960_2_ROOF_SKIN_3</t>
  </si>
  <si>
    <t>CMF_1960_2_ROOF_STRUCTURE_3</t>
  </si>
  <si>
    <t>CMF_1960_2_TOPFLOOR_SPACE_2</t>
  </si>
  <si>
    <t>CMF_1960_2_TOPFLOOR_STRUCTURE_1</t>
  </si>
  <si>
    <t>CMF_1960_2_EXTERIORWALL085_SKIN_1</t>
  </si>
  <si>
    <t>Missing, needs check in "Så byggdes husen"</t>
  </si>
  <si>
    <t>CMF_1960_2_EXTERIORWALL085_STRUCTURE_2</t>
  </si>
  <si>
    <t>CMF_1960_2_EXTERIORWALL085_SPACE_1</t>
  </si>
  <si>
    <t>CMF_1960_2_EXTERIORWALL015_SKIN_2</t>
  </si>
  <si>
    <t>CMF_1960_2_EXTERIORWALL015_STRUCTURE_1</t>
  </si>
  <si>
    <t>CMF_1960_2_EXTERIORWALL015_SPACE_2</t>
  </si>
  <si>
    <t>wooden frame</t>
  </si>
  <si>
    <t>glass</t>
  </si>
  <si>
    <t>Window: Structure</t>
  </si>
  <si>
    <t>light weight concrete beam</t>
  </si>
  <si>
    <t>Missing from BUD_MI</t>
  </si>
  <si>
    <t>CMF_1960_2_INTERIORWALLBEARING_SPACE_1</t>
  </si>
  <si>
    <t>CMF_1960_2_INTERIORWALLBEARING_STRUCTURE_1</t>
  </si>
  <si>
    <t>Roof: Structure</t>
  </si>
  <si>
    <t>truss</t>
  </si>
  <si>
    <t>beam plate</t>
  </si>
  <si>
    <t>CMF_1940_1_ROOF_SKIN_4</t>
  </si>
  <si>
    <t>CMF_1940_1_TOPFLOOR_SPACE_3</t>
  </si>
  <si>
    <t>CMF_1940_1_TOPFLOOR_STRUCTURE_1</t>
  </si>
  <si>
    <t>Intermediate Floor: Space (living room)</t>
  </si>
  <si>
    <t>Intermediate Floor: Structure</t>
  </si>
  <si>
    <t xml:space="preserve">Intermediate Floor: Space </t>
  </si>
  <si>
    <t>missing in BUD_MI</t>
  </si>
  <si>
    <t>over-concrete?</t>
  </si>
  <si>
    <t>Intermediate Floor: Space (bathroom)</t>
  </si>
  <si>
    <t>tiles</t>
  </si>
  <si>
    <t>some type of insulation</t>
  </si>
  <si>
    <t>coke ash</t>
  </si>
  <si>
    <t>Exterior Wall: Skin</t>
  </si>
  <si>
    <t>slätputsad</t>
  </si>
  <si>
    <t>Exterior Wall: Structure</t>
  </si>
  <si>
    <t>Exterior Wall: Space</t>
  </si>
  <si>
    <t>spritputsad</t>
  </si>
  <si>
    <t>glazing</t>
  </si>
  <si>
    <t>Assumed as 3-pane, though looks like 2 pane in image</t>
  </si>
  <si>
    <t>Small Window: Skin</t>
  </si>
  <si>
    <t>Small Window: Structure</t>
  </si>
  <si>
    <t>Interior Wall, bearing: Space</t>
  </si>
  <si>
    <t xml:space="preserve">Goes on both sides of structure, </t>
  </si>
  <si>
    <t>Interior Wall, bearing: Structure</t>
  </si>
  <si>
    <t>Couldn't verify this element</t>
  </si>
  <si>
    <t>Interior Wall, non bearing: Space</t>
  </si>
  <si>
    <t>CMF_1940_1_BOTTOMFLOOR_STRUCTURE_1</t>
  </si>
  <si>
    <t>CMF_1940_1_BOTTOMFLOOR_SPACE_3</t>
  </si>
  <si>
    <t>Dry Sand</t>
  </si>
  <si>
    <t>1/2IN Gypsum</t>
  </si>
  <si>
    <t>Dry Dust</t>
  </si>
  <si>
    <t>Wood Frame NonRes Wall Insulation-0.73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</si>
</sst>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0" x14ac:knownFonts="1">
    <font>
      <sz val="12"/>
      <color theme="1"/>
      <name val="Aptos Narrow"/>
      <family val="2"/>
      <scheme val="minor"/>
    </font>
    <font>
      <b/>
      <sz val="12"/>
      <name val="Calibri"/>
      <family val="2"/>
    </font>
    <font>
      <i/>
      <sz val="10"/>
      <name val="Calibri"/>
      <family val="2"/>
    </font>
    <font>
      <b/>
      <i/>
      <sz val="12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434343"/>
      <name val="Calibri"/>
      <family val="2"/>
    </font>
    <font>
      <sz val="12"/>
      <color rgb="FF434343"/>
      <name val="Open Sans"/>
      <charset val="1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434343"/>
      <name val="Calibri"/>
      <family val="2"/>
    </font>
    <font>
      <i/>
      <sz val="12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333333"/>
      <name val="Calibri"/>
      <family val="2"/>
    </font>
    <font>
      <b/>
      <sz val="12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Calibri"/>
      <family val="2"/>
    </font>
    <font>
      <sz val="11"/>
      <color rgb="FF9CDCFE"/>
      <name val="Consolas"/>
      <charset val="1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  <charset val="1"/>
    </font>
    <font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808080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5" borderId="5" xfId="0" applyFont="1" applyFill="1" applyBorder="1" applyAlignment="1">
      <alignment horizontal="left" vertical="center" wrapText="1"/>
    </xf>
    <xf numFmtId="0" fontId="4" fillId="0" borderId="5" xfId="0" applyFont="1" applyBorder="1"/>
    <xf numFmtId="0" fontId="4" fillId="0" borderId="2" xfId="0" applyFont="1" applyBorder="1"/>
    <xf numFmtId="0" fontId="4" fillId="0" borderId="0" xfId="0" applyFont="1"/>
    <xf numFmtId="0" fontId="4" fillId="0" borderId="1" xfId="0" applyFont="1" applyBorder="1"/>
    <xf numFmtId="0" fontId="4" fillId="0" borderId="7" xfId="0" applyFont="1" applyBorder="1"/>
    <xf numFmtId="0" fontId="8" fillId="0" borderId="0" xfId="0" applyFont="1"/>
    <xf numFmtId="0" fontId="9" fillId="0" borderId="0" xfId="0" applyFont="1"/>
    <xf numFmtId="0" fontId="9" fillId="10" borderId="0" xfId="0" applyFont="1" applyFill="1"/>
    <xf numFmtId="0" fontId="4" fillId="0" borderId="3" xfId="0" applyFont="1" applyBorder="1"/>
    <xf numFmtId="0" fontId="4" fillId="0" borderId="8" xfId="0" applyFont="1" applyBorder="1"/>
    <xf numFmtId="0" fontId="13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6" fillId="0" borderId="7" xfId="0" applyFont="1" applyBorder="1"/>
    <xf numFmtId="0" fontId="8" fillId="0" borderId="7" xfId="0" applyFont="1" applyBorder="1"/>
    <xf numFmtId="0" fontId="4" fillId="11" borderId="1" xfId="0" applyFont="1" applyFill="1" applyBorder="1"/>
    <xf numFmtId="0" fontId="0" fillId="11" borderId="1" xfId="0" applyFill="1" applyBorder="1"/>
    <xf numFmtId="0" fontId="4" fillId="9" borderId="1" xfId="0" applyFont="1" applyFill="1" applyBorder="1"/>
    <xf numFmtId="0" fontId="0" fillId="9" borderId="1" xfId="0" applyFill="1" applyBorder="1"/>
    <xf numFmtId="0" fontId="4" fillId="12" borderId="1" xfId="0" applyFont="1" applyFill="1" applyBorder="1"/>
    <xf numFmtId="2" fontId="4" fillId="11" borderId="1" xfId="0" applyNumberFormat="1" applyFont="1" applyFill="1" applyBorder="1"/>
    <xf numFmtId="0" fontId="4" fillId="14" borderId="1" xfId="0" applyFont="1" applyFill="1" applyBorder="1"/>
    <xf numFmtId="0" fontId="17" fillId="11" borderId="1" xfId="0" applyFont="1" applyFill="1" applyBorder="1"/>
    <xf numFmtId="0" fontId="17" fillId="9" borderId="1" xfId="0" applyFont="1" applyFill="1" applyBorder="1"/>
    <xf numFmtId="0" fontId="17" fillId="0" borderId="1" xfId="0" applyFont="1" applyBorder="1"/>
    <xf numFmtId="2" fontId="17" fillId="0" borderId="1" xfId="0" applyNumberFormat="1" applyFont="1" applyBorder="1"/>
    <xf numFmtId="2" fontId="17" fillId="11" borderId="1" xfId="0" applyNumberFormat="1" applyFont="1" applyFill="1" applyBorder="1"/>
    <xf numFmtId="0" fontId="4" fillId="0" borderId="6" xfId="0" applyFont="1" applyBorder="1"/>
    <xf numFmtId="0" fontId="11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9" fillId="0" borderId="1" xfId="0" applyFont="1" applyBorder="1"/>
    <xf numFmtId="0" fontId="9" fillId="8" borderId="1" xfId="0" applyFont="1" applyFill="1" applyBorder="1"/>
    <xf numFmtId="0" fontId="5" fillId="10" borderId="1" xfId="0" applyFont="1" applyFill="1" applyBorder="1"/>
    <xf numFmtId="0" fontId="9" fillId="10" borderId="1" xfId="0" applyFont="1" applyFill="1" applyBorder="1"/>
    <xf numFmtId="0" fontId="10" fillId="0" borderId="1" xfId="0" applyFont="1" applyBorder="1"/>
    <xf numFmtId="0" fontId="7" fillId="0" borderId="1" xfId="0" applyFont="1" applyBorder="1"/>
    <xf numFmtId="0" fontId="5" fillId="11" borderId="1" xfId="0" applyFont="1" applyFill="1" applyBorder="1"/>
    <xf numFmtId="0" fontId="10" fillId="11" borderId="1" xfId="0" applyFont="1" applyFill="1" applyBorder="1"/>
    <xf numFmtId="0" fontId="9" fillId="11" borderId="1" xfId="0" applyFont="1" applyFill="1" applyBorder="1"/>
    <xf numFmtId="0" fontId="12" fillId="11" borderId="1" xfId="0" applyFont="1" applyFill="1" applyBorder="1"/>
    <xf numFmtId="0" fontId="18" fillId="6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5" fillId="15" borderId="1" xfId="0" applyNumberFormat="1" applyFont="1" applyFill="1" applyBorder="1" applyAlignment="1">
      <alignment horizontal="left" vertical="center" wrapText="1"/>
    </xf>
    <xf numFmtId="0" fontId="0" fillId="15" borderId="1" xfId="0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 wrapText="1"/>
    </xf>
    <xf numFmtId="164" fontId="0" fillId="15" borderId="1" xfId="0" applyNumberForma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center" wrapText="1"/>
    </xf>
    <xf numFmtId="164" fontId="0" fillId="16" borderId="1" xfId="0" applyNumberFormat="1" applyFill="1" applyBorder="1" applyAlignment="1">
      <alignment horizontal="left" vertical="center"/>
    </xf>
    <xf numFmtId="0" fontId="4" fillId="15" borderId="1" xfId="0" applyFont="1" applyFill="1" applyBorder="1" applyAlignment="1">
      <alignment wrapText="1"/>
    </xf>
    <xf numFmtId="0" fontId="0" fillId="16" borderId="1" xfId="0" applyFill="1" applyBorder="1" applyAlignment="1">
      <alignment horizontal="left" vertical="center" wrapText="1"/>
    </xf>
    <xf numFmtId="0" fontId="9" fillId="14" borderId="0" xfId="0" applyFont="1" applyFill="1"/>
    <xf numFmtId="0" fontId="0" fillId="14" borderId="0" xfId="0" applyFill="1"/>
    <xf numFmtId="0" fontId="4" fillId="14" borderId="0" xfId="0" applyFont="1" applyFill="1"/>
    <xf numFmtId="0" fontId="5" fillId="14" borderId="0" xfId="0" applyFont="1" applyFill="1"/>
    <xf numFmtId="16" fontId="9" fillId="14" borderId="0" xfId="0" applyNumberFormat="1" applyFont="1" applyFill="1"/>
    <xf numFmtId="0" fontId="2" fillId="5" borderId="1" xfId="0" applyFont="1" applyFill="1" applyBorder="1" applyAlignment="1">
      <alignment horizontal="left" vertical="center" wrapText="1"/>
    </xf>
    <xf numFmtId="0" fontId="4" fillId="17" borderId="1" xfId="0" applyFont="1" applyFill="1" applyBorder="1"/>
    <xf numFmtId="0" fontId="4" fillId="10" borderId="1" xfId="0" applyFont="1" applyFill="1" applyBorder="1"/>
    <xf numFmtId="0" fontId="4" fillId="18" borderId="1" xfId="0" applyFont="1" applyFill="1" applyBorder="1"/>
    <xf numFmtId="0" fontId="4" fillId="0" borderId="1" xfId="0" applyFont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2" xfId="0" applyFont="1" applyFill="1" applyBorder="1"/>
    <xf numFmtId="0" fontId="4" fillId="12" borderId="2" xfId="0" applyFont="1" applyFill="1" applyBorder="1"/>
    <xf numFmtId="0" fontId="0" fillId="14" borderId="1" xfId="0" applyFill="1" applyBorder="1"/>
    <xf numFmtId="2" fontId="4" fillId="14" borderId="1" xfId="0" applyNumberFormat="1" applyFont="1" applyFill="1" applyBorder="1"/>
    <xf numFmtId="0" fontId="17" fillId="14" borderId="1" xfId="0" applyFont="1" applyFill="1" applyBorder="1"/>
    <xf numFmtId="0" fontId="0" fillId="14" borderId="1" xfId="0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10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left" vertical="center" wrapText="1"/>
    </xf>
    <xf numFmtId="0" fontId="4" fillId="14" borderId="0" xfId="0" applyFont="1" applyFill="1" applyAlignment="1">
      <alignment horizontal="left"/>
    </xf>
    <xf numFmtId="0" fontId="0" fillId="14" borderId="1" xfId="0" applyFill="1" applyBorder="1" applyAlignment="1">
      <alignment horizontal="left" vertical="center"/>
    </xf>
    <xf numFmtId="0" fontId="4" fillId="0" borderId="9" xfId="0" applyFont="1" applyBorder="1"/>
    <xf numFmtId="0" fontId="21" fillId="0" borderId="1" xfId="0" applyFont="1" applyBorder="1" applyAlignment="1">
      <alignment horizontal="right" vertical="center"/>
    </xf>
    <xf numFmtId="0" fontId="0" fillId="14" borderId="4" xfId="0" applyFill="1" applyBorder="1"/>
    <xf numFmtId="0" fontId="2" fillId="3" borderId="10" xfId="0" applyFont="1" applyFill="1" applyBorder="1" applyAlignment="1">
      <alignment horizontal="left" vertical="center" wrapText="1"/>
    </xf>
    <xf numFmtId="0" fontId="4" fillId="11" borderId="10" xfId="0" applyFont="1" applyFill="1" applyBorder="1"/>
    <xf numFmtId="0" fontId="4" fillId="9" borderId="10" xfId="0" applyFont="1" applyFill="1" applyBorder="1"/>
    <xf numFmtId="0" fontId="4" fillId="0" borderId="10" xfId="0" applyFont="1" applyBorder="1"/>
    <xf numFmtId="0" fontId="4" fillId="12" borderId="10" xfId="0" applyFont="1" applyFill="1" applyBorder="1"/>
    <xf numFmtId="0" fontId="4" fillId="14" borderId="10" xfId="0" applyFont="1" applyFill="1" applyBorder="1"/>
    <xf numFmtId="0" fontId="0" fillId="14" borderId="10" xfId="0" applyFill="1" applyBorder="1"/>
    <xf numFmtId="0" fontId="20" fillId="0" borderId="10" xfId="0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/>
    </xf>
    <xf numFmtId="0" fontId="0" fillId="11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3" xfId="0" applyFill="1" applyBorder="1"/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0" fontId="21" fillId="0" borderId="4" xfId="0" applyFont="1" applyBorder="1" applyAlignment="1">
      <alignment horizontal="right" vertical="center"/>
    </xf>
    <xf numFmtId="0" fontId="0" fillId="14" borderId="13" xfId="0" applyFill="1" applyBorder="1"/>
    <xf numFmtId="0" fontId="23" fillId="17" borderId="1" xfId="0" applyFont="1" applyFill="1" applyBorder="1"/>
    <xf numFmtId="0" fontId="23" fillId="17" borderId="2" xfId="0" applyFont="1" applyFill="1" applyBorder="1"/>
    <xf numFmtId="0" fontId="0" fillId="20" borderId="1" xfId="0" applyFill="1" applyBorder="1"/>
    <xf numFmtId="0" fontId="5" fillId="11" borderId="4" xfId="0" applyFont="1" applyFill="1" applyBorder="1"/>
    <xf numFmtId="0" fontId="10" fillId="11" borderId="4" xfId="0" applyFont="1" applyFill="1" applyBorder="1"/>
    <xf numFmtId="0" fontId="9" fillId="11" borderId="4" xfId="0" applyFont="1" applyFill="1" applyBorder="1"/>
    <xf numFmtId="0" fontId="24" fillId="0" borderId="0" xfId="0" applyFont="1"/>
    <xf numFmtId="0" fontId="26" fillId="0" borderId="0" xfId="0" applyFont="1"/>
    <xf numFmtId="0" fontId="24" fillId="0" borderId="14" xfId="0" applyFont="1" applyBorder="1"/>
    <xf numFmtId="0" fontId="20" fillId="0" borderId="0" xfId="0" applyFont="1" applyAlignment="1">
      <alignment vertical="center"/>
    </xf>
    <xf numFmtId="0" fontId="26" fillId="14" borderId="0" xfId="0" applyFont="1" applyFill="1"/>
    <xf numFmtId="0" fontId="27" fillId="14" borderId="7" xfId="0" applyFont="1" applyFill="1" applyBorder="1"/>
    <xf numFmtId="0" fontId="27" fillId="14" borderId="15" xfId="0" applyFont="1" applyFill="1" applyBorder="1"/>
    <xf numFmtId="0" fontId="27" fillId="14" borderId="0" xfId="0" applyFont="1" applyFill="1"/>
    <xf numFmtId="0" fontId="17" fillId="14" borderId="0" xfId="0" applyFont="1" applyFill="1"/>
    <xf numFmtId="0" fontId="27" fillId="11" borderId="7" xfId="0" applyFont="1" applyFill="1" applyBorder="1"/>
    <xf numFmtId="0" fontId="27" fillId="11" borderId="15" xfId="0" applyFont="1" applyFill="1" applyBorder="1"/>
    <xf numFmtId="0" fontId="27" fillId="14" borderId="14" xfId="0" applyFont="1" applyFill="1" applyBorder="1"/>
    <xf numFmtId="0" fontId="27" fillId="14" borderId="16" xfId="0" applyFont="1" applyFill="1" applyBorder="1"/>
    <xf numFmtId="0" fontId="0" fillId="14" borderId="0" xfId="0" applyFill="1" applyAlignment="1">
      <alignment horizontal="center" vertical="center"/>
    </xf>
    <xf numFmtId="0" fontId="4" fillId="17" borderId="7" xfId="0" applyFont="1" applyFill="1" applyBorder="1"/>
    <xf numFmtId="0" fontId="4" fillId="0" borderId="7" xfId="0" applyFont="1" applyBorder="1" applyAlignment="1">
      <alignment horizontal="left" vertical="center"/>
    </xf>
    <xf numFmtId="0" fontId="4" fillId="14" borderId="7" xfId="0" applyFont="1" applyFill="1" applyBorder="1"/>
    <xf numFmtId="0" fontId="4" fillId="14" borderId="7" xfId="0" applyFont="1" applyFill="1" applyBorder="1" applyAlignment="1">
      <alignment horizontal="left"/>
    </xf>
    <xf numFmtId="0" fontId="28" fillId="0" borderId="7" xfId="0" applyFont="1" applyBorder="1"/>
    <xf numFmtId="0" fontId="7" fillId="14" borderId="0" xfId="0" applyFont="1" applyFill="1"/>
    <xf numFmtId="0" fontId="10" fillId="14" borderId="0" xfId="0" applyFont="1" applyFill="1"/>
    <xf numFmtId="0" fontId="25" fillId="14" borderId="0" xfId="0" applyFont="1" applyFill="1"/>
    <xf numFmtId="0" fontId="10" fillId="0" borderId="0" xfId="0" applyFont="1"/>
    <xf numFmtId="0" fontId="12" fillId="0" borderId="0" xfId="0" applyFont="1" applyAlignment="1">
      <alignment vertical="center"/>
    </xf>
    <xf numFmtId="0" fontId="12" fillId="0" borderId="1" xfId="0" applyFont="1" applyBorder="1"/>
    <xf numFmtId="0" fontId="5" fillId="0" borderId="1" xfId="0" quotePrefix="1" applyFont="1" applyBorder="1"/>
    <xf numFmtId="0" fontId="5" fillId="9" borderId="1" xfId="0" applyFont="1" applyFill="1" applyBorder="1"/>
    <xf numFmtId="0" fontId="6" fillId="0" borderId="7" xfId="0" applyFont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19" borderId="5" xfId="0" applyFont="1" applyFill="1" applyBorder="1"/>
    <xf numFmtId="0" fontId="4" fillId="19" borderId="2" xfId="0" applyFont="1" applyFill="1" applyBorder="1"/>
    <xf numFmtId="0" fontId="4" fillId="0" borderId="5" xfId="0" applyFont="1" applyBorder="1"/>
    <xf numFmtId="0" fontId="4" fillId="0" borderId="2" xfId="0" applyFont="1" applyBorder="1"/>
    <xf numFmtId="0" fontId="4" fillId="11" borderId="5" xfId="0" applyFont="1" applyFill="1" applyBorder="1"/>
    <xf numFmtId="0" fontId="4" fillId="11" borderId="2" xfId="0" applyFont="1" applyFill="1" applyBorder="1"/>
    <xf numFmtId="0" fontId="4" fillId="11" borderId="6" xfId="0" applyFont="1" applyFill="1" applyBorder="1"/>
    <xf numFmtId="0" fontId="4" fillId="0" borderId="6" xfId="0" applyFont="1" applyBorder="1"/>
    <xf numFmtId="0" fontId="4" fillId="14" borderId="0" xfId="0" applyFont="1" applyFill="1"/>
    <xf numFmtId="0" fontId="4" fillId="10" borderId="5" xfId="0" applyFont="1" applyFill="1" applyBorder="1"/>
    <xf numFmtId="0" fontId="4" fillId="10" borderId="6" xfId="0" applyFont="1" applyFill="1" applyBorder="1"/>
    <xf numFmtId="0" fontId="4" fillId="0" borderId="4" xfId="0" applyFont="1" applyBorder="1"/>
    <xf numFmtId="0" fontId="4" fillId="14" borderId="14" xfId="0" applyFont="1" applyFill="1" applyBorder="1" applyAlignment="1">
      <alignment horizontal="left"/>
    </xf>
    <xf numFmtId="0" fontId="4" fillId="14" borderId="17" xfId="0" applyFont="1" applyFill="1" applyBorder="1" applyAlignment="1">
      <alignment horizontal="left"/>
    </xf>
    <xf numFmtId="0" fontId="4" fillId="14" borderId="18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11" borderId="1" xfId="0" applyFont="1" applyFill="1" applyBorder="1"/>
    <xf numFmtId="0" fontId="4" fillId="0" borderId="2" xfId="0" applyFont="1" applyBorder="1" applyAlignment="1">
      <alignment horizontal="center"/>
    </xf>
    <xf numFmtId="0" fontId="12" fillId="10" borderId="0" xfId="0" applyFont="1" applyFill="1" applyAlignment="1">
      <alignment vertical="center"/>
    </xf>
    <xf numFmtId="0" fontId="0" fillId="10" borderId="0" xfId="0" applyFill="1"/>
    <xf numFmtId="0" fontId="5" fillId="10" borderId="1" xfId="0" quotePrefix="1" applyFont="1" applyFill="1" applyBorder="1"/>
    <xf numFmtId="0" fontId="5" fillId="14" borderId="1" xfId="0" applyFont="1" applyFill="1" applyBorder="1"/>
    <xf numFmtId="0" fontId="9" fillId="14" borderId="1" xfId="0" applyFont="1" applyFill="1" applyBorder="1"/>
  </cellXfs>
  <cellStyles count="1">
    <cellStyle name="Normal" xfId="0" builtinId="0"/>
  </cellStyles>
  <dxfs count="21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80808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lmers.sharepoint.com/sites/ChalmersEM-MLforrenovation/Shared%20Documents/Data%20Request/From%20Maud%20-%20BUDMI/Multi%20Family%20Houses/CMF/BUD_MI_CMF_1950.xlsx" TargetMode="External"/><Relationship Id="rId1" Type="http://schemas.openxmlformats.org/officeDocument/2006/relationships/externalLinkPath" Target="https://chalmers.sharepoint.com/sites/ChalmersEM-MLforrenovation/Shared%20Documents/Data%20Request/From%20Maud%20-%20BUDMI/Multi%20Family%20Houses/CMF/BUD_MI_CMF_19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ntent"/>
      <sheetName val="Building information"/>
      <sheetName val="Scope &amp; Data"/>
      <sheetName val="Bill of material"/>
      <sheetName val="Search materials"/>
      <sheetName val="Rules of thumb"/>
      <sheetName val="Result summary"/>
      <sheetName val="Format bespoke MI"/>
      <sheetName val="Bespoke MI results"/>
      <sheetName val="Open MI database format"/>
      <sheetName val="Dropdowns"/>
      <sheetName val="Material_classif_dropdowns"/>
      <sheetName val="Densities"/>
      <sheetName val="Crossmatch material classific."/>
      <sheetName val="Refere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jamila mamedova" id="{B922D462-EEF4-49CB-AA8E-A16643E336EE}" userId="d2285c9a681ecf18" providerId="Windows Live"/>
  <person displayName="Djamila Mamedova" id="{B4433DAF-B1B3-3C42-9739-78512C18A3E2}" userId="S::djamila@chalmers.se::bbcc061e-ef60-4d9e-9893-c35d5d2e025a" providerId="AD"/>
  <person displayName="Johan Blomsterberg" id="{D0E443BE-EF5D-8745-A7E9-5255254BEDCE}" userId="S::johanblo@chalmers.se::f1afd820-6d86-43ca-a7f8-651962eebcd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C1468B-1F8E-9244-BAF2-CEC2031D88A5}" name="Table2" displayName="Table2" ref="A1:P123" totalsRowShown="0" headerRowDxfId="20" dataDxfId="18" headerRowBorderDxfId="19" tableBorderDxfId="17" totalsRowBorderDxfId="16">
  <autoFilter ref="A1:P123" xr:uid="{D7C1468B-1F8E-9244-BAF2-CEC2031D88A5}"/>
  <tableColumns count="16">
    <tableColumn id="1" xr3:uid="{7BD56A7C-A607-AD4E-8626-08AA691B1D01}" name="Layer Name" dataDxfId="15"/>
    <tableColumn id="2" xr3:uid="{EE8588CA-A90A-CA45-9257-E0F6106D1E89}" name="Layer Code" dataDxfId="14"/>
    <tableColumn id="3" xr3:uid="{ABB4A196-CE3B-F345-AB33-A3848063AC3A}" name="Layer Thickness" dataDxfId="13"/>
    <tableColumn id="4" xr3:uid="{FAD108E0-7428-7940-A117-7A17B7667632}" name="Composite Layer?" dataDxfId="12"/>
    <tableColumn id="5" xr3:uid="{1ED01896-526A-7245-81B3-28088C3CC36D}" name="Material 1" dataDxfId="11"/>
    <tableColumn id="6" xr3:uid="{50B7524D-E332-E840-8A4E-8AA4BE363A55}" name="Material 1 Area Ratio" dataDxfId="10"/>
    <tableColumn id="7" xr3:uid="{8F00AC5E-AA9E-FA4F-A5CA-F4CCDBAEA188}" name="Material 1 Thickness" dataDxfId="9"/>
    <tableColumn id="8" xr3:uid="{C368C239-C735-D94C-A565-4602273D69B1}" name="Material 2" dataDxfId="8"/>
    <tableColumn id="9" xr3:uid="{B78EC2EB-777D-FD46-89AF-F5C2C01C283A}" name="Material 2 Area Ratio" dataDxfId="7"/>
    <tableColumn id="10" xr3:uid="{B6558ABC-4830-864D-B440-C5FCDDF39455}" name="Material 2 Thickness" dataDxfId="6"/>
    <tableColumn id="11" xr3:uid="{C9FF7740-0EE0-E84F-94B4-ACB71B630EE9}" name="Material 3" dataDxfId="5"/>
    <tableColumn id="12" xr3:uid="{71610C1C-B027-5043-BE56-AFF373D87362}" name="Material 3 Area Ratio" dataDxfId="4"/>
    <tableColumn id="13" xr3:uid="{B2428537-87CB-A34F-8DCF-8A5807A570AA}" name="Material 3 Thickness" dataDxfId="3"/>
    <tableColumn id="14" xr3:uid="{D529CCD8-BD01-F74B-9F59-8EECAB4988C7}" name="Archetype" dataDxfId="2"/>
    <tableColumn id="15" xr3:uid="{D092D847-B768-BF44-87D7-04AE89E499FE}" name="Notes from Så byggdes husen 1880-2010" dataDxfId="1"/>
    <tableColumn id="16" xr3:uid="{1F2F6D06-9DC2-9845-B2EB-073714E44ADD}" name="Ignore?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6-02-11T13:27:32.61" personId="{B922D462-EEF4-49CB-AA8E-A16643E336EE}" id="{3206CACE-8394-4121-9269-0EA8CAAF86B2}">
    <text>Generic metal surface</text>
  </threadedComment>
  <threadedComment ref="A8" dT="2026-01-21T15:19:25.37" personId="{B4433DAF-B1B3-3C42-9739-78512C18A3E2}" id="{2113958F-D93A-4B72-9A27-4CE4FBEEAA3B}">
    <text>boverket and json doesnt contain any gravel type materials</text>
  </threadedComment>
  <threadedComment ref="C8" dT="2026-02-04T00:17:22.24" personId="{B922D462-EEF4-49CB-AA8E-A16643E336EE}" id="{E3B66A5C-4257-4423-90E2-3C4F485F94E4}">
    <text>Restproducts that are sometimes used are similar</text>
  </threadedComment>
  <threadedComment ref="E8" dT="2026-02-04T00:20:37.84" personId="{B922D462-EEF4-49CB-AA8E-A16643E336EE}" id="{63E75155-291D-404C-B313-1AF4E66194E8}">
    <text>Specific heat matched closest w value given in https://www.mdpi.com/2673-4109/2/1/14 
alt. M11 100mm lightweight concrete 
Density in SS-EN ISO 10456  for Concrete with more than 70 % expanded blast-furnace slag aggregate is 1100-1700 (Dry sand from json is about 1500)</text>
    <extLst>
      <x:ext xmlns:xltc2="http://schemas.microsoft.com/office/spreadsheetml/2020/threadedcomments2" uri="{F7C98A9C-CBB3-438F-8F68-D28B6AF4A901}">
        <xltc2:checksum>2363598260</xltc2:checksum>
        <xltc2:hyperlink startIndex="47" length="37" url="https://www.mdpi.com/2673-4109/2/1/14"/>
      </x:ext>
    </extLst>
  </threadedComment>
  <threadedComment ref="E10" dT="2026-02-11T13:40:56.15" personId="{B922D462-EEF4-49CB-AA8E-A16643E336EE}" id="{B2A9821F-0147-4752-848D-F3C9C655B99C}">
    <text>25mm Stucco
Fits better according to ISO</text>
  </threadedComment>
  <threadedComment ref="E11" dT="2026-02-11T13:55:59.21" personId="{B922D462-EEF4-49CB-AA8E-A16643E336EE}" id="{BB4FC2B9-BA1F-4EA5-B691-CF3EA295DA25}">
    <text>Works with autoclaved concrete given in SS-EN ISO 10456 (based on density and specific heat capacity)</text>
  </threadedComment>
  <threadedComment ref="C12" dT="2026-02-04T18:34:50.50" personId="{B922D462-EEF4-49CB-AA8E-A16643E336EE}" id="{261C8EBC-4D03-4C47-A332-27A70C92E6E5}">
    <text>Terrasit is a specific brand of plaster that utilises EPS (Expanding Polystyrene)</text>
  </threadedComment>
  <threadedComment ref="A15" dT="2025-12-05T07:06:02.23" personId="{B4433DAF-B1B3-3C42-9739-78512C18A3E2}" id="{19159A99-372E-4AEB-A2A3-8A2620179DC6}">
    <text>identical to plaster</text>
  </threadedComment>
  <threadedComment ref="C16" dT="2025-12-04T20:31:52.40" personId="{B4433DAF-B1B3-3C42-9739-78512C18A3E2}" id="{4768D1CA-0281-489C-8890-493EDF2E42FC}">
    <text> desc: Wood wool panels are made by mixing wood shavings with cement and lime as a binder and any paint.</text>
  </threadedComment>
  <threadedComment ref="E17" dT="2026-02-04T00:45:00.74" personId="{B922D462-EEF4-49CB-AA8E-A16643E336EE}" id="{6B629ABE-2EFA-4F2C-AD59-8B48A4573FA8}">
    <text>Closest when comparing values https://www.engineeringtoolbox.com/specific-heat-solids-d_154.html
https://www.engineeringtoolbox.com/thermal-conductivity-d_429.html</text>
    <extLst>
      <x:ext xmlns:xltc2="http://schemas.microsoft.com/office/spreadsheetml/2020/threadedcomments2" uri="{F7C98A9C-CBB3-438F-8F68-D28B6AF4A901}">
        <xltc2:checksum>3243349622</xltc2:checksum>
        <xltc2:hyperlink startIndex="30" length="66" url="https://www.engineeringtoolbox.com/specific-heat-solids-d_154.html"/>
        <xltc2:hyperlink startIndex="98" length="66" url="https://www.engineeringtoolbox.com/thermal-conductivity-d_429.html"/>
      </x:ext>
    </extLst>
  </threadedComment>
  <threadedComment ref="C18" dT="2025-12-04T20:51:07.45" personId="{B4433DAF-B1B3-3C42-9739-78512C18A3E2}" id="{D1C85F94-74D2-4C40-B2A6-CAE72652D12D}">
    <text>metal is a bit arbitrary</text>
  </threadedComment>
  <threadedComment ref="C21" dT="2025-12-04T22:07:40.49" personId="{B4433DAF-B1B3-3C42-9739-78512C18A3E2}" id="{31404CAB-DC9F-4DFA-BB4E-FBD9ADD6D463}">
    <text>closest</text>
  </threadedComment>
  <threadedComment ref="C24" dT="2025-12-04T21:52:33.21" personId="{B4433DAF-B1B3-3C42-9739-78512C18A3E2}" id="{AC4C6092-4E4D-460F-BFF6-05E9D096651F}">
    <text>stenull</text>
  </threadedComment>
  <threadedComment ref="E24" dT="2026-01-21T15:16:50.23" personId="{B4433DAF-B1B3-3C42-9739-78512C18A3E2}" id="{C76F23C2-744A-4F5B-8E93-C92988DCEE50}">
    <text>Based on closest conductivity match</text>
  </threadedComment>
  <threadedComment ref="C27" dT="2025-12-04T21:57:09.06" personId="{B4433DAF-B1B3-3C42-9739-78512C18A3E2}" id="{E593AE45-BFBC-4A98-85EB-1F88F0EF546C}">
    <text>similar but without the asbestos</text>
  </threadedComment>
  <threadedComment ref="E27" dT="2026-02-04T00:51:08.70" personId="{B922D462-EEF4-49CB-AA8E-A16643E336EE}" id="{718A134D-676E-4A8A-B271-F30AAE35BC96}">
    <text>https://help.iesve.com/ve2021/table_6_thermal_conductivity__specific_heat_capacity_and_density.htm</text>
    <extLst>
      <x:ext xmlns:xltc2="http://schemas.microsoft.com/office/spreadsheetml/2020/threadedcomments2" uri="{F7C98A9C-CBB3-438F-8F68-D28B6AF4A901}">
        <xltc2:checksum>3283481783</xltc2:checksum>
        <xltc2:hyperlink startIndex="0" length="98" url="https://help.iesve.com/ve2021/table_6_thermal_conductivity__specific_heat_capacity_and_density.htm"/>
      </x:ext>
    </extLst>
  </threadedComment>
  <threadedComment ref="C28" dT="2026-02-04T18:45:37.22" personId="{B922D462-EEF4-49CB-AA8E-A16643E336EE}" id="{F356163D-CC1D-44C8-933A-745241019FA2}">
    <text>Contains bitumen, otherwise 6000000140</text>
  </threadedComment>
  <threadedComment ref="E28" dT="2026-02-04T00:51:08.70" personId="{B922D462-EEF4-49CB-AA8E-A16643E336EE}" id="{87C1EFB4-FED1-400C-B715-2FFCC96D5F2D}">
    <text>https://help.iesve.com/ve2021/table_6_thermal_conductivity__specific_heat_capacity_and_density.htm</text>
    <extLst>
      <x:ext xmlns:xltc2="http://schemas.microsoft.com/office/spreadsheetml/2020/threadedcomments2" uri="{F7C98A9C-CBB3-438F-8F68-D28B6AF4A901}">
        <xltc2:checksum>3283481783</xltc2:checksum>
        <xltc2:hyperlink startIndex="0" length="98" url="https://help.iesve.com/ve2021/table_6_thermal_conductivity__specific_heat_capacity_and_density.htm"/>
      </x:ext>
    </extLst>
  </threadedComment>
  <threadedComment ref="C29" dT="2026-02-04T00:11:14.05" personId="{B922D462-EEF4-49CB-AA8E-A16643E336EE}" id="{E60A6551-649A-4C04-95E1-FA84B1B69D7E}">
    <text>Closest plastic product</text>
  </threadedComment>
  <threadedComment ref="C31" dT="2025-12-04T22:17:04.27" personId="{B4433DAF-B1B3-3C42-9739-78512C18A3E2}" id="{7268449F-3191-428A-8371-DD50056F1F43}">
    <text>lättklinkerkulor</text>
  </threadedComment>
  <threadedComment ref="E32" dT="2026-01-21T15:16:42.54" personId="{B4433DAF-B1B3-3C42-9739-78512C18A3E2}" id="{3F43729D-EBB4-4593-A275-FE8B53D78FEA}">
    <text>Based on closest conductivity match</text>
  </threadedComment>
  <threadedComment ref="E33" dT="2025-12-05T12:47:53.65" personId="{B4433DAF-B1B3-3C42-9739-78512C18A3E2}" id="{E7C52893-AA17-450F-920D-11C21788EBD9}">
    <text>Based on closest conductivity match</text>
  </threadedComment>
  <threadedComment ref="E36" dT="2026-02-04T00:55:36.93" personId="{B922D462-EEF4-49CB-AA8E-A16643E336EE}" id="{23F12E34-1B4E-45BB-A08F-8B64E51E0389}">
    <text>https://help.iesve.com/ve2021/table_6_thermal_conductivity__specific_heat_capacity_and_density.htm</text>
    <extLst>
      <x:ext xmlns:xltc2="http://schemas.microsoft.com/office/spreadsheetml/2020/threadedcomments2" uri="{F7C98A9C-CBB3-438F-8F68-D28B6AF4A901}">
        <xltc2:checksum>3283481783</xltc2:checksum>
        <xltc2:hyperlink startIndex="0" length="98" url="https://help.iesve.com/ve2021/table_6_thermal_conductivity__specific_heat_capacity_and_density.htm"/>
      </x:ext>
    </extLst>
  </threadedComment>
  <threadedComment ref="C40" dT="2025-12-05T00:02:24.48" personId="{B4433DAF-B1B3-3C42-9739-78512C18A3E2}" id="{18D9EEC2-9764-4F05-BDEE-1F7F69B611F4}">
    <text>either or for lightweight</text>
  </threadedComment>
  <threadedComment ref="E43" dT="2026-02-04T01:01:53.33" personId="{B922D462-EEF4-49CB-AA8E-A16643E336EE}" id="{C91F94D8-8AD2-4074-803D-F77C2526C8D2}">
    <text>https://materialsark.com/faqs/thermal-conductivity/</text>
    <extLst>
      <x:ext xmlns:xltc2="http://schemas.microsoft.com/office/spreadsheetml/2020/threadedcomments2" uri="{F7C98A9C-CBB3-438F-8F68-D28B6AF4A901}">
        <xltc2:checksum>459471045</xltc2:checksum>
        <xltc2:hyperlink startIndex="0" length="51" url="https://materialsark.com/faqs/thermal-conductivity/"/>
      </x:ext>
    </extLst>
  </threadedComment>
  <threadedComment ref="E45" dT="2026-02-04T01:03:40.20" personId="{B922D462-EEF4-49CB-AA8E-A16643E336EE}" id="{16296FEB-3037-4598-AEB7-E2D43462D860}">
    <text>Least dense wood material</text>
  </threadedComment>
  <threadedComment ref="C47" dT="2026-02-04T00:06:30.09" personId="{B922D462-EEF4-49CB-AA8E-A16643E336EE}" id="{FEF83151-61B5-496E-9EF9-E10E1AF7F09C}">
    <text>Plastic product used as a vapor barrier, if thickness is accounted for perhaps it’s the closest</text>
  </threadedComment>
  <threadedComment ref="A54" dT="2025-12-05T07:09:39.21" personId="{B4433DAF-B1B3-3C42-9739-78512C18A3E2}" id="{F2014166-D5BD-416D-A5A9-D7840AFC5CE3}">
    <text>different enough from galvanised sheet metal?</text>
  </threadedComment>
  <threadedComment ref="A54" dT="2026-02-04T01:27:26.27" personId="{B922D462-EEF4-49CB-AA8E-A16643E336EE}" id="{C8000B95-00DB-44DA-B770-48D6CEFE11BA}" parentId="{F2014166-D5BD-416D-A5A9-D7840AFC5CE3}">
    <text>Copied from metal_sheet</text>
  </threadedComment>
  <threadedComment ref="C54" dT="2025-12-04T20:51:07.45" personId="{B4433DAF-B1B3-3C42-9739-78512C18A3E2}" id="{1FEFA72F-4293-4A15-AC93-B61BCFC6CC2A}">
    <text>metal is a bit arbitrary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5-12-05T07:59:04.63" personId="{B4433DAF-B1B3-3C42-9739-78512C18A3E2}" id="{5E27E27F-F63F-4BB0-9353-68268EDCE23F}">
    <text>not pane specific</text>
  </threadedComment>
  <threadedComment ref="B6" dT="2025-12-05T07:59:14.33" personId="{B4433DAF-B1B3-3C42-9739-78512C18A3E2}" id="{3D9EF86A-3862-43DF-9C17-9C3FC6D289C0}">
    <text>Not pane specific</text>
  </threadedComment>
  <threadedComment ref="B7" dT="2025-12-05T07:59:26.40" personId="{B4433DAF-B1B3-3C42-9739-78512C18A3E2}" id="{8AA6B5C5-6D41-445E-940F-A7B0C47D947F}">
    <text>Not pane specific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60" dT="2025-12-05T07:57:25.69" personId="{D0E443BE-EF5D-8745-A7E9-5255254BEDCE}" id="{A0EE899B-ABE0-CE4E-8805-883642A27ACD}">
    <text>added 20251205</text>
  </threadedComment>
  <threadedComment ref="H96" dT="2025-12-05T08:09:13.14" personId="{D0E443BE-EF5D-8745-A7E9-5255254BEDCE}" id="{377B3BF5-80DA-BA44-BA68-95BF0DA1BEC0}">
    <text>Added 20251205</text>
  </threadedComment>
  <threadedComment ref="A126" dT="2026-01-21T17:27:42.51" personId="{B4433DAF-B1B3-3C42-9739-78512C18A3E2}" id="{621AA077-48C9-4360-A6E7-C76F69094A28}">
    <text xml:space="preserve">In BUD_MI the floorboards and stud are also referenced, but those are specific to the livingroom - if living room and bathroom are on the bottom floor intermediate and bottom have identical composition.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B64D-EA71-084B-9B5F-6F42B301BD80}">
  <dimension ref="A1:Z429"/>
  <sheetViews>
    <sheetView topLeftCell="A13" workbookViewId="0">
      <selection activeCell="C13" sqref="C13"/>
    </sheetView>
  </sheetViews>
  <sheetFormatPr defaultColWidth="11" defaultRowHeight="16" x14ac:dyDescent="0.4"/>
  <cols>
    <col min="1" max="1" width="34.83203125" customWidth="1"/>
    <col min="2" max="2" width="37" customWidth="1"/>
    <col min="3" max="3" width="34.83203125" customWidth="1"/>
    <col min="4" max="4" width="23.83203125" customWidth="1"/>
    <col min="9" max="9" width="16" customWidth="1"/>
    <col min="10" max="10" width="14.33203125" customWidth="1"/>
    <col min="11" max="11" width="14" customWidth="1"/>
    <col min="15" max="15" width="18.58203125" customWidth="1"/>
    <col min="17" max="17" width="12.5" customWidth="1"/>
  </cols>
  <sheetData>
    <row r="1" spans="1:26" x14ac:dyDescent="0.4">
      <c r="A1" s="47" t="s">
        <v>0</v>
      </c>
      <c r="B1" s="47" t="s">
        <v>1</v>
      </c>
      <c r="C1" s="47" t="s">
        <v>2</v>
      </c>
      <c r="D1" s="47" t="s">
        <v>3</v>
      </c>
      <c r="E1" s="62"/>
      <c r="F1" s="62"/>
      <c r="G1" s="62"/>
      <c r="H1" s="62"/>
      <c r="I1" s="110" t="s">
        <v>4</v>
      </c>
      <c r="J1" s="110" t="s">
        <v>5</v>
      </c>
      <c r="K1" s="110" t="s">
        <v>6</v>
      </c>
      <c r="L1" s="110" t="s">
        <v>7</v>
      </c>
      <c r="M1" s="110" t="s">
        <v>8</v>
      </c>
      <c r="N1" s="110" t="s">
        <v>9</v>
      </c>
      <c r="O1" s="110" t="s">
        <v>10</v>
      </c>
      <c r="P1" s="110" t="s">
        <v>11</v>
      </c>
      <c r="Q1" s="110" t="s">
        <v>12</v>
      </c>
      <c r="R1" s="62"/>
      <c r="S1" s="62"/>
      <c r="T1" s="62"/>
      <c r="U1" s="62"/>
      <c r="V1" s="62"/>
      <c r="W1" s="62"/>
      <c r="X1" s="62"/>
      <c r="Y1" s="62"/>
      <c r="Z1" s="62"/>
    </row>
    <row r="2" spans="1:26" ht="64" customHeight="1" x14ac:dyDescent="0.4">
      <c r="A2" s="48" t="s">
        <v>13</v>
      </c>
      <c r="B2" s="48" t="s">
        <v>14</v>
      </c>
      <c r="C2" s="48" t="s">
        <v>15</v>
      </c>
      <c r="D2" s="48" t="s">
        <v>16</v>
      </c>
      <c r="E2" s="62"/>
      <c r="F2" s="62"/>
      <c r="G2" s="62"/>
      <c r="H2" s="62"/>
      <c r="I2" s="83" t="s">
        <v>17</v>
      </c>
      <c r="J2" s="78" t="s">
        <v>18</v>
      </c>
      <c r="K2" s="78" t="s">
        <v>18</v>
      </c>
      <c r="L2" s="78" t="s">
        <v>18</v>
      </c>
      <c r="M2" s="78"/>
      <c r="N2" s="78" t="s">
        <v>18</v>
      </c>
      <c r="O2" s="78" t="s">
        <v>18</v>
      </c>
      <c r="P2" s="78"/>
      <c r="Q2" s="78"/>
      <c r="R2" s="62"/>
      <c r="S2" s="62"/>
      <c r="T2" s="62"/>
      <c r="U2" s="62"/>
      <c r="V2" s="62"/>
      <c r="W2" s="62"/>
      <c r="X2" s="62"/>
      <c r="Y2" s="62"/>
      <c r="Z2" s="62"/>
    </row>
    <row r="3" spans="1:26" ht="31" x14ac:dyDescent="0.4">
      <c r="A3" s="51">
        <v>45989</v>
      </c>
      <c r="B3" s="52" t="s">
        <v>19</v>
      </c>
      <c r="C3" s="53" t="s">
        <v>20</v>
      </c>
      <c r="D3" s="52" t="s">
        <v>21</v>
      </c>
      <c r="E3" s="62"/>
      <c r="F3" s="62"/>
      <c r="G3" s="62"/>
      <c r="H3" s="62"/>
      <c r="I3" s="83" t="s">
        <v>22</v>
      </c>
      <c r="J3" s="78" t="s">
        <v>18</v>
      </c>
      <c r="K3" s="78" t="s">
        <v>18</v>
      </c>
      <c r="L3" s="78" t="s">
        <v>18</v>
      </c>
      <c r="M3" s="78"/>
      <c r="N3" s="78" t="s">
        <v>18</v>
      </c>
      <c r="O3" s="78" t="s">
        <v>18</v>
      </c>
      <c r="P3" s="78" t="s">
        <v>18</v>
      </c>
      <c r="Q3" s="78"/>
      <c r="R3" s="62"/>
      <c r="S3" s="62"/>
      <c r="T3" s="62"/>
      <c r="U3" s="62"/>
      <c r="V3" s="62"/>
      <c r="W3" s="62"/>
      <c r="X3" s="62"/>
      <c r="Y3" s="62"/>
      <c r="Z3" s="62"/>
    </row>
    <row r="4" spans="1:26" ht="46.5" x14ac:dyDescent="0.4">
      <c r="A4" s="51">
        <v>45989</v>
      </c>
      <c r="B4" s="52" t="s">
        <v>19</v>
      </c>
      <c r="C4" s="53" t="s">
        <v>23</v>
      </c>
      <c r="D4" s="52" t="s">
        <v>21</v>
      </c>
      <c r="E4" s="62"/>
      <c r="F4" s="62"/>
      <c r="G4" s="62"/>
      <c r="H4" s="62"/>
      <c r="I4" s="83" t="s">
        <v>24</v>
      </c>
      <c r="J4" s="78" t="s">
        <v>18</v>
      </c>
      <c r="K4" s="78" t="s">
        <v>18</v>
      </c>
      <c r="L4" s="78" t="s">
        <v>18</v>
      </c>
      <c r="M4" s="78"/>
      <c r="N4" s="78" t="s">
        <v>18</v>
      </c>
      <c r="O4" s="78" t="s">
        <v>18</v>
      </c>
      <c r="P4" s="78" t="s">
        <v>18</v>
      </c>
      <c r="Q4" s="78"/>
      <c r="R4" s="62"/>
      <c r="S4" s="62"/>
      <c r="T4" s="62"/>
      <c r="U4" s="62"/>
      <c r="V4" s="62"/>
      <c r="W4" s="62"/>
      <c r="X4" s="62"/>
      <c r="Y4" s="62"/>
      <c r="Z4" s="62"/>
    </row>
    <row r="5" spans="1:26" ht="62" x14ac:dyDescent="0.4">
      <c r="A5" s="51">
        <v>45989</v>
      </c>
      <c r="B5" s="52" t="s">
        <v>19</v>
      </c>
      <c r="C5" s="53" t="s">
        <v>25</v>
      </c>
      <c r="D5" s="52" t="s">
        <v>21</v>
      </c>
      <c r="E5" s="62"/>
      <c r="F5" s="62"/>
      <c r="G5" s="62"/>
      <c r="H5" s="62"/>
      <c r="I5" s="83" t="s">
        <v>24</v>
      </c>
      <c r="J5" s="78" t="s">
        <v>18</v>
      </c>
      <c r="K5" s="78" t="s">
        <v>18</v>
      </c>
      <c r="L5" s="78" t="s">
        <v>18</v>
      </c>
      <c r="M5" s="78"/>
      <c r="N5" s="78" t="s">
        <v>18</v>
      </c>
      <c r="O5" s="78" t="s">
        <v>18</v>
      </c>
      <c r="P5" s="78" t="s">
        <v>18</v>
      </c>
      <c r="Q5" s="78"/>
      <c r="R5" s="62"/>
      <c r="S5" s="62"/>
      <c r="T5" s="62"/>
      <c r="U5" s="62"/>
      <c r="V5" s="62"/>
      <c r="W5" s="62"/>
      <c r="X5" s="62"/>
      <c r="Y5" s="62"/>
      <c r="Z5" s="62"/>
    </row>
    <row r="6" spans="1:26" ht="31" x14ac:dyDescent="0.4">
      <c r="A6" s="51">
        <v>45989</v>
      </c>
      <c r="B6" s="52" t="s">
        <v>19</v>
      </c>
      <c r="C6" s="53" t="s">
        <v>26</v>
      </c>
      <c r="D6" s="52" t="s">
        <v>27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 ht="29.5" x14ac:dyDescent="0.4">
      <c r="A7" s="51">
        <v>45989</v>
      </c>
      <c r="B7" s="52" t="s">
        <v>28</v>
      </c>
      <c r="C7" s="59" t="s">
        <v>29</v>
      </c>
      <c r="D7" s="52" t="s">
        <v>21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58.5" x14ac:dyDescent="0.4">
      <c r="A8" s="51">
        <v>45989</v>
      </c>
      <c r="B8" s="52" t="s">
        <v>28</v>
      </c>
      <c r="C8" s="59" t="s">
        <v>30</v>
      </c>
      <c r="D8" s="52" t="s">
        <v>21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ht="31" x14ac:dyDescent="0.4">
      <c r="A9" s="56" t="s">
        <v>31</v>
      </c>
      <c r="B9" s="52" t="s">
        <v>19</v>
      </c>
      <c r="C9" s="57" t="s">
        <v>32</v>
      </c>
      <c r="D9" s="52" t="s">
        <v>21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31" x14ac:dyDescent="0.4">
      <c r="A10" s="58" t="s">
        <v>31</v>
      </c>
      <c r="B10" s="54" t="s">
        <v>19</v>
      </c>
      <c r="C10" s="55" t="s">
        <v>33</v>
      </c>
      <c r="D10" s="54" t="s">
        <v>27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x14ac:dyDescent="0.4">
      <c r="A11" s="56" t="s">
        <v>31</v>
      </c>
      <c r="B11" s="52" t="s">
        <v>19</v>
      </c>
      <c r="C11" s="57" t="s">
        <v>34</v>
      </c>
      <c r="D11" s="52" t="s">
        <v>21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64" x14ac:dyDescent="0.4">
      <c r="A12" s="58" t="s">
        <v>35</v>
      </c>
      <c r="B12" s="54" t="s">
        <v>36</v>
      </c>
      <c r="C12" s="60" t="s">
        <v>37</v>
      </c>
      <c r="D12" s="54" t="s">
        <v>27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ht="48" x14ac:dyDescent="0.4">
      <c r="A13" s="56" t="s">
        <v>35</v>
      </c>
      <c r="B13" s="52" t="s">
        <v>38</v>
      </c>
      <c r="C13" s="81" t="s">
        <v>39</v>
      </c>
      <c r="D13" s="52" t="s">
        <v>27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ht="80" x14ac:dyDescent="0.4">
      <c r="A14" s="56" t="s">
        <v>35</v>
      </c>
      <c r="B14" s="52" t="s">
        <v>40</v>
      </c>
      <c r="C14" s="81" t="s">
        <v>41</v>
      </c>
      <c r="D14" s="52" t="s">
        <v>21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ht="80" x14ac:dyDescent="0.4">
      <c r="A15" s="58" t="s">
        <v>35</v>
      </c>
      <c r="B15" s="54" t="s">
        <v>42</v>
      </c>
      <c r="C15" s="60" t="s">
        <v>43</v>
      </c>
      <c r="D15" s="54" t="s">
        <v>27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32" x14ac:dyDescent="0.4">
      <c r="A16" s="58" t="s">
        <v>35</v>
      </c>
      <c r="B16" s="54" t="s">
        <v>40</v>
      </c>
      <c r="C16" s="60" t="s">
        <v>44</v>
      </c>
      <c r="D16" s="54" t="s">
        <v>27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64" x14ac:dyDescent="0.4">
      <c r="A17" s="58" t="s">
        <v>35</v>
      </c>
      <c r="B17" s="54" t="s">
        <v>40</v>
      </c>
      <c r="C17" s="60" t="s">
        <v>45</v>
      </c>
      <c r="D17" s="54" t="s">
        <v>27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32" x14ac:dyDescent="0.4">
      <c r="A18" s="58" t="s">
        <v>46</v>
      </c>
      <c r="B18" s="54" t="s">
        <v>40</v>
      </c>
      <c r="C18" s="60" t="s">
        <v>47</v>
      </c>
      <c r="D18" s="54" t="s">
        <v>27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39" customHeight="1" x14ac:dyDescent="0.4">
      <c r="A19" s="58" t="s">
        <v>48</v>
      </c>
      <c r="B19" s="54" t="s">
        <v>49</v>
      </c>
      <c r="C19" s="60" t="s">
        <v>50</v>
      </c>
      <c r="D19" s="54" t="s">
        <v>27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x14ac:dyDescent="0.4">
      <c r="A20" s="50"/>
      <c r="B20" s="49"/>
      <c r="C20" s="49"/>
      <c r="D20" s="49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x14ac:dyDescent="0.4">
      <c r="A21" s="50"/>
      <c r="B21" s="49"/>
      <c r="C21" s="49"/>
      <c r="D21" s="49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x14ac:dyDescent="0.4">
      <c r="A22" s="50"/>
      <c r="B22" s="49"/>
      <c r="C22" s="49"/>
      <c r="D22" s="49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x14ac:dyDescent="0.4">
      <c r="A23" s="50"/>
      <c r="B23" s="49"/>
      <c r="C23" s="49"/>
      <c r="D23" s="49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x14ac:dyDescent="0.4">
      <c r="A24" s="50"/>
      <c r="B24" s="49"/>
      <c r="C24" s="49"/>
      <c r="D24" s="49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x14ac:dyDescent="0.4">
      <c r="A25" s="50"/>
      <c r="B25" s="49"/>
      <c r="C25" s="49"/>
      <c r="D25" s="49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x14ac:dyDescent="0.4">
      <c r="A26" s="50"/>
      <c r="B26" s="49"/>
      <c r="C26" s="49"/>
      <c r="D26" s="49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x14ac:dyDescent="0.4">
      <c r="A27" s="50"/>
      <c r="B27" s="49"/>
      <c r="C27" s="49"/>
      <c r="D27" s="49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x14ac:dyDescent="0.4">
      <c r="A28" s="50"/>
      <c r="B28" s="49"/>
      <c r="C28" s="49"/>
      <c r="D28" s="49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x14ac:dyDescent="0.4">
      <c r="A29" s="50"/>
      <c r="B29" s="49"/>
      <c r="C29" s="49"/>
      <c r="D29" s="49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x14ac:dyDescent="0.4">
      <c r="A30" s="50"/>
      <c r="B30" s="49"/>
      <c r="C30" s="49"/>
      <c r="D30" s="49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x14ac:dyDescent="0.4">
      <c r="A31" s="50"/>
      <c r="B31" s="49"/>
      <c r="C31" s="49"/>
      <c r="D31" s="49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x14ac:dyDescent="0.4">
      <c r="A32" s="50"/>
      <c r="B32" s="49"/>
      <c r="C32" s="49"/>
      <c r="D32" s="49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 x14ac:dyDescent="0.4">
      <c r="A33" s="50"/>
      <c r="B33" s="49"/>
      <c r="C33" s="49"/>
      <c r="D33" s="49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x14ac:dyDescent="0.4">
      <c r="A34" s="50"/>
      <c r="B34" s="49"/>
      <c r="C34" s="49"/>
      <c r="D34" s="49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 x14ac:dyDescent="0.4">
      <c r="A35" s="50"/>
      <c r="B35" s="49"/>
      <c r="C35" s="49"/>
      <c r="D35" s="49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x14ac:dyDescent="0.4">
      <c r="A36" s="50"/>
      <c r="B36" s="49"/>
      <c r="C36" s="49"/>
      <c r="D36" s="49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 x14ac:dyDescent="0.4">
      <c r="A37" s="50"/>
      <c r="B37" s="49"/>
      <c r="C37" s="49"/>
      <c r="D37" s="49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x14ac:dyDescent="0.4">
      <c r="A38" s="50"/>
      <c r="B38" s="49"/>
      <c r="C38" s="49"/>
      <c r="D38" s="49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x14ac:dyDescent="0.4">
      <c r="A39" s="50"/>
      <c r="B39" s="49"/>
      <c r="C39" s="49"/>
      <c r="D39" s="49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x14ac:dyDescent="0.4">
      <c r="A40" s="50"/>
      <c r="B40" s="49"/>
      <c r="C40" s="49"/>
      <c r="D40" s="49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x14ac:dyDescent="0.4">
      <c r="A41" s="50"/>
      <c r="B41" s="49"/>
      <c r="C41" s="49"/>
      <c r="D41" s="49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x14ac:dyDescent="0.4">
      <c r="A42" s="50"/>
      <c r="B42" s="49"/>
      <c r="C42" s="49"/>
      <c r="D42" s="49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 x14ac:dyDescent="0.4">
      <c r="A43" s="50"/>
      <c r="B43" s="49"/>
      <c r="C43" s="49"/>
      <c r="D43" s="49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x14ac:dyDescent="0.4">
      <c r="A44" s="50"/>
      <c r="B44" s="49"/>
      <c r="C44" s="49"/>
      <c r="D44" s="49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 x14ac:dyDescent="0.4">
      <c r="A45" s="50"/>
      <c r="B45" s="49"/>
      <c r="C45" s="49"/>
      <c r="D45" s="49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x14ac:dyDescent="0.4">
      <c r="A46" s="50"/>
      <c r="B46" s="49"/>
      <c r="C46" s="49"/>
      <c r="D46" s="49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x14ac:dyDescent="0.4">
      <c r="A47" s="50"/>
      <c r="B47" s="49"/>
      <c r="C47" s="49"/>
      <c r="D47" s="49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x14ac:dyDescent="0.4">
      <c r="A48" s="50"/>
      <c r="B48" s="49"/>
      <c r="C48" s="49"/>
      <c r="D48" s="49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x14ac:dyDescent="0.4">
      <c r="A49" s="50"/>
      <c r="B49" s="49"/>
      <c r="C49" s="49"/>
      <c r="D49" s="49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x14ac:dyDescent="0.4">
      <c r="A50" s="50"/>
      <c r="B50" s="49"/>
      <c r="C50" s="49"/>
      <c r="D50" s="49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x14ac:dyDescent="0.4">
      <c r="A51" s="50"/>
      <c r="B51" s="49"/>
      <c r="C51" s="49"/>
      <c r="D51" s="49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x14ac:dyDescent="0.4">
      <c r="A52" s="50"/>
      <c r="B52" s="49"/>
      <c r="C52" s="49"/>
      <c r="D52" s="49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x14ac:dyDescent="0.4">
      <c r="A53" s="50"/>
      <c r="B53" s="49"/>
      <c r="C53" s="49"/>
      <c r="D53" s="49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x14ac:dyDescent="0.4">
      <c r="A54" s="50"/>
      <c r="B54" s="49"/>
      <c r="C54" s="49"/>
      <c r="D54" s="49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x14ac:dyDescent="0.4">
      <c r="A55" s="50"/>
      <c r="B55" s="49"/>
      <c r="C55" s="49"/>
      <c r="D55" s="49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x14ac:dyDescent="0.4">
      <c r="A56" s="50"/>
      <c r="B56" s="49"/>
      <c r="C56" s="49"/>
      <c r="D56" s="49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x14ac:dyDescent="0.4">
      <c r="A57" s="50"/>
      <c r="B57" s="49"/>
      <c r="C57" s="49"/>
      <c r="D57" s="49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x14ac:dyDescent="0.4">
      <c r="A58" s="50"/>
      <c r="B58" s="49"/>
      <c r="C58" s="49"/>
      <c r="D58" s="49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 x14ac:dyDescent="0.4">
      <c r="A59" s="50"/>
      <c r="B59" s="49"/>
      <c r="C59" s="49"/>
      <c r="D59" s="49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x14ac:dyDescent="0.4">
      <c r="A60" s="50"/>
      <c r="B60" s="49"/>
      <c r="C60" s="49"/>
      <c r="D60" s="49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26" x14ac:dyDescent="0.4">
      <c r="A61" s="50"/>
      <c r="B61" s="49"/>
      <c r="C61" s="49"/>
      <c r="D61" s="49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 x14ac:dyDescent="0.4">
      <c r="A62" s="50"/>
      <c r="B62" s="49"/>
      <c r="C62" s="49"/>
      <c r="D62" s="49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 x14ac:dyDescent="0.4">
      <c r="A63" s="50"/>
      <c r="B63" s="49"/>
      <c r="C63" s="49"/>
      <c r="D63" s="49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x14ac:dyDescent="0.4">
      <c r="A64" s="50"/>
      <c r="B64" s="49"/>
      <c r="C64" s="49"/>
      <c r="D64" s="49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 x14ac:dyDescent="0.4">
      <c r="A65" s="50"/>
      <c r="B65" s="49"/>
      <c r="C65" s="49"/>
      <c r="D65" s="49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x14ac:dyDescent="0.4">
      <c r="A66" s="50"/>
      <c r="B66" s="49"/>
      <c r="C66" s="49"/>
      <c r="D66" s="49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x14ac:dyDescent="0.4">
      <c r="A67" s="50"/>
      <c r="B67" s="49"/>
      <c r="C67" s="49"/>
      <c r="D67" s="49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x14ac:dyDescent="0.4">
      <c r="A68" s="50"/>
      <c r="B68" s="49"/>
      <c r="C68" s="49"/>
      <c r="D68" s="49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 x14ac:dyDescent="0.4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x14ac:dyDescent="0.4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 x14ac:dyDescent="0.4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x14ac:dyDescent="0.4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x14ac:dyDescent="0.4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x14ac:dyDescent="0.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x14ac:dyDescent="0.4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x14ac:dyDescent="0.4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x14ac:dyDescent="0.4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x14ac:dyDescent="0.4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x14ac:dyDescent="0.4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x14ac:dyDescent="0.4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x14ac:dyDescent="0.4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x14ac:dyDescent="0.4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x14ac:dyDescent="0.4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x14ac:dyDescent="0.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x14ac:dyDescent="0.4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x14ac:dyDescent="0.4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26" x14ac:dyDescent="0.4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x14ac:dyDescent="0.4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26" x14ac:dyDescent="0.4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x14ac:dyDescent="0.4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x14ac:dyDescent="0.4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x14ac:dyDescent="0.4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 x14ac:dyDescent="0.4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x14ac:dyDescent="0.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 x14ac:dyDescent="0.4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x14ac:dyDescent="0.4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 x14ac:dyDescent="0.4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 x14ac:dyDescent="0.4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 x14ac:dyDescent="0.4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x14ac:dyDescent="0.4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 x14ac:dyDescent="0.4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x14ac:dyDescent="0.4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 x14ac:dyDescent="0.4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x14ac:dyDescent="0.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 x14ac:dyDescent="0.4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x14ac:dyDescent="0.4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 x14ac:dyDescent="0.4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x14ac:dyDescent="0.4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 x14ac:dyDescent="0.4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x14ac:dyDescent="0.4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 x14ac:dyDescent="0.4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x14ac:dyDescent="0.4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 x14ac:dyDescent="0.4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x14ac:dyDescent="0.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 x14ac:dyDescent="0.4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 x14ac:dyDescent="0.4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 x14ac:dyDescent="0.4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x14ac:dyDescent="0.4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spans="1:26" x14ac:dyDescent="0.4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x14ac:dyDescent="0.4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26" x14ac:dyDescent="0.4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x14ac:dyDescent="0.4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26" x14ac:dyDescent="0.4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x14ac:dyDescent="0.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26" x14ac:dyDescent="0.4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x14ac:dyDescent="0.4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26" x14ac:dyDescent="0.4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x14ac:dyDescent="0.4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spans="1:26" x14ac:dyDescent="0.4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x14ac:dyDescent="0.4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 x14ac:dyDescent="0.4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x14ac:dyDescent="0.4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 x14ac:dyDescent="0.4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 x14ac:dyDescent="0.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 x14ac:dyDescent="0.4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x14ac:dyDescent="0.4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26" x14ac:dyDescent="0.4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x14ac:dyDescent="0.4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 x14ac:dyDescent="0.4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x14ac:dyDescent="0.4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 x14ac:dyDescent="0.4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x14ac:dyDescent="0.4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 x14ac:dyDescent="0.4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x14ac:dyDescent="0.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x14ac:dyDescent="0.4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x14ac:dyDescent="0.4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x14ac:dyDescent="0.4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x14ac:dyDescent="0.4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x14ac:dyDescent="0.4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x14ac:dyDescent="0.4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x14ac:dyDescent="0.4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x14ac:dyDescent="0.4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x14ac:dyDescent="0.4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x14ac:dyDescent="0.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x14ac:dyDescent="0.4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x14ac:dyDescent="0.4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x14ac:dyDescent="0.4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x14ac:dyDescent="0.4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x14ac:dyDescent="0.4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x14ac:dyDescent="0.4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x14ac:dyDescent="0.4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x14ac:dyDescent="0.4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x14ac:dyDescent="0.4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x14ac:dyDescent="0.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x14ac:dyDescent="0.4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x14ac:dyDescent="0.4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x14ac:dyDescent="0.4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x14ac:dyDescent="0.4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x14ac:dyDescent="0.4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x14ac:dyDescent="0.4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x14ac:dyDescent="0.4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x14ac:dyDescent="0.4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x14ac:dyDescent="0.4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x14ac:dyDescent="0.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x14ac:dyDescent="0.4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x14ac:dyDescent="0.4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x14ac:dyDescent="0.4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x14ac:dyDescent="0.4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x14ac:dyDescent="0.4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x14ac:dyDescent="0.4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x14ac:dyDescent="0.4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x14ac:dyDescent="0.4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x14ac:dyDescent="0.4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x14ac:dyDescent="0.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x14ac:dyDescent="0.4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x14ac:dyDescent="0.4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x14ac:dyDescent="0.4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x14ac:dyDescent="0.4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x14ac:dyDescent="0.4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x14ac:dyDescent="0.4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x14ac:dyDescent="0.4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x14ac:dyDescent="0.4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x14ac:dyDescent="0.4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x14ac:dyDescent="0.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x14ac:dyDescent="0.4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x14ac:dyDescent="0.4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x14ac:dyDescent="0.4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x14ac:dyDescent="0.4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x14ac:dyDescent="0.4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x14ac:dyDescent="0.4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x14ac:dyDescent="0.4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x14ac:dyDescent="0.4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x14ac:dyDescent="0.4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x14ac:dyDescent="0.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x14ac:dyDescent="0.4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x14ac:dyDescent="0.4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x14ac:dyDescent="0.4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x14ac:dyDescent="0.4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x14ac:dyDescent="0.4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x14ac:dyDescent="0.4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x14ac:dyDescent="0.4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x14ac:dyDescent="0.4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x14ac:dyDescent="0.4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x14ac:dyDescent="0.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x14ac:dyDescent="0.4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x14ac:dyDescent="0.4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x14ac:dyDescent="0.4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x14ac:dyDescent="0.4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x14ac:dyDescent="0.4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x14ac:dyDescent="0.4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x14ac:dyDescent="0.4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x14ac:dyDescent="0.4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x14ac:dyDescent="0.4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x14ac:dyDescent="0.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x14ac:dyDescent="0.4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x14ac:dyDescent="0.4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x14ac:dyDescent="0.4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x14ac:dyDescent="0.4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x14ac:dyDescent="0.4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x14ac:dyDescent="0.4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x14ac:dyDescent="0.4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x14ac:dyDescent="0.4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x14ac:dyDescent="0.4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x14ac:dyDescent="0.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x14ac:dyDescent="0.4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x14ac:dyDescent="0.4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x14ac:dyDescent="0.4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x14ac:dyDescent="0.4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x14ac:dyDescent="0.4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x14ac:dyDescent="0.4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x14ac:dyDescent="0.4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x14ac:dyDescent="0.4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x14ac:dyDescent="0.4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x14ac:dyDescent="0.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x14ac:dyDescent="0.4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x14ac:dyDescent="0.4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x14ac:dyDescent="0.4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x14ac:dyDescent="0.4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x14ac:dyDescent="0.4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x14ac:dyDescent="0.4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x14ac:dyDescent="0.4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x14ac:dyDescent="0.4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x14ac:dyDescent="0.4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x14ac:dyDescent="0.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x14ac:dyDescent="0.4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x14ac:dyDescent="0.4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x14ac:dyDescent="0.4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x14ac:dyDescent="0.4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x14ac:dyDescent="0.4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x14ac:dyDescent="0.4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x14ac:dyDescent="0.4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x14ac:dyDescent="0.4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x14ac:dyDescent="0.4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x14ac:dyDescent="0.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x14ac:dyDescent="0.4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x14ac:dyDescent="0.4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x14ac:dyDescent="0.4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x14ac:dyDescent="0.4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x14ac:dyDescent="0.4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x14ac:dyDescent="0.4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x14ac:dyDescent="0.4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x14ac:dyDescent="0.4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x14ac:dyDescent="0.4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x14ac:dyDescent="0.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x14ac:dyDescent="0.4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x14ac:dyDescent="0.4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x14ac:dyDescent="0.4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x14ac:dyDescent="0.4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x14ac:dyDescent="0.4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x14ac:dyDescent="0.4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x14ac:dyDescent="0.4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x14ac:dyDescent="0.4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x14ac:dyDescent="0.4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x14ac:dyDescent="0.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x14ac:dyDescent="0.4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x14ac:dyDescent="0.4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x14ac:dyDescent="0.4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x14ac:dyDescent="0.4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x14ac:dyDescent="0.4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x14ac:dyDescent="0.4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x14ac:dyDescent="0.4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x14ac:dyDescent="0.4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x14ac:dyDescent="0.4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x14ac:dyDescent="0.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x14ac:dyDescent="0.4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x14ac:dyDescent="0.4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x14ac:dyDescent="0.4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x14ac:dyDescent="0.4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x14ac:dyDescent="0.4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x14ac:dyDescent="0.4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x14ac:dyDescent="0.4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x14ac:dyDescent="0.4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x14ac:dyDescent="0.4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x14ac:dyDescent="0.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x14ac:dyDescent="0.4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x14ac:dyDescent="0.4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x14ac:dyDescent="0.4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x14ac:dyDescent="0.4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x14ac:dyDescent="0.4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x14ac:dyDescent="0.4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x14ac:dyDescent="0.4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x14ac:dyDescent="0.4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x14ac:dyDescent="0.4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x14ac:dyDescent="0.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x14ac:dyDescent="0.4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x14ac:dyDescent="0.4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x14ac:dyDescent="0.4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x14ac:dyDescent="0.4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x14ac:dyDescent="0.4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x14ac:dyDescent="0.4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x14ac:dyDescent="0.4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x14ac:dyDescent="0.4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x14ac:dyDescent="0.4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x14ac:dyDescent="0.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x14ac:dyDescent="0.4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x14ac:dyDescent="0.4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x14ac:dyDescent="0.4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x14ac:dyDescent="0.4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x14ac:dyDescent="0.4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x14ac:dyDescent="0.4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x14ac:dyDescent="0.4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x14ac:dyDescent="0.4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x14ac:dyDescent="0.4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x14ac:dyDescent="0.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x14ac:dyDescent="0.4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x14ac:dyDescent="0.4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x14ac:dyDescent="0.4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x14ac:dyDescent="0.4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x14ac:dyDescent="0.4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x14ac:dyDescent="0.4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x14ac:dyDescent="0.4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x14ac:dyDescent="0.4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x14ac:dyDescent="0.4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x14ac:dyDescent="0.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x14ac:dyDescent="0.4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x14ac:dyDescent="0.4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x14ac:dyDescent="0.4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x14ac:dyDescent="0.4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x14ac:dyDescent="0.4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x14ac:dyDescent="0.4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x14ac:dyDescent="0.4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x14ac:dyDescent="0.4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x14ac:dyDescent="0.4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x14ac:dyDescent="0.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x14ac:dyDescent="0.4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x14ac:dyDescent="0.4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x14ac:dyDescent="0.4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x14ac:dyDescent="0.4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x14ac:dyDescent="0.4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x14ac:dyDescent="0.4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x14ac:dyDescent="0.4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x14ac:dyDescent="0.4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x14ac:dyDescent="0.4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x14ac:dyDescent="0.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x14ac:dyDescent="0.4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x14ac:dyDescent="0.4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x14ac:dyDescent="0.4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x14ac:dyDescent="0.4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x14ac:dyDescent="0.4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x14ac:dyDescent="0.4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x14ac:dyDescent="0.4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x14ac:dyDescent="0.4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x14ac:dyDescent="0.4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x14ac:dyDescent="0.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x14ac:dyDescent="0.4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x14ac:dyDescent="0.4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x14ac:dyDescent="0.4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x14ac:dyDescent="0.4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x14ac:dyDescent="0.4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x14ac:dyDescent="0.4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x14ac:dyDescent="0.4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x14ac:dyDescent="0.4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x14ac:dyDescent="0.4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x14ac:dyDescent="0.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x14ac:dyDescent="0.4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x14ac:dyDescent="0.4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x14ac:dyDescent="0.4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x14ac:dyDescent="0.4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x14ac:dyDescent="0.4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x14ac:dyDescent="0.4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x14ac:dyDescent="0.4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x14ac:dyDescent="0.4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x14ac:dyDescent="0.4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spans="1:26" x14ac:dyDescent="0.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spans="1:26" x14ac:dyDescent="0.4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spans="1:26" x14ac:dyDescent="0.4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spans="1:26" x14ac:dyDescent="0.4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spans="1:26" x14ac:dyDescent="0.4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x14ac:dyDescent="0.4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x14ac:dyDescent="0.4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x14ac:dyDescent="0.4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x14ac:dyDescent="0.4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x14ac:dyDescent="0.4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x14ac:dyDescent="0.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x14ac:dyDescent="0.4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x14ac:dyDescent="0.4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x14ac:dyDescent="0.4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x14ac:dyDescent="0.4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x14ac:dyDescent="0.4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x14ac:dyDescent="0.4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x14ac:dyDescent="0.4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x14ac:dyDescent="0.4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x14ac:dyDescent="0.4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x14ac:dyDescent="0.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x14ac:dyDescent="0.4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x14ac:dyDescent="0.4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x14ac:dyDescent="0.4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x14ac:dyDescent="0.4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x14ac:dyDescent="0.4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x14ac:dyDescent="0.4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x14ac:dyDescent="0.4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x14ac:dyDescent="0.4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x14ac:dyDescent="0.4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x14ac:dyDescent="0.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spans="1:26" x14ac:dyDescent="0.4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spans="1:26" x14ac:dyDescent="0.4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spans="1:26" x14ac:dyDescent="0.4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x14ac:dyDescent="0.4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spans="1:26" x14ac:dyDescent="0.4">
      <c r="A429" s="62"/>
      <c r="B429" s="62"/>
      <c r="C429" s="62"/>
      <c r="D429" s="62"/>
    </row>
  </sheetData>
  <dataValidations count="1">
    <dataValidation type="list" allowBlank="1" showInputMessage="1" showErrorMessage="1" sqref="D3:D68" xr:uid="{0412DE62-7791-7046-9F63-A2F870DDB6BB}">
      <formula1>"Completed, Pending"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28D4-03CC-7E42-B2DC-7AD3478A82C8}">
  <dimension ref="A1:CF134"/>
  <sheetViews>
    <sheetView topLeftCell="A11" zoomScale="111" workbookViewId="0">
      <selection activeCell="D8" sqref="D8"/>
    </sheetView>
  </sheetViews>
  <sheetFormatPr defaultColWidth="10.83203125" defaultRowHeight="15.5" x14ac:dyDescent="0.35"/>
  <cols>
    <col min="1" max="1" width="32.58203125" style="14" bestFit="1" customWidth="1"/>
    <col min="2" max="2" width="32.58203125" style="14" customWidth="1"/>
    <col min="3" max="3" width="13.58203125" style="14" customWidth="1"/>
    <col min="4" max="4" width="23.58203125" style="14" customWidth="1"/>
    <col min="5" max="5" width="33.08203125" style="14" bestFit="1" customWidth="1"/>
    <col min="6" max="6" width="27.08203125" style="14" customWidth="1"/>
    <col min="7" max="7" width="27.83203125" style="14" customWidth="1"/>
    <col min="8" max="8" width="25.58203125" style="14" customWidth="1"/>
    <col min="9" max="16384" width="10.83203125" style="14"/>
  </cols>
  <sheetData>
    <row r="1" spans="1:84" x14ac:dyDescent="0.35">
      <c r="A1" s="2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</row>
    <row r="2" spans="1:84" ht="118.5" customHeight="1" x14ac:dyDescent="0.35">
      <c r="A2" s="35" t="s">
        <v>58</v>
      </c>
      <c r="B2" s="35" t="s">
        <v>59</v>
      </c>
      <c r="C2" s="35" t="s">
        <v>60</v>
      </c>
      <c r="D2" s="35" t="s">
        <v>61</v>
      </c>
      <c r="E2" s="35" t="s">
        <v>62</v>
      </c>
      <c r="F2" s="35" t="s">
        <v>63</v>
      </c>
      <c r="G2" s="35" t="s">
        <v>64</v>
      </c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84" x14ac:dyDescent="0.35">
      <c r="A3" s="36" t="s">
        <v>65</v>
      </c>
      <c r="B3" s="36"/>
      <c r="C3" s="36">
        <v>6000000007</v>
      </c>
      <c r="D3" s="37">
        <v>9</v>
      </c>
      <c r="E3" s="36" t="s">
        <v>66</v>
      </c>
      <c r="F3" s="36">
        <v>9</v>
      </c>
      <c r="G3" s="38">
        <f>(D3+F3)/2</f>
        <v>9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84" x14ac:dyDescent="0.35">
      <c r="A4" s="36" t="s">
        <v>67</v>
      </c>
      <c r="B4" s="36"/>
      <c r="C4" s="36">
        <v>6000000007</v>
      </c>
      <c r="D4" s="37">
        <v>9</v>
      </c>
      <c r="E4" s="36" t="s">
        <v>66</v>
      </c>
      <c r="F4" s="36">
        <v>9</v>
      </c>
      <c r="G4" s="38">
        <f t="shared" ref="G4:G42" si="0">(D4+F4)/2</f>
        <v>9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</row>
    <row r="5" spans="1:84" x14ac:dyDescent="0.35">
      <c r="A5" s="36" t="s">
        <v>68</v>
      </c>
      <c r="B5" s="36"/>
      <c r="C5" s="36">
        <v>6000000007</v>
      </c>
      <c r="D5" s="37">
        <v>9</v>
      </c>
      <c r="E5" s="36" t="s">
        <v>66</v>
      </c>
      <c r="F5" s="36">
        <v>9</v>
      </c>
      <c r="G5" s="38">
        <f t="shared" si="0"/>
        <v>9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</row>
    <row r="6" spans="1:84" x14ac:dyDescent="0.35">
      <c r="A6" s="36" t="s">
        <v>69</v>
      </c>
      <c r="B6" s="36"/>
      <c r="C6" s="36">
        <v>6000000007</v>
      </c>
      <c r="D6" s="37">
        <v>9</v>
      </c>
      <c r="E6" s="36" t="s">
        <v>66</v>
      </c>
      <c r="F6" s="36">
        <v>9</v>
      </c>
      <c r="G6" s="37">
        <f t="shared" si="0"/>
        <v>9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</row>
    <row r="7" spans="1:84" x14ac:dyDescent="0.35">
      <c r="A7" s="36" t="s">
        <v>71</v>
      </c>
      <c r="B7" s="36"/>
      <c r="C7" s="37">
        <v>6000000221</v>
      </c>
      <c r="D7" s="37">
        <v>8</v>
      </c>
      <c r="E7" s="140" t="s">
        <v>72</v>
      </c>
      <c r="F7" s="36">
        <v>6</v>
      </c>
      <c r="G7" s="37">
        <f t="shared" si="0"/>
        <v>7</v>
      </c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</row>
    <row r="8" spans="1:84" s="15" customFormat="1" x14ac:dyDescent="0.35">
      <c r="A8" s="36" t="s">
        <v>73</v>
      </c>
      <c r="B8" s="36"/>
      <c r="C8" s="137">
        <v>6000000085</v>
      </c>
      <c r="D8" s="39">
        <v>3</v>
      </c>
      <c r="E8" s="164" t="s">
        <v>534</v>
      </c>
      <c r="F8" s="39">
        <v>1</v>
      </c>
      <c r="G8" s="37">
        <f>(D8+F8)/2</f>
        <v>2</v>
      </c>
      <c r="H8" s="14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</row>
    <row r="9" spans="1:84" x14ac:dyDescent="0.35">
      <c r="A9" s="36" t="s">
        <v>74</v>
      </c>
      <c r="B9" s="36"/>
      <c r="C9" s="36">
        <v>6000000029</v>
      </c>
      <c r="D9" s="37">
        <v>9</v>
      </c>
      <c r="E9" s="36" t="s">
        <v>75</v>
      </c>
      <c r="F9" s="36">
        <v>10</v>
      </c>
      <c r="G9" s="37">
        <f t="shared" si="0"/>
        <v>9.5</v>
      </c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</row>
    <row r="10" spans="1:84" x14ac:dyDescent="0.35">
      <c r="A10" s="36" t="s">
        <v>76</v>
      </c>
      <c r="B10" s="36"/>
      <c r="C10" s="36">
        <v>6000000094</v>
      </c>
      <c r="D10" s="37">
        <v>10</v>
      </c>
      <c r="E10" s="36" t="s">
        <v>77</v>
      </c>
      <c r="F10" s="36">
        <v>10</v>
      </c>
      <c r="G10" s="37">
        <f t="shared" si="0"/>
        <v>10</v>
      </c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</row>
    <row r="11" spans="1:84" x14ac:dyDescent="0.35">
      <c r="A11" s="36" t="s">
        <v>78</v>
      </c>
      <c r="B11" s="36"/>
      <c r="C11" s="14">
        <v>6000000096</v>
      </c>
      <c r="D11" s="37">
        <v>8</v>
      </c>
      <c r="E11" s="36" t="s">
        <v>79</v>
      </c>
      <c r="F11" s="36">
        <v>10</v>
      </c>
      <c r="G11" s="37">
        <f t="shared" si="0"/>
        <v>9</v>
      </c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</row>
    <row r="12" spans="1:84" x14ac:dyDescent="0.35">
      <c r="A12" s="36" t="s">
        <v>80</v>
      </c>
      <c r="B12" s="36"/>
      <c r="C12" s="136">
        <v>6000000131</v>
      </c>
      <c r="D12" s="37">
        <v>9</v>
      </c>
      <c r="E12" s="36" t="s">
        <v>77</v>
      </c>
      <c r="F12" s="36">
        <v>8</v>
      </c>
      <c r="G12" s="37">
        <f t="shared" si="0"/>
        <v>8.5</v>
      </c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</row>
    <row r="13" spans="1:84" x14ac:dyDescent="0.35">
      <c r="A13" s="36" t="s">
        <v>81</v>
      </c>
      <c r="B13" s="36"/>
      <c r="C13" s="36">
        <v>6000000092</v>
      </c>
      <c r="D13" s="37">
        <v>9</v>
      </c>
      <c r="E13" s="36" t="s">
        <v>77</v>
      </c>
      <c r="F13" s="36">
        <v>7</v>
      </c>
      <c r="G13" s="37">
        <f t="shared" si="0"/>
        <v>8</v>
      </c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</row>
    <row r="14" spans="1:84" s="15" customFormat="1" x14ac:dyDescent="0.35">
      <c r="A14" s="36" t="s">
        <v>82</v>
      </c>
      <c r="B14" s="36"/>
      <c r="C14" s="136">
        <v>6000000224</v>
      </c>
      <c r="D14" s="40">
        <v>5</v>
      </c>
      <c r="E14" s="137" t="s">
        <v>90</v>
      </c>
      <c r="F14" s="36">
        <v>5</v>
      </c>
      <c r="G14" s="37">
        <f t="shared" si="0"/>
        <v>5</v>
      </c>
      <c r="H14" s="14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</row>
    <row r="15" spans="1:84" x14ac:dyDescent="0.35">
      <c r="A15" s="36" t="s">
        <v>83</v>
      </c>
      <c r="B15" s="36"/>
      <c r="C15" s="36">
        <v>6000000091</v>
      </c>
      <c r="D15" s="37">
        <v>9</v>
      </c>
      <c r="E15" s="36" t="s">
        <v>77</v>
      </c>
      <c r="F15" s="36">
        <v>10</v>
      </c>
      <c r="G15" s="37">
        <f t="shared" si="0"/>
        <v>9.5</v>
      </c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</row>
    <row r="16" spans="1:84" x14ac:dyDescent="0.35">
      <c r="A16" s="36" t="s">
        <v>84</v>
      </c>
      <c r="B16" s="36"/>
      <c r="C16" s="41">
        <v>6000000222</v>
      </c>
      <c r="D16" s="37">
        <v>7</v>
      </c>
      <c r="E16" s="164" t="s">
        <v>79</v>
      </c>
      <c r="F16" s="39">
        <v>3</v>
      </c>
      <c r="G16" s="37">
        <f t="shared" si="0"/>
        <v>5</v>
      </c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</row>
    <row r="17" spans="1:84" s="15" customFormat="1" ht="16" x14ac:dyDescent="0.4">
      <c r="A17" s="36" t="s">
        <v>85</v>
      </c>
      <c r="B17" s="36"/>
      <c r="C17" s="137">
        <v>6000000085</v>
      </c>
      <c r="D17" s="40">
        <v>3</v>
      </c>
      <c r="E17" t="s">
        <v>535</v>
      </c>
      <c r="F17" s="36">
        <v>5</v>
      </c>
      <c r="G17" s="37">
        <f t="shared" si="0"/>
        <v>4</v>
      </c>
      <c r="H17" s="14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</row>
    <row r="18" spans="1:84" x14ac:dyDescent="0.35">
      <c r="A18" s="36" t="s">
        <v>86</v>
      </c>
      <c r="B18" s="36"/>
      <c r="C18" s="36">
        <v>6000000153</v>
      </c>
      <c r="D18" s="37">
        <v>8</v>
      </c>
      <c r="E18" s="36" t="s">
        <v>72</v>
      </c>
      <c r="F18" s="36">
        <v>6</v>
      </c>
      <c r="G18" s="37">
        <f t="shared" si="0"/>
        <v>7</v>
      </c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</row>
    <row r="19" spans="1:84" x14ac:dyDescent="0.35">
      <c r="A19" s="36" t="s">
        <v>87</v>
      </c>
      <c r="B19" s="36"/>
      <c r="C19" s="36">
        <v>6000000007</v>
      </c>
      <c r="D19" s="37">
        <v>8</v>
      </c>
      <c r="E19" s="36" t="s">
        <v>66</v>
      </c>
      <c r="F19" s="36">
        <v>8</v>
      </c>
      <c r="G19" s="38">
        <f t="shared" si="0"/>
        <v>8</v>
      </c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</row>
    <row r="20" spans="1:84" x14ac:dyDescent="0.35">
      <c r="A20" s="36" t="s">
        <v>88</v>
      </c>
      <c r="B20" s="36"/>
      <c r="C20" s="36">
        <v>6000000007</v>
      </c>
      <c r="D20" s="37">
        <v>8</v>
      </c>
      <c r="E20" s="36" t="s">
        <v>66</v>
      </c>
      <c r="F20" s="36">
        <v>8</v>
      </c>
      <c r="G20" s="38">
        <f t="shared" si="0"/>
        <v>8</v>
      </c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</row>
    <row r="21" spans="1:84" x14ac:dyDescent="0.35">
      <c r="A21" s="36" t="s">
        <v>89</v>
      </c>
      <c r="B21" s="36"/>
      <c r="C21" s="41">
        <v>6000000140</v>
      </c>
      <c r="D21" s="37">
        <v>7</v>
      </c>
      <c r="E21" s="37" t="s">
        <v>90</v>
      </c>
      <c r="F21" s="36">
        <v>7</v>
      </c>
      <c r="G21" s="38">
        <f t="shared" si="0"/>
        <v>7</v>
      </c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</row>
    <row r="22" spans="1:84" x14ac:dyDescent="0.35">
      <c r="A22" s="36" t="s">
        <v>69</v>
      </c>
      <c r="B22" s="36"/>
      <c r="C22" s="36">
        <v>6000000007</v>
      </c>
      <c r="D22" s="37">
        <v>7</v>
      </c>
      <c r="E22" s="36" t="s">
        <v>70</v>
      </c>
      <c r="F22" s="36">
        <v>8</v>
      </c>
      <c r="G22" s="38">
        <f t="shared" si="0"/>
        <v>7.5</v>
      </c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</row>
    <row r="23" spans="1:84" x14ac:dyDescent="0.35">
      <c r="A23" s="36" t="s">
        <v>91</v>
      </c>
      <c r="B23" s="36"/>
      <c r="C23" s="41">
        <v>6000000082</v>
      </c>
      <c r="D23" s="37">
        <v>10</v>
      </c>
      <c r="E23" s="36" t="s">
        <v>92</v>
      </c>
      <c r="F23" s="36">
        <v>10</v>
      </c>
      <c r="G23" s="38">
        <f t="shared" si="0"/>
        <v>10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</row>
    <row r="24" spans="1:84" x14ac:dyDescent="0.35">
      <c r="A24" s="36" t="s">
        <v>93</v>
      </c>
      <c r="B24" s="36"/>
      <c r="C24" s="41">
        <v>6000000002</v>
      </c>
      <c r="D24" s="37">
        <v>8</v>
      </c>
      <c r="E24" s="115" t="s">
        <v>94</v>
      </c>
      <c r="F24" s="36">
        <v>6</v>
      </c>
      <c r="G24" s="38">
        <f t="shared" si="0"/>
        <v>7</v>
      </c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</row>
    <row r="25" spans="1:84" x14ac:dyDescent="0.35">
      <c r="A25" s="36" t="s">
        <v>95</v>
      </c>
      <c r="B25" s="36"/>
      <c r="C25" s="36">
        <v>6000000007</v>
      </c>
      <c r="D25" s="37">
        <v>7</v>
      </c>
      <c r="E25" s="36" t="s">
        <v>66</v>
      </c>
      <c r="F25" s="36">
        <v>8</v>
      </c>
      <c r="G25" s="38">
        <f t="shared" si="0"/>
        <v>7.5</v>
      </c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</row>
    <row r="26" spans="1:84" x14ac:dyDescent="0.35">
      <c r="A26" s="36" t="s">
        <v>238</v>
      </c>
      <c r="B26" s="36"/>
      <c r="C26" s="36">
        <v>6000000015</v>
      </c>
      <c r="D26" s="37">
        <v>10</v>
      </c>
      <c r="E26" s="36" t="s">
        <v>96</v>
      </c>
      <c r="F26" s="36">
        <v>8</v>
      </c>
      <c r="G26" s="38">
        <f t="shared" si="0"/>
        <v>9</v>
      </c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</row>
    <row r="27" spans="1:84" ht="16" x14ac:dyDescent="0.4">
      <c r="A27" s="36" t="s">
        <v>97</v>
      </c>
      <c r="B27" s="36"/>
      <c r="C27" s="41">
        <v>6000000180</v>
      </c>
      <c r="D27" s="37">
        <v>6</v>
      </c>
      <c r="E27" s="165" t="s">
        <v>536</v>
      </c>
      <c r="F27" s="40">
        <v>3</v>
      </c>
      <c r="G27" s="38">
        <f>(D27+F27)/2</f>
        <v>4.5</v>
      </c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</row>
    <row r="28" spans="1:84" s="15" customFormat="1" ht="16" x14ac:dyDescent="0.4">
      <c r="A28" s="36" t="s">
        <v>98</v>
      </c>
      <c r="B28" s="36"/>
      <c r="C28" s="136">
        <v>6000000141</v>
      </c>
      <c r="D28" s="40">
        <v>4</v>
      </c>
      <c r="E28" s="165" t="s">
        <v>536</v>
      </c>
      <c r="F28" s="39">
        <v>4</v>
      </c>
      <c r="G28" s="40">
        <f t="shared" si="0"/>
        <v>4</v>
      </c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</row>
    <row r="29" spans="1:84" s="15" customFormat="1" ht="16" x14ac:dyDescent="0.4">
      <c r="A29" s="36" t="s">
        <v>99</v>
      </c>
      <c r="B29" s="36"/>
      <c r="C29" s="136">
        <v>6000000224</v>
      </c>
      <c r="D29" s="40">
        <v>4</v>
      </c>
      <c r="E29" s="165" t="s">
        <v>90</v>
      </c>
      <c r="F29" s="39">
        <v>5</v>
      </c>
      <c r="G29" s="40">
        <f t="shared" si="0"/>
        <v>4.5</v>
      </c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</row>
    <row r="30" spans="1:84" x14ac:dyDescent="0.35">
      <c r="A30" s="36" t="s">
        <v>100</v>
      </c>
      <c r="B30" s="36"/>
      <c r="C30" s="41">
        <v>6000000215</v>
      </c>
      <c r="D30" s="37">
        <v>9</v>
      </c>
      <c r="E30" s="39" t="s">
        <v>101</v>
      </c>
      <c r="F30" s="39">
        <v>4</v>
      </c>
      <c r="G30" s="38">
        <f t="shared" si="0"/>
        <v>6.5</v>
      </c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</row>
    <row r="31" spans="1:84" x14ac:dyDescent="0.35">
      <c r="A31" s="36" t="s">
        <v>102</v>
      </c>
      <c r="B31" s="36"/>
      <c r="C31" s="41">
        <v>6000000089</v>
      </c>
      <c r="D31" s="37">
        <v>8</v>
      </c>
      <c r="E31" s="39" t="s">
        <v>534</v>
      </c>
      <c r="F31" s="39">
        <v>5</v>
      </c>
      <c r="G31" s="38">
        <f t="shared" si="0"/>
        <v>6.5</v>
      </c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</row>
    <row r="32" spans="1:84" x14ac:dyDescent="0.35">
      <c r="A32" s="36" t="s">
        <v>103</v>
      </c>
      <c r="B32" s="36"/>
      <c r="C32" s="41">
        <v>6000000128</v>
      </c>
      <c r="D32" s="37">
        <v>7</v>
      </c>
      <c r="E32" s="37" t="s">
        <v>104</v>
      </c>
      <c r="F32" s="36">
        <v>6</v>
      </c>
      <c r="G32" s="38">
        <f t="shared" si="0"/>
        <v>6.5</v>
      </c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</row>
    <row r="33" spans="1:84" ht="18" x14ac:dyDescent="0.5">
      <c r="A33" s="36" t="s">
        <v>105</v>
      </c>
      <c r="B33" s="36"/>
      <c r="C33" s="42">
        <v>6000000005</v>
      </c>
      <c r="D33" s="37">
        <v>6</v>
      </c>
      <c r="E33" s="37" t="s">
        <v>104</v>
      </c>
      <c r="F33" s="36">
        <v>6</v>
      </c>
      <c r="G33" s="38">
        <f t="shared" si="0"/>
        <v>6</v>
      </c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</row>
    <row r="34" spans="1:84" x14ac:dyDescent="0.35">
      <c r="A34" s="36" t="s">
        <v>106</v>
      </c>
      <c r="B34" s="36"/>
      <c r="C34" s="41">
        <v>6000000007</v>
      </c>
      <c r="D34" s="37">
        <v>8</v>
      </c>
      <c r="E34" s="36" t="s">
        <v>66</v>
      </c>
      <c r="F34" s="36">
        <v>8</v>
      </c>
      <c r="G34" s="38">
        <f t="shared" si="0"/>
        <v>8</v>
      </c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</row>
    <row r="35" spans="1:84" x14ac:dyDescent="0.35">
      <c r="A35" s="43" t="s">
        <v>107</v>
      </c>
      <c r="B35" s="43" t="s">
        <v>18</v>
      </c>
      <c r="C35" s="44">
        <v>6000000155</v>
      </c>
      <c r="D35" s="45">
        <v>10</v>
      </c>
      <c r="E35" s="43" t="s">
        <v>108</v>
      </c>
      <c r="F35" s="43">
        <v>7</v>
      </c>
      <c r="G35" s="45">
        <f t="shared" si="0"/>
        <v>8.5</v>
      </c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</row>
    <row r="36" spans="1:84" x14ac:dyDescent="0.35">
      <c r="A36" s="36" t="s">
        <v>109</v>
      </c>
      <c r="B36" s="36"/>
      <c r="C36" s="139"/>
      <c r="D36" s="37"/>
      <c r="E36" s="166" t="s">
        <v>536</v>
      </c>
      <c r="F36" s="39">
        <v>3</v>
      </c>
      <c r="G36" s="37">
        <f t="shared" si="0"/>
        <v>1.5</v>
      </c>
    </row>
    <row r="37" spans="1:84" ht="16" x14ac:dyDescent="0.4">
      <c r="A37" s="36" t="s">
        <v>110</v>
      </c>
      <c r="B37" s="36"/>
      <c r="C37" s="41">
        <v>6000000198</v>
      </c>
      <c r="D37" s="37">
        <v>10</v>
      </c>
      <c r="E37" s="165" t="s">
        <v>90</v>
      </c>
      <c r="F37" s="39">
        <v>5</v>
      </c>
      <c r="G37" s="38">
        <f t="shared" si="0"/>
        <v>7.5</v>
      </c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</row>
    <row r="38" spans="1:84" x14ac:dyDescent="0.35">
      <c r="A38" s="36" t="s">
        <v>111</v>
      </c>
      <c r="B38" s="36"/>
      <c r="C38" s="41">
        <v>6000000020</v>
      </c>
      <c r="D38" s="37">
        <v>10</v>
      </c>
      <c r="E38" s="36" t="s">
        <v>112</v>
      </c>
      <c r="F38" s="36">
        <v>10</v>
      </c>
      <c r="G38" s="38">
        <f t="shared" si="0"/>
        <v>10</v>
      </c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</row>
    <row r="39" spans="1:84" x14ac:dyDescent="0.35">
      <c r="A39" s="36" t="s">
        <v>113</v>
      </c>
      <c r="B39" s="36"/>
      <c r="C39" s="41">
        <v>6000000007</v>
      </c>
      <c r="D39" s="37">
        <v>8</v>
      </c>
      <c r="E39" s="36" t="s">
        <v>66</v>
      </c>
      <c r="F39" s="36">
        <v>8</v>
      </c>
      <c r="G39" s="38">
        <f t="shared" si="0"/>
        <v>8</v>
      </c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</row>
    <row r="40" spans="1:84" x14ac:dyDescent="0.35">
      <c r="A40" s="43" t="s">
        <v>114</v>
      </c>
      <c r="B40" s="43" t="s">
        <v>18</v>
      </c>
      <c r="C40" s="44">
        <v>6000000096</v>
      </c>
      <c r="D40" s="45">
        <v>8</v>
      </c>
      <c r="E40" s="43" t="s">
        <v>79</v>
      </c>
      <c r="F40" s="43">
        <v>10</v>
      </c>
      <c r="G40" s="45">
        <f t="shared" si="0"/>
        <v>9</v>
      </c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</row>
    <row r="41" spans="1:84" x14ac:dyDescent="0.35">
      <c r="A41" s="43" t="s">
        <v>115</v>
      </c>
      <c r="B41" s="43" t="s">
        <v>18</v>
      </c>
      <c r="C41" s="46">
        <v>6000000221</v>
      </c>
      <c r="D41" s="45">
        <v>8</v>
      </c>
      <c r="E41" s="46" t="s">
        <v>108</v>
      </c>
      <c r="F41" s="43">
        <v>9</v>
      </c>
      <c r="G41" s="45">
        <f t="shared" si="0"/>
        <v>8.5</v>
      </c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</row>
    <row r="42" spans="1:84" x14ac:dyDescent="0.35">
      <c r="A42" s="36" t="s">
        <v>116</v>
      </c>
      <c r="B42" s="36"/>
      <c r="C42" s="41">
        <v>6000000007</v>
      </c>
      <c r="D42" s="37">
        <v>8</v>
      </c>
      <c r="E42" s="36" t="s">
        <v>66</v>
      </c>
      <c r="F42" s="36">
        <v>8</v>
      </c>
      <c r="G42" s="38">
        <f t="shared" si="0"/>
        <v>8</v>
      </c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</row>
    <row r="43" spans="1:84" ht="16" x14ac:dyDescent="0.4">
      <c r="A43" s="36" t="s">
        <v>117</v>
      </c>
      <c r="B43" s="36"/>
      <c r="C43" s="41">
        <v>6000000081</v>
      </c>
      <c r="D43" s="40">
        <v>5</v>
      </c>
      <c r="E43" s="165" t="s">
        <v>92</v>
      </c>
      <c r="F43" s="39">
        <v>2</v>
      </c>
      <c r="G43" s="37">
        <f t="shared" ref="G43:G51" si="1">(D43+F43)/2</f>
        <v>3.5</v>
      </c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</row>
    <row r="44" spans="1:84" x14ac:dyDescent="0.35">
      <c r="A44" s="36" t="s">
        <v>118</v>
      </c>
      <c r="B44" s="36"/>
      <c r="C44" s="41">
        <v>6000000141</v>
      </c>
      <c r="D44" s="37">
        <v>10</v>
      </c>
      <c r="E44" s="36" t="s">
        <v>90</v>
      </c>
      <c r="F44" s="36">
        <v>8</v>
      </c>
      <c r="G44" s="37">
        <f t="shared" si="1"/>
        <v>9</v>
      </c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</row>
    <row r="45" spans="1:84" s="15" customFormat="1" x14ac:dyDescent="0.35">
      <c r="A45" s="36" t="s">
        <v>119</v>
      </c>
      <c r="B45" s="36"/>
      <c r="C45" s="136">
        <v>6000000000</v>
      </c>
      <c r="D45" s="40">
        <v>5</v>
      </c>
      <c r="E45" s="164" t="s">
        <v>537</v>
      </c>
      <c r="F45" s="39">
        <v>4</v>
      </c>
      <c r="G45" s="37">
        <f t="shared" si="1"/>
        <v>4.5</v>
      </c>
      <c r="H45" s="14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</row>
    <row r="46" spans="1:84" x14ac:dyDescent="0.35">
      <c r="A46" s="36" t="s">
        <v>120</v>
      </c>
      <c r="B46" s="36"/>
      <c r="C46" s="36">
        <v>6000000007</v>
      </c>
      <c r="D46" s="37">
        <v>10</v>
      </c>
      <c r="E46" s="138" t="s">
        <v>70</v>
      </c>
      <c r="F46" s="36">
        <v>10</v>
      </c>
      <c r="G46" s="37">
        <f t="shared" si="1"/>
        <v>10</v>
      </c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</row>
    <row r="47" spans="1:84" s="15" customFormat="1" ht="16" x14ac:dyDescent="0.4">
      <c r="A47" s="36" t="s">
        <v>121</v>
      </c>
      <c r="B47" s="36"/>
      <c r="C47" s="136">
        <v>6000000224</v>
      </c>
      <c r="D47" s="40">
        <v>5</v>
      </c>
      <c r="E47" s="165" t="s">
        <v>90</v>
      </c>
      <c r="F47" s="39">
        <v>5</v>
      </c>
      <c r="G47" s="37">
        <f t="shared" si="1"/>
        <v>5</v>
      </c>
      <c r="H47" s="14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</row>
    <row r="48" spans="1:84" x14ac:dyDescent="0.35">
      <c r="A48" s="36" t="s">
        <v>122</v>
      </c>
      <c r="B48" s="36"/>
      <c r="C48" s="41">
        <v>6000000198</v>
      </c>
      <c r="D48" s="37">
        <v>7</v>
      </c>
      <c r="E48" s="36" t="s">
        <v>90</v>
      </c>
      <c r="F48" s="138">
        <v>8</v>
      </c>
      <c r="G48" s="37">
        <f t="shared" si="1"/>
        <v>7.5</v>
      </c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</row>
    <row r="49" spans="1:32" x14ac:dyDescent="0.35">
      <c r="A49" s="36" t="s">
        <v>83</v>
      </c>
      <c r="B49" s="36"/>
      <c r="C49" s="41">
        <v>6000000091</v>
      </c>
      <c r="D49" s="37">
        <v>10</v>
      </c>
      <c r="E49" s="36" t="s">
        <v>77</v>
      </c>
      <c r="F49" s="36">
        <v>10</v>
      </c>
      <c r="G49" s="37">
        <f t="shared" si="1"/>
        <v>10</v>
      </c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</row>
    <row r="50" spans="1:32" x14ac:dyDescent="0.35">
      <c r="A50" s="43" t="s">
        <v>123</v>
      </c>
      <c r="B50" s="43" t="s">
        <v>18</v>
      </c>
      <c r="C50" s="44">
        <v>6000000007</v>
      </c>
      <c r="D50" s="45">
        <v>8</v>
      </c>
      <c r="E50" s="43" t="s">
        <v>66</v>
      </c>
      <c r="F50" s="43">
        <v>8</v>
      </c>
      <c r="G50" s="45">
        <f t="shared" si="1"/>
        <v>8</v>
      </c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</row>
    <row r="51" spans="1:32" x14ac:dyDescent="0.35">
      <c r="A51" s="111" t="s">
        <v>113</v>
      </c>
      <c r="B51" s="111" t="s">
        <v>18</v>
      </c>
      <c r="C51" s="112">
        <v>6000000007</v>
      </c>
      <c r="D51" s="113">
        <v>8</v>
      </c>
      <c r="E51" s="111" t="s">
        <v>66</v>
      </c>
      <c r="F51" s="111">
        <v>8</v>
      </c>
      <c r="G51" s="113">
        <f t="shared" si="1"/>
        <v>8</v>
      </c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</row>
    <row r="52" spans="1:32" s="114" customFormat="1" x14ac:dyDescent="0.35">
      <c r="A52" s="116"/>
      <c r="B52" s="116"/>
      <c r="C52" s="116"/>
      <c r="D52" s="116"/>
      <c r="E52" s="116"/>
      <c r="F52" s="116"/>
      <c r="G52" s="116"/>
    </row>
    <row r="53" spans="1:32" ht="16" x14ac:dyDescent="0.4">
      <c r="A53" s="167" t="s">
        <v>267</v>
      </c>
      <c r="B53" s="167"/>
      <c r="C53" s="41">
        <v>6000000141</v>
      </c>
      <c r="D53" s="75"/>
      <c r="E53" s="36" t="s">
        <v>90</v>
      </c>
      <c r="F53" s="75"/>
      <c r="G53" s="168"/>
      <c r="H53" s="62"/>
      <c r="I53" s="62"/>
      <c r="J53" s="62"/>
      <c r="K53" s="62"/>
      <c r="L53" s="62"/>
      <c r="M53" s="62"/>
      <c r="N53" s="63"/>
      <c r="O53" s="63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</row>
    <row r="54" spans="1:32" x14ac:dyDescent="0.35">
      <c r="A54" s="36" t="s">
        <v>273</v>
      </c>
      <c r="B54" s="36"/>
      <c r="C54" s="36">
        <v>6000000153</v>
      </c>
      <c r="D54" s="37">
        <v>9</v>
      </c>
      <c r="E54" s="36" t="s">
        <v>72</v>
      </c>
      <c r="F54" s="36">
        <v>6</v>
      </c>
      <c r="G54" s="37">
        <f t="shared" ref="G54" si="2">(D54+F54)/2</f>
        <v>7.5</v>
      </c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</row>
    <row r="55" spans="1:32" ht="16" x14ac:dyDescent="0.4">
      <c r="A55" s="64"/>
      <c r="B55" s="64"/>
      <c r="C55" s="134"/>
      <c r="D55" s="62"/>
      <c r="E55" s="61"/>
      <c r="F55" s="62"/>
      <c r="G55" s="61"/>
      <c r="H55" s="62"/>
      <c r="I55" s="62"/>
      <c r="J55" s="62"/>
      <c r="K55" s="62"/>
      <c r="L55" s="62"/>
      <c r="M55" s="62"/>
      <c r="N55" s="63"/>
      <c r="O55" s="63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</row>
    <row r="56" spans="1:32" ht="16" x14ac:dyDescent="0.4">
      <c r="A56" s="64"/>
      <c r="B56" s="64"/>
      <c r="C56" s="134"/>
      <c r="D56" s="62"/>
      <c r="E56" s="61"/>
      <c r="F56" s="62"/>
      <c r="G56" s="61"/>
      <c r="H56" s="62"/>
      <c r="I56" s="62"/>
      <c r="J56" s="62"/>
      <c r="K56" s="62"/>
      <c r="L56" s="62"/>
      <c r="M56" s="62"/>
      <c r="N56" s="63"/>
      <c r="O56" s="63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</row>
    <row r="57" spans="1:32" ht="16" x14ac:dyDescent="0.4">
      <c r="A57" s="63"/>
      <c r="B57" s="63"/>
      <c r="C57" s="63"/>
      <c r="D57" s="62"/>
      <c r="E57" s="63"/>
      <c r="F57" s="62"/>
      <c r="G57" s="62"/>
      <c r="H57" s="62"/>
      <c r="I57" s="62"/>
      <c r="J57" s="62"/>
      <c r="K57" s="62"/>
      <c r="L57" s="62"/>
      <c r="M57" s="62"/>
      <c r="N57" s="63"/>
      <c r="O57" s="63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</row>
    <row r="58" spans="1:32" ht="16" x14ac:dyDescent="0.4">
      <c r="A58" s="63"/>
      <c r="B58" s="63"/>
      <c r="C58" s="135"/>
      <c r="D58" s="62"/>
      <c r="E58" s="63"/>
      <c r="F58" s="62"/>
      <c r="G58" s="62"/>
      <c r="H58" s="62"/>
      <c r="I58" s="62"/>
      <c r="J58" s="62"/>
      <c r="K58" s="62"/>
      <c r="L58" s="62"/>
      <c r="M58" s="62"/>
      <c r="N58" s="63"/>
      <c r="O58" s="63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</row>
    <row r="59" spans="1:32" ht="18" x14ac:dyDescent="0.5">
      <c r="A59" s="63"/>
      <c r="B59" s="63"/>
      <c r="C59" s="63"/>
      <c r="D59" s="133"/>
      <c r="E59" s="63"/>
      <c r="F59" s="62"/>
      <c r="G59" s="62"/>
      <c r="H59" s="62"/>
      <c r="I59" s="62"/>
      <c r="J59" s="62"/>
      <c r="K59" s="62"/>
      <c r="L59" s="62"/>
      <c r="M59" s="62"/>
      <c r="N59" s="63"/>
      <c r="O59" s="63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</row>
    <row r="60" spans="1:32" ht="16" x14ac:dyDescent="0.4">
      <c r="A60" s="63"/>
      <c r="B60" s="63"/>
      <c r="C60" s="63"/>
      <c r="D60" s="62"/>
      <c r="E60" s="63"/>
      <c r="F60" s="62"/>
      <c r="G60" s="62"/>
      <c r="H60" s="62"/>
      <c r="I60" s="62"/>
      <c r="J60" s="62"/>
      <c r="K60" s="62"/>
      <c r="L60" s="62"/>
      <c r="M60" s="62"/>
      <c r="N60" s="63"/>
      <c r="O60" s="63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</row>
    <row r="61" spans="1:32" x14ac:dyDescent="0.35">
      <c r="A61" s="64"/>
      <c r="B61" s="64"/>
      <c r="C61" s="64"/>
      <c r="D61" s="64"/>
      <c r="E61" s="64"/>
      <c r="F61" s="64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</row>
    <row r="62" spans="1:32" x14ac:dyDescent="0.35">
      <c r="A62" s="64"/>
      <c r="B62" s="64"/>
      <c r="C62" s="64"/>
      <c r="D62" s="64"/>
      <c r="E62" s="64"/>
      <c r="F62" s="64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</row>
    <row r="63" spans="1:32" x14ac:dyDescent="0.35">
      <c r="A63" s="64"/>
      <c r="B63" s="64"/>
      <c r="C63" s="64"/>
      <c r="D63" s="64"/>
      <c r="E63" s="64"/>
      <c r="F63" s="64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</row>
    <row r="64" spans="1:32" x14ac:dyDescent="0.35">
      <c r="A64" s="64"/>
      <c r="B64" s="64"/>
      <c r="C64" s="64"/>
      <c r="D64" s="64"/>
      <c r="E64" s="64"/>
      <c r="F64" s="64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</row>
    <row r="65" spans="1:32" x14ac:dyDescent="0.35">
      <c r="A65" s="64"/>
      <c r="B65" s="64"/>
      <c r="C65" s="64"/>
      <c r="D65" s="64"/>
      <c r="E65" s="64"/>
      <c r="F65" s="64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</row>
    <row r="66" spans="1:32" x14ac:dyDescent="0.35">
      <c r="A66" s="65"/>
      <c r="B66" s="65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</row>
    <row r="67" spans="1:32" x14ac:dyDescent="0.35">
      <c r="A67" s="61"/>
      <c r="B67" s="61"/>
      <c r="C67" s="64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</row>
    <row r="68" spans="1:32" x14ac:dyDescent="0.3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</row>
    <row r="69" spans="1:32" x14ac:dyDescent="0.3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</row>
    <row r="70" spans="1:32" x14ac:dyDescent="0.3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</row>
    <row r="71" spans="1:32" x14ac:dyDescent="0.3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</row>
    <row r="72" spans="1:32" x14ac:dyDescent="0.3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</row>
    <row r="73" spans="1:32" x14ac:dyDescent="0.3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</row>
    <row r="74" spans="1:32" x14ac:dyDescent="0.3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</row>
    <row r="75" spans="1:32" x14ac:dyDescent="0.3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</row>
    <row r="76" spans="1:32" x14ac:dyDescent="0.3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</row>
    <row r="77" spans="1:32" x14ac:dyDescent="0.3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</row>
    <row r="78" spans="1:32" x14ac:dyDescent="0.3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</row>
    <row r="79" spans="1:32" x14ac:dyDescent="0.3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</row>
    <row r="80" spans="1:32" x14ac:dyDescent="0.3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</row>
    <row r="81" spans="1:32" x14ac:dyDescent="0.3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</row>
    <row r="82" spans="1:32" x14ac:dyDescent="0.3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</row>
    <row r="83" spans="1:32" x14ac:dyDescent="0.3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</row>
    <row r="84" spans="1:32" x14ac:dyDescent="0.3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</row>
    <row r="85" spans="1:32" x14ac:dyDescent="0.3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</row>
    <row r="86" spans="1:32" x14ac:dyDescent="0.3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</row>
    <row r="87" spans="1:32" x14ac:dyDescent="0.3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</row>
    <row r="88" spans="1:32" x14ac:dyDescent="0.3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</row>
    <row r="89" spans="1:32" x14ac:dyDescent="0.3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</row>
    <row r="90" spans="1:32" x14ac:dyDescent="0.3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</row>
    <row r="91" spans="1:32" x14ac:dyDescent="0.3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</row>
    <row r="92" spans="1:32" x14ac:dyDescent="0.3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</row>
    <row r="93" spans="1:32" x14ac:dyDescent="0.3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</row>
    <row r="94" spans="1:32" x14ac:dyDescent="0.3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</row>
    <row r="95" spans="1:32" x14ac:dyDescent="0.3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</row>
    <row r="96" spans="1:32" x14ac:dyDescent="0.3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</row>
    <row r="97" spans="1:32" x14ac:dyDescent="0.3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</row>
    <row r="98" spans="1:32" x14ac:dyDescent="0.3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</row>
    <row r="99" spans="1:32" x14ac:dyDescent="0.3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</row>
    <row r="100" spans="1:32" x14ac:dyDescent="0.3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</row>
    <row r="101" spans="1:32" x14ac:dyDescent="0.3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</row>
    <row r="102" spans="1:32" x14ac:dyDescent="0.3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</row>
    <row r="103" spans="1:32" x14ac:dyDescent="0.3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</row>
    <row r="104" spans="1:32" x14ac:dyDescent="0.3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</row>
    <row r="105" spans="1:32" x14ac:dyDescent="0.3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</row>
    <row r="106" spans="1:32" x14ac:dyDescent="0.3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</row>
    <row r="107" spans="1:32" x14ac:dyDescent="0.3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</row>
    <row r="108" spans="1:32" x14ac:dyDescent="0.3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</row>
    <row r="109" spans="1:32" x14ac:dyDescent="0.3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</row>
    <row r="110" spans="1:32" x14ac:dyDescent="0.3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</row>
    <row r="111" spans="1:32" x14ac:dyDescent="0.3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</row>
    <row r="112" spans="1:32" x14ac:dyDescent="0.3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</row>
    <row r="113" spans="1:32" x14ac:dyDescent="0.3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</row>
    <row r="114" spans="1:32" x14ac:dyDescent="0.3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</row>
    <row r="115" spans="1:32" x14ac:dyDescent="0.3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</row>
    <row r="116" spans="1:32" x14ac:dyDescent="0.3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</row>
    <row r="117" spans="1:32" x14ac:dyDescent="0.3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</row>
    <row r="118" spans="1:32" x14ac:dyDescent="0.3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</row>
    <row r="119" spans="1:32" x14ac:dyDescent="0.3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</row>
    <row r="120" spans="1:32" x14ac:dyDescent="0.3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</row>
    <row r="121" spans="1:32" x14ac:dyDescent="0.3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</row>
    <row r="122" spans="1:32" x14ac:dyDescent="0.3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</row>
    <row r="123" spans="1:32" x14ac:dyDescent="0.3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</row>
    <row r="124" spans="1:32" x14ac:dyDescent="0.3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</row>
    <row r="125" spans="1:32" x14ac:dyDescent="0.3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</row>
    <row r="126" spans="1:32" x14ac:dyDescent="0.3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</row>
    <row r="127" spans="1:32" x14ac:dyDescent="0.3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</row>
    <row r="128" spans="1:32" x14ac:dyDescent="0.3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</row>
    <row r="129" spans="1:32" x14ac:dyDescent="0.3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</row>
    <row r="130" spans="1:32" x14ac:dyDescent="0.3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</row>
    <row r="131" spans="1:32" x14ac:dyDescent="0.3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</row>
    <row r="132" spans="1:32" x14ac:dyDescent="0.3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</row>
    <row r="133" spans="1:32" x14ac:dyDescent="0.3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</row>
    <row r="134" spans="1:32" x14ac:dyDescent="0.3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DA2B-77C5-B949-959C-D0A6E5DBDA44}">
  <dimension ref="A1:F15"/>
  <sheetViews>
    <sheetView topLeftCell="A3" zoomScale="94" workbookViewId="0">
      <selection activeCell="C14" sqref="C14:C15"/>
    </sheetView>
  </sheetViews>
  <sheetFormatPr defaultColWidth="10.83203125" defaultRowHeight="14.5" x14ac:dyDescent="0.35"/>
  <cols>
    <col min="1" max="1" width="26" style="13" customWidth="1"/>
    <col min="2" max="2" width="21.33203125" style="13" bestFit="1" customWidth="1"/>
    <col min="3" max="3" width="28" style="13" bestFit="1" customWidth="1"/>
    <col min="4" max="4" width="21.33203125" style="13" bestFit="1" customWidth="1"/>
    <col min="5" max="5" width="25.08203125" style="13" bestFit="1" customWidth="1"/>
    <col min="6" max="6" width="25.58203125" style="13" bestFit="1" customWidth="1"/>
    <col min="7" max="16384" width="10.83203125" style="13"/>
  </cols>
  <sheetData>
    <row r="1" spans="1:6" x14ac:dyDescent="0.35">
      <c r="A1" s="18" t="s">
        <v>51</v>
      </c>
      <c r="B1" s="18" t="s">
        <v>53</v>
      </c>
      <c r="C1" s="18" t="s">
        <v>54</v>
      </c>
      <c r="D1" s="18" t="s">
        <v>55</v>
      </c>
      <c r="E1" s="18" t="s">
        <v>56</v>
      </c>
      <c r="F1" s="18" t="s">
        <v>57</v>
      </c>
    </row>
    <row r="2" spans="1:6" ht="88" customHeight="1" x14ac:dyDescent="0.35">
      <c r="A2" s="19" t="s">
        <v>58</v>
      </c>
      <c r="B2" s="19" t="s">
        <v>60</v>
      </c>
      <c r="C2" s="19" t="s">
        <v>61</v>
      </c>
      <c r="D2" s="19" t="s">
        <v>62</v>
      </c>
      <c r="E2" s="19" t="s">
        <v>63</v>
      </c>
      <c r="F2" s="19" t="s">
        <v>64</v>
      </c>
    </row>
    <row r="3" spans="1:6" x14ac:dyDescent="0.35">
      <c r="A3" s="16" t="s">
        <v>126</v>
      </c>
      <c r="B3" s="12">
        <v>6000000007</v>
      </c>
      <c r="C3" s="13">
        <v>8</v>
      </c>
      <c r="D3" s="12" t="s">
        <v>66</v>
      </c>
      <c r="E3" s="13">
        <v>8</v>
      </c>
    </row>
    <row r="4" spans="1:6" x14ac:dyDescent="0.35">
      <c r="A4" s="17" t="s">
        <v>127</v>
      </c>
      <c r="B4" s="20">
        <v>6000000122</v>
      </c>
      <c r="C4" s="13">
        <v>9</v>
      </c>
      <c r="D4" s="21" t="s">
        <v>128</v>
      </c>
      <c r="E4" s="13">
        <v>9</v>
      </c>
    </row>
    <row r="5" spans="1:6" x14ac:dyDescent="0.35">
      <c r="A5" s="17" t="s">
        <v>129</v>
      </c>
      <c r="B5" s="12">
        <v>6000000007</v>
      </c>
      <c r="C5" s="13">
        <v>8</v>
      </c>
      <c r="D5" s="12" t="s">
        <v>66</v>
      </c>
      <c r="E5" s="13">
        <v>8</v>
      </c>
    </row>
    <row r="6" spans="1:6" x14ac:dyDescent="0.35">
      <c r="A6" s="17" t="s">
        <v>130</v>
      </c>
      <c r="B6" s="20">
        <v>6000000122</v>
      </c>
      <c r="C6" s="13">
        <v>9</v>
      </c>
      <c r="D6" s="21" t="s">
        <v>128</v>
      </c>
      <c r="E6" s="13">
        <v>9</v>
      </c>
    </row>
    <row r="7" spans="1:6" x14ac:dyDescent="0.35">
      <c r="A7" s="17" t="s">
        <v>131</v>
      </c>
      <c r="B7" s="20">
        <v>6000000122</v>
      </c>
      <c r="C7" s="13">
        <v>9</v>
      </c>
      <c r="D7" s="21" t="s">
        <v>128</v>
      </c>
      <c r="E7" s="13">
        <v>9</v>
      </c>
    </row>
    <row r="8" spans="1:6" x14ac:dyDescent="0.35">
      <c r="A8" s="17" t="s">
        <v>126</v>
      </c>
      <c r="B8" s="12">
        <v>6000000007</v>
      </c>
      <c r="C8" s="13">
        <v>8</v>
      </c>
      <c r="D8" s="12" t="s">
        <v>66</v>
      </c>
      <c r="E8" s="13">
        <v>8</v>
      </c>
    </row>
    <row r="12" spans="1:6" ht="34" customHeight="1" x14ac:dyDescent="0.35">
      <c r="A12" s="142" t="s">
        <v>132</v>
      </c>
      <c r="B12" s="141">
        <v>6000000109</v>
      </c>
      <c r="D12" s="12" t="s">
        <v>66</v>
      </c>
    </row>
    <row r="13" spans="1:6" x14ac:dyDescent="0.35">
      <c r="A13" s="142"/>
      <c r="B13" s="141"/>
      <c r="D13" s="21" t="s">
        <v>128</v>
      </c>
    </row>
    <row r="14" spans="1:6" x14ac:dyDescent="0.35">
      <c r="B14" s="143"/>
      <c r="C14" s="144"/>
      <c r="D14" s="10"/>
    </row>
    <row r="15" spans="1:6" x14ac:dyDescent="0.35">
      <c r="B15" s="143"/>
      <c r="C15" s="144"/>
    </row>
  </sheetData>
  <mergeCells count="4">
    <mergeCell ref="B12:B13"/>
    <mergeCell ref="A12:A13"/>
    <mergeCell ref="B14:B15"/>
    <mergeCell ref="C14:C1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9EE5-8F81-DA40-A27F-4A23EE76C267}">
  <dimension ref="A1:AN1424"/>
  <sheetViews>
    <sheetView tabSelected="1" zoomScaleNormal="109" workbookViewId="0">
      <pane ySplit="1" topLeftCell="A63" activePane="bottomLeft" state="frozen"/>
      <selection activeCell="F1" sqref="F1"/>
      <selection pane="bottomLeft" activeCell="C77" sqref="C77"/>
    </sheetView>
  </sheetViews>
  <sheetFormatPr defaultColWidth="11" defaultRowHeight="16" x14ac:dyDescent="0.4"/>
  <cols>
    <col min="1" max="1" width="41.83203125" bestFit="1" customWidth="1"/>
    <col min="2" max="2" width="63" bestFit="1" customWidth="1"/>
    <col min="3" max="3" width="17.08203125" customWidth="1"/>
    <col min="4" max="4" width="19.33203125" customWidth="1"/>
    <col min="5" max="5" width="26.33203125" bestFit="1" customWidth="1"/>
    <col min="6" max="6" width="23" customWidth="1"/>
    <col min="7" max="7" width="21.58203125" customWidth="1"/>
    <col min="8" max="8" width="15.08203125" bestFit="1" customWidth="1"/>
    <col min="9" max="9" width="23" customWidth="1"/>
    <col min="10" max="10" width="21.58203125" customWidth="1"/>
    <col min="11" max="11" width="15.08203125" bestFit="1" customWidth="1"/>
    <col min="12" max="12" width="23" customWidth="1"/>
    <col min="13" max="13" width="21.58203125" customWidth="1"/>
    <col min="14" max="14" width="18.5" bestFit="1" customWidth="1"/>
    <col min="15" max="15" width="104.83203125" bestFit="1" customWidth="1"/>
  </cols>
  <sheetData>
    <row r="1" spans="1:40" x14ac:dyDescent="0.4">
      <c r="A1" s="101" t="s">
        <v>133</v>
      </c>
      <c r="B1" s="102" t="s">
        <v>134</v>
      </c>
      <c r="C1" s="102" t="s">
        <v>135</v>
      </c>
      <c r="D1" s="102" t="s">
        <v>136</v>
      </c>
      <c r="E1" s="102" t="s">
        <v>137</v>
      </c>
      <c r="F1" s="102" t="s">
        <v>138</v>
      </c>
      <c r="G1" s="102" t="s">
        <v>139</v>
      </c>
      <c r="H1" s="102" t="s">
        <v>140</v>
      </c>
      <c r="I1" s="102" t="s">
        <v>141</v>
      </c>
      <c r="J1" s="102" t="s">
        <v>142</v>
      </c>
      <c r="K1" s="102" t="s">
        <v>143</v>
      </c>
      <c r="L1" s="102" t="s">
        <v>144</v>
      </c>
      <c r="M1" s="102" t="s">
        <v>145</v>
      </c>
      <c r="N1" s="103" t="s">
        <v>4</v>
      </c>
      <c r="O1" s="103" t="s">
        <v>146</v>
      </c>
      <c r="P1" s="104" t="s">
        <v>52</v>
      </c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</row>
    <row r="2" spans="1:40" ht="89.15" customHeight="1" x14ac:dyDescent="0.4">
      <c r="A2" s="87" t="s">
        <v>147</v>
      </c>
      <c r="B2" s="5"/>
      <c r="C2" s="5" t="s">
        <v>148</v>
      </c>
      <c r="D2" s="5" t="s">
        <v>149</v>
      </c>
      <c r="E2" s="5" t="s">
        <v>150</v>
      </c>
      <c r="F2" s="5" t="s">
        <v>151</v>
      </c>
      <c r="G2" s="5" t="s">
        <v>152</v>
      </c>
      <c r="H2" s="5" t="s">
        <v>153</v>
      </c>
      <c r="I2" s="5" t="s">
        <v>154</v>
      </c>
      <c r="J2" s="5" t="s">
        <v>152</v>
      </c>
      <c r="K2" s="5" t="s">
        <v>155</v>
      </c>
      <c r="L2" s="5" t="s">
        <v>156</v>
      </c>
      <c r="M2" s="5" t="s">
        <v>152</v>
      </c>
      <c r="N2" s="3" t="s">
        <v>157</v>
      </c>
      <c r="O2" s="3" t="s">
        <v>158</v>
      </c>
      <c r="P2" s="95" t="s">
        <v>159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</row>
    <row r="3" spans="1:40" x14ac:dyDescent="0.4">
      <c r="A3" s="88" t="s">
        <v>160</v>
      </c>
      <c r="B3" s="22" t="s">
        <v>161</v>
      </c>
      <c r="C3" s="22">
        <v>0.1016</v>
      </c>
      <c r="D3" s="23" t="s">
        <v>162</v>
      </c>
      <c r="E3" s="22" t="s">
        <v>65</v>
      </c>
      <c r="F3" s="23"/>
      <c r="G3" s="22">
        <v>0.1016</v>
      </c>
      <c r="H3" s="29"/>
      <c r="I3" s="29"/>
      <c r="J3" s="29"/>
      <c r="K3" s="23"/>
      <c r="L3" s="23"/>
      <c r="M3" s="23"/>
      <c r="N3" s="22" t="s">
        <v>22</v>
      </c>
      <c r="O3" s="22" t="s">
        <v>163</v>
      </c>
      <c r="P3" s="96" t="s">
        <v>18</v>
      </c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</row>
    <row r="4" spans="1:40" x14ac:dyDescent="0.4">
      <c r="A4" s="89" t="s">
        <v>164</v>
      </c>
      <c r="B4" s="24" t="s">
        <v>165</v>
      </c>
      <c r="C4" s="24">
        <v>0.15240000000000001</v>
      </c>
      <c r="D4" s="25" t="s">
        <v>162</v>
      </c>
      <c r="E4" s="24" t="s">
        <v>67</v>
      </c>
      <c r="F4" s="25"/>
      <c r="G4" s="24">
        <v>0.15240000000000001</v>
      </c>
      <c r="H4" s="30"/>
      <c r="I4" s="30"/>
      <c r="J4" s="30"/>
      <c r="K4" s="25"/>
      <c r="L4" s="25"/>
      <c r="M4" s="25"/>
      <c r="N4" s="24" t="s">
        <v>22</v>
      </c>
      <c r="O4" s="24" t="s">
        <v>166</v>
      </c>
      <c r="P4" s="97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</row>
    <row r="5" spans="1:40" x14ac:dyDescent="0.4">
      <c r="A5" s="89" t="s">
        <v>167</v>
      </c>
      <c r="B5" s="24" t="s">
        <v>168</v>
      </c>
      <c r="C5" s="24">
        <v>0.1016</v>
      </c>
      <c r="D5" s="25" t="s">
        <v>162</v>
      </c>
      <c r="E5" s="24" t="s">
        <v>68</v>
      </c>
      <c r="F5" s="25"/>
      <c r="G5" s="24">
        <v>0.1016</v>
      </c>
      <c r="H5" s="30"/>
      <c r="I5" s="30"/>
      <c r="J5" s="30"/>
      <c r="K5" s="25"/>
      <c r="L5" s="25"/>
      <c r="M5" s="25"/>
      <c r="N5" s="24" t="s">
        <v>22</v>
      </c>
      <c r="O5" s="24" t="s">
        <v>169</v>
      </c>
      <c r="P5" s="97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</row>
    <row r="6" spans="1:40" x14ac:dyDescent="0.4">
      <c r="A6" s="90" t="s">
        <v>170</v>
      </c>
      <c r="B6" s="28" t="s">
        <v>171</v>
      </c>
      <c r="C6" s="11">
        <v>3.7999999999999999E-2</v>
      </c>
      <c r="D6" s="6" t="s">
        <v>162</v>
      </c>
      <c r="E6" s="11" t="s">
        <v>69</v>
      </c>
      <c r="F6" s="6"/>
      <c r="G6" s="11">
        <v>3.7999999999999999E-2</v>
      </c>
      <c r="H6" s="31"/>
      <c r="I6" s="31"/>
      <c r="J6" s="31"/>
      <c r="K6" s="6"/>
      <c r="L6" s="6"/>
      <c r="M6" s="6"/>
      <c r="N6" s="11" t="s">
        <v>22</v>
      </c>
      <c r="O6" s="11" t="s">
        <v>172</v>
      </c>
      <c r="P6" s="98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</row>
    <row r="7" spans="1:40" x14ac:dyDescent="0.4">
      <c r="A7" s="90" t="s">
        <v>173</v>
      </c>
      <c r="B7" s="11" t="s">
        <v>174</v>
      </c>
      <c r="C7" s="11">
        <v>3.0000000000000001E-3</v>
      </c>
      <c r="D7" s="6" t="s">
        <v>162</v>
      </c>
      <c r="E7" s="11" t="s">
        <v>71</v>
      </c>
      <c r="F7" s="6"/>
      <c r="G7" s="11">
        <v>3.0000000000000001E-3</v>
      </c>
      <c r="H7" s="31"/>
      <c r="I7" s="31"/>
      <c r="J7" s="31"/>
      <c r="K7" s="6"/>
      <c r="L7" s="6"/>
      <c r="M7" s="6"/>
      <c r="N7" s="11" t="s">
        <v>22</v>
      </c>
      <c r="O7" s="11" t="s">
        <v>175</v>
      </c>
      <c r="P7" s="98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</row>
    <row r="8" spans="1:40" x14ac:dyDescent="0.4">
      <c r="A8" s="90" t="s">
        <v>176</v>
      </c>
      <c r="B8" s="11" t="s">
        <v>177</v>
      </c>
      <c r="C8" s="11">
        <v>0.05</v>
      </c>
      <c r="D8" s="6" t="s">
        <v>162</v>
      </c>
      <c r="E8" s="11" t="s">
        <v>74</v>
      </c>
      <c r="F8" s="6"/>
      <c r="G8" s="11">
        <v>0.05</v>
      </c>
      <c r="H8" s="31"/>
      <c r="I8" s="31"/>
      <c r="J8" s="31"/>
      <c r="K8" s="6"/>
      <c r="L8" s="6"/>
      <c r="M8" s="6"/>
      <c r="N8" s="11" t="s">
        <v>22</v>
      </c>
      <c r="O8" s="11" t="s">
        <v>175</v>
      </c>
      <c r="P8" s="98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</row>
    <row r="9" spans="1:40" x14ac:dyDescent="0.4">
      <c r="A9" s="90" t="s">
        <v>178</v>
      </c>
      <c r="B9" s="11" t="s">
        <v>179</v>
      </c>
      <c r="C9" s="11">
        <v>0.15</v>
      </c>
      <c r="D9" s="6" t="s">
        <v>162</v>
      </c>
      <c r="E9" s="11" t="s">
        <v>73</v>
      </c>
      <c r="F9" s="6"/>
      <c r="G9" s="11">
        <v>0.15</v>
      </c>
      <c r="H9" s="31"/>
      <c r="I9" s="31"/>
      <c r="J9" s="31"/>
      <c r="K9" s="6"/>
      <c r="L9" s="6"/>
      <c r="M9" s="6"/>
      <c r="N9" s="11" t="s">
        <v>22</v>
      </c>
      <c r="O9" s="11" t="s">
        <v>180</v>
      </c>
      <c r="P9" s="98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</row>
    <row r="10" spans="1:40" x14ac:dyDescent="0.4">
      <c r="A10" s="90" t="s">
        <v>181</v>
      </c>
      <c r="B10" s="11" t="s">
        <v>182</v>
      </c>
      <c r="C10" s="11">
        <v>0.14000000000000001</v>
      </c>
      <c r="D10" s="6" t="s">
        <v>162</v>
      </c>
      <c r="E10" s="11" t="s">
        <v>74</v>
      </c>
      <c r="F10" s="6"/>
      <c r="G10" s="11">
        <v>0.14000000000000001</v>
      </c>
      <c r="H10" s="31"/>
      <c r="I10" s="31"/>
      <c r="J10" s="31"/>
      <c r="K10" s="6"/>
      <c r="L10" s="6"/>
      <c r="M10" s="6"/>
      <c r="N10" s="11" t="s">
        <v>22</v>
      </c>
      <c r="O10" s="11" t="s">
        <v>175</v>
      </c>
      <c r="P10" s="98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</row>
    <row r="11" spans="1:40" x14ac:dyDescent="0.4">
      <c r="A11" s="90" t="s">
        <v>183</v>
      </c>
      <c r="B11" s="11" t="s">
        <v>184</v>
      </c>
      <c r="C11" s="11">
        <v>5.0000000000000001E-3</v>
      </c>
      <c r="D11" s="6" t="s">
        <v>162</v>
      </c>
      <c r="E11" s="11" t="s">
        <v>76</v>
      </c>
      <c r="F11" s="6"/>
      <c r="G11" s="11">
        <v>5.0000000000000001E-3</v>
      </c>
      <c r="H11" s="31"/>
      <c r="I11" s="31"/>
      <c r="J11" s="31"/>
      <c r="K11" s="6"/>
      <c r="L11" s="6"/>
      <c r="M11" s="6"/>
      <c r="N11" s="11" t="s">
        <v>22</v>
      </c>
      <c r="O11" s="11" t="s">
        <v>175</v>
      </c>
      <c r="P11" s="98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</row>
    <row r="12" spans="1:40" x14ac:dyDescent="0.4">
      <c r="A12" s="90" t="s">
        <v>185</v>
      </c>
      <c r="B12" s="11" t="s">
        <v>186</v>
      </c>
      <c r="C12" s="11">
        <v>0.15</v>
      </c>
      <c r="D12" s="6" t="s">
        <v>162</v>
      </c>
      <c r="E12" s="11" t="s">
        <v>74</v>
      </c>
      <c r="F12" s="6"/>
      <c r="G12" s="11">
        <v>0.15</v>
      </c>
      <c r="H12" s="31"/>
      <c r="I12" s="31"/>
      <c r="J12" s="31"/>
      <c r="K12" s="6"/>
      <c r="L12" s="6"/>
      <c r="M12" s="6"/>
      <c r="N12" s="11" t="s">
        <v>22</v>
      </c>
      <c r="O12" s="11" t="s">
        <v>175</v>
      </c>
      <c r="P12" s="98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</row>
    <row r="13" spans="1:40" x14ac:dyDescent="0.4">
      <c r="A13" s="90" t="s">
        <v>187</v>
      </c>
      <c r="B13" s="11" t="s">
        <v>188</v>
      </c>
      <c r="C13" s="11">
        <v>0.125</v>
      </c>
      <c r="D13" s="6" t="s">
        <v>189</v>
      </c>
      <c r="E13" s="11" t="s">
        <v>78</v>
      </c>
      <c r="F13" s="6"/>
      <c r="G13" s="32">
        <v>0.125</v>
      </c>
      <c r="H13" s="31" t="s">
        <v>81</v>
      </c>
      <c r="I13" s="31"/>
      <c r="J13" s="31">
        <v>0.125</v>
      </c>
      <c r="K13" s="6"/>
      <c r="L13" s="6"/>
      <c r="M13" s="6"/>
      <c r="N13" s="11" t="s">
        <v>22</v>
      </c>
      <c r="O13" s="11" t="s">
        <v>190</v>
      </c>
      <c r="P13" s="98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</row>
    <row r="14" spans="1:40" x14ac:dyDescent="0.4">
      <c r="A14" s="90" t="s">
        <v>191</v>
      </c>
      <c r="B14" s="11" t="s">
        <v>192</v>
      </c>
      <c r="C14" s="11">
        <v>5.0000000000000001E-3</v>
      </c>
      <c r="D14" s="6" t="s">
        <v>162</v>
      </c>
      <c r="E14" s="11" t="s">
        <v>80</v>
      </c>
      <c r="F14" s="6"/>
      <c r="G14" s="11">
        <v>5.0000000000000001E-3</v>
      </c>
      <c r="H14" s="31"/>
      <c r="I14" s="31"/>
      <c r="J14" s="31"/>
      <c r="K14" s="6"/>
      <c r="L14" s="6"/>
      <c r="M14" s="6"/>
      <c r="N14" s="11" t="s">
        <v>22</v>
      </c>
      <c r="O14" s="11" t="s">
        <v>175</v>
      </c>
      <c r="P14" s="98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</row>
    <row r="15" spans="1:40" x14ac:dyDescent="0.4">
      <c r="A15" s="90" t="s">
        <v>193</v>
      </c>
      <c r="B15" s="11" t="s">
        <v>194</v>
      </c>
      <c r="C15" s="11">
        <v>5.0000000000000001E-3</v>
      </c>
      <c r="D15" s="6" t="s">
        <v>162</v>
      </c>
      <c r="E15" s="11" t="s">
        <v>81</v>
      </c>
      <c r="F15" s="6"/>
      <c r="G15" s="11">
        <v>5.0000000000000001E-3</v>
      </c>
      <c r="H15" s="31"/>
      <c r="I15" s="31"/>
      <c r="J15" s="31"/>
      <c r="K15" s="6"/>
      <c r="L15" s="6"/>
      <c r="M15" s="6"/>
      <c r="N15" s="11" t="s">
        <v>22</v>
      </c>
      <c r="O15" s="11" t="s">
        <v>195</v>
      </c>
      <c r="P15" s="9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</row>
    <row r="16" spans="1:40" x14ac:dyDescent="0.4">
      <c r="A16" s="90" t="s">
        <v>196</v>
      </c>
      <c r="B16" s="11" t="s">
        <v>197</v>
      </c>
      <c r="C16" s="11">
        <v>5.0000000000000001E-3</v>
      </c>
      <c r="D16" s="6" t="s">
        <v>162</v>
      </c>
      <c r="E16" s="11" t="s">
        <v>76</v>
      </c>
      <c r="F16" s="6"/>
      <c r="G16" s="11">
        <v>5.0000000000000001E-3</v>
      </c>
      <c r="H16" s="31"/>
      <c r="I16" s="31"/>
      <c r="J16" s="31"/>
      <c r="K16" s="6"/>
      <c r="L16" s="6"/>
      <c r="M16" s="6"/>
      <c r="N16" s="11" t="s">
        <v>22</v>
      </c>
      <c r="O16" s="11" t="s">
        <v>175</v>
      </c>
      <c r="P16" s="98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</row>
    <row r="17" spans="1:40" x14ac:dyDescent="0.4">
      <c r="A17" s="90" t="s">
        <v>198</v>
      </c>
      <c r="B17" s="11" t="s">
        <v>199</v>
      </c>
      <c r="C17" s="11">
        <v>0.25</v>
      </c>
      <c r="D17" s="6" t="s">
        <v>189</v>
      </c>
      <c r="E17" s="11" t="s">
        <v>78</v>
      </c>
      <c r="F17" s="6"/>
      <c r="G17" s="32">
        <v>0.25</v>
      </c>
      <c r="H17" s="31" t="s">
        <v>81</v>
      </c>
      <c r="I17" s="31"/>
      <c r="J17" s="31">
        <v>0.25</v>
      </c>
      <c r="K17" s="6"/>
      <c r="L17" s="6"/>
      <c r="M17" s="6"/>
      <c r="N17" s="11" t="s">
        <v>22</v>
      </c>
      <c r="O17" s="11" t="s">
        <v>200</v>
      </c>
      <c r="P17" s="98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</row>
    <row r="18" spans="1:40" x14ac:dyDescent="0.4">
      <c r="A18" s="90" t="s">
        <v>201</v>
      </c>
      <c r="B18" s="11" t="s">
        <v>202</v>
      </c>
      <c r="C18" s="11">
        <v>5.0000000000000001E-3</v>
      </c>
      <c r="D18" s="6" t="s">
        <v>162</v>
      </c>
      <c r="E18" s="11" t="s">
        <v>80</v>
      </c>
      <c r="F18" s="6"/>
      <c r="G18" s="11">
        <v>5.0000000000000001E-3</v>
      </c>
      <c r="H18" s="31"/>
      <c r="I18" s="31"/>
      <c r="J18" s="31"/>
      <c r="K18" s="6"/>
      <c r="L18" s="6"/>
      <c r="M18" s="6"/>
      <c r="N18" s="11" t="s">
        <v>22</v>
      </c>
      <c r="O18" s="11" t="s">
        <v>175</v>
      </c>
      <c r="P18" s="98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</row>
    <row r="19" spans="1:40" x14ac:dyDescent="0.4">
      <c r="A19" s="90" t="s">
        <v>203</v>
      </c>
      <c r="B19" s="11" t="s">
        <v>204</v>
      </c>
      <c r="C19" s="11">
        <v>0.2</v>
      </c>
      <c r="D19" s="6" t="s">
        <v>189</v>
      </c>
      <c r="E19" s="11" t="s">
        <v>78</v>
      </c>
      <c r="F19" s="6"/>
      <c r="G19" s="32">
        <v>0.2</v>
      </c>
      <c r="H19" s="31" t="s">
        <v>81</v>
      </c>
      <c r="I19" s="31"/>
      <c r="J19" s="31">
        <v>0.2</v>
      </c>
      <c r="K19" s="6"/>
      <c r="L19" s="6"/>
      <c r="M19" s="6"/>
      <c r="N19" s="11" t="s">
        <v>22</v>
      </c>
      <c r="O19" s="11" t="s">
        <v>205</v>
      </c>
      <c r="P19" s="98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</row>
    <row r="20" spans="1:40" x14ac:dyDescent="0.4">
      <c r="A20" s="90" t="s">
        <v>206</v>
      </c>
      <c r="B20" s="11" t="s">
        <v>207</v>
      </c>
      <c r="C20" s="11">
        <v>5.0000000000000001E-3</v>
      </c>
      <c r="D20" s="6" t="s">
        <v>162</v>
      </c>
      <c r="E20" s="11" t="s">
        <v>80</v>
      </c>
      <c r="F20" s="6"/>
      <c r="G20" s="11">
        <v>5.0000000000000001E-3</v>
      </c>
      <c r="H20" s="31"/>
      <c r="I20" s="31"/>
      <c r="J20" s="31"/>
      <c r="K20" s="6"/>
      <c r="L20" s="6"/>
      <c r="M20" s="6"/>
      <c r="N20" s="11" t="s">
        <v>22</v>
      </c>
      <c r="O20" s="11" t="s">
        <v>208</v>
      </c>
      <c r="P20" s="98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</row>
    <row r="21" spans="1:40" x14ac:dyDescent="0.4">
      <c r="A21" s="88" t="s">
        <v>209</v>
      </c>
      <c r="B21" s="22" t="s">
        <v>210</v>
      </c>
      <c r="C21" s="22">
        <v>0.15</v>
      </c>
      <c r="D21" s="23" t="s">
        <v>189</v>
      </c>
      <c r="E21" s="22" t="s">
        <v>113</v>
      </c>
      <c r="F21" s="23"/>
      <c r="G21" s="33">
        <v>0.15</v>
      </c>
      <c r="H21" s="29" t="s">
        <v>211</v>
      </c>
      <c r="I21" s="29"/>
      <c r="J21" s="29">
        <v>1.2E-2</v>
      </c>
      <c r="K21" s="23"/>
      <c r="L21" s="23"/>
      <c r="M21" s="23"/>
      <c r="N21" s="22" t="s">
        <v>22</v>
      </c>
      <c r="O21" s="22" t="s">
        <v>175</v>
      </c>
      <c r="P21" s="96" t="s">
        <v>18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</row>
    <row r="22" spans="1:40" x14ac:dyDescent="0.4">
      <c r="A22" s="90" t="s">
        <v>212</v>
      </c>
      <c r="B22" s="28" t="s">
        <v>213</v>
      </c>
      <c r="C22" s="11">
        <v>0.01</v>
      </c>
      <c r="D22" s="6" t="s">
        <v>162</v>
      </c>
      <c r="E22" s="11" t="s">
        <v>82</v>
      </c>
      <c r="F22" s="6"/>
      <c r="G22" s="11">
        <v>0.01</v>
      </c>
      <c r="H22" s="31"/>
      <c r="I22" s="31"/>
      <c r="J22" s="31"/>
      <c r="K22" s="6"/>
      <c r="L22" s="6"/>
      <c r="M22" s="6"/>
      <c r="N22" s="11" t="s">
        <v>22</v>
      </c>
      <c r="O22" s="11" t="s">
        <v>175</v>
      </c>
      <c r="P22" s="98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</row>
    <row r="23" spans="1:40" x14ac:dyDescent="0.4">
      <c r="A23" s="90" t="s">
        <v>214</v>
      </c>
      <c r="B23" s="11" t="s">
        <v>215</v>
      </c>
      <c r="C23" s="11">
        <v>0.05</v>
      </c>
      <c r="D23" s="6" t="s">
        <v>162</v>
      </c>
      <c r="E23" s="11" t="s">
        <v>83</v>
      </c>
      <c r="F23" s="6"/>
      <c r="G23" s="11">
        <v>0.05</v>
      </c>
      <c r="H23" s="31"/>
      <c r="I23" s="31"/>
      <c r="J23" s="31"/>
      <c r="K23" s="6"/>
      <c r="L23" s="6"/>
      <c r="M23" s="6"/>
      <c r="N23" s="11" t="s">
        <v>22</v>
      </c>
      <c r="O23" s="11" t="s">
        <v>175</v>
      </c>
      <c r="P23" s="98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</row>
    <row r="24" spans="1:40" x14ac:dyDescent="0.4">
      <c r="A24" s="90" t="s">
        <v>216</v>
      </c>
      <c r="B24" s="11" t="s">
        <v>217</v>
      </c>
      <c r="C24" s="11">
        <v>0.05</v>
      </c>
      <c r="D24" s="6" t="s">
        <v>162</v>
      </c>
      <c r="E24" s="11" t="s">
        <v>84</v>
      </c>
      <c r="F24" s="6"/>
      <c r="G24" s="11">
        <v>0.05</v>
      </c>
      <c r="H24" s="31"/>
      <c r="I24" s="31"/>
      <c r="J24" s="31"/>
      <c r="K24" s="6"/>
      <c r="L24" s="6"/>
      <c r="M24" s="6"/>
      <c r="N24" s="11" t="s">
        <v>22</v>
      </c>
      <c r="O24" s="11" t="s">
        <v>175</v>
      </c>
      <c r="P24" s="98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</row>
    <row r="25" spans="1:40" x14ac:dyDescent="0.4">
      <c r="A25" s="90" t="s">
        <v>218</v>
      </c>
      <c r="B25" s="11" t="s">
        <v>219</v>
      </c>
      <c r="C25" s="11">
        <v>0.08</v>
      </c>
      <c r="D25" s="6" t="s">
        <v>162</v>
      </c>
      <c r="E25" s="11" t="s">
        <v>85</v>
      </c>
      <c r="F25" s="6"/>
      <c r="G25" s="11">
        <v>0.08</v>
      </c>
      <c r="H25" s="31"/>
      <c r="I25" s="31"/>
      <c r="J25" s="31"/>
      <c r="K25" s="6"/>
      <c r="L25" s="6"/>
      <c r="M25" s="6"/>
      <c r="N25" s="11" t="s">
        <v>22</v>
      </c>
      <c r="O25" s="11" t="s">
        <v>175</v>
      </c>
      <c r="P25" s="98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</row>
    <row r="26" spans="1:40" x14ac:dyDescent="0.4">
      <c r="A26" s="90" t="s">
        <v>220</v>
      </c>
      <c r="B26" s="11" t="s">
        <v>221</v>
      </c>
      <c r="C26" s="11">
        <v>0.16</v>
      </c>
      <c r="D26" s="6" t="s">
        <v>162</v>
      </c>
      <c r="E26" s="11" t="s">
        <v>74</v>
      </c>
      <c r="F26" s="6"/>
      <c r="G26" s="11">
        <v>0.16</v>
      </c>
      <c r="H26" s="31"/>
      <c r="I26" s="31"/>
      <c r="J26" s="31"/>
      <c r="K26" s="6"/>
      <c r="L26" s="6"/>
      <c r="M26" s="6"/>
      <c r="N26" s="11" t="s">
        <v>22</v>
      </c>
      <c r="O26" s="11" t="s">
        <v>175</v>
      </c>
      <c r="P26" s="98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</row>
    <row r="27" spans="1:40" x14ac:dyDescent="0.4">
      <c r="A27" s="90" t="s">
        <v>222</v>
      </c>
      <c r="B27" s="11" t="s">
        <v>223</v>
      </c>
      <c r="C27" s="11">
        <v>3.0000000000000001E-3</v>
      </c>
      <c r="D27" s="6" t="s">
        <v>162</v>
      </c>
      <c r="E27" s="11" t="s">
        <v>86</v>
      </c>
      <c r="F27" s="6"/>
      <c r="G27" s="11">
        <v>3.0000000000000001E-3</v>
      </c>
      <c r="H27" s="31"/>
      <c r="I27" s="31"/>
      <c r="J27" s="31"/>
      <c r="K27" s="6"/>
      <c r="L27" s="6"/>
      <c r="M27" s="6"/>
      <c r="N27" s="11" t="s">
        <v>24</v>
      </c>
      <c r="O27" s="11" t="s">
        <v>175</v>
      </c>
      <c r="P27" s="98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</row>
    <row r="28" spans="1:40" x14ac:dyDescent="0.4">
      <c r="A28" s="89" t="s">
        <v>224</v>
      </c>
      <c r="B28" s="24" t="s">
        <v>225</v>
      </c>
      <c r="C28" s="24">
        <v>2.3E-2</v>
      </c>
      <c r="D28" s="25" t="s">
        <v>162</v>
      </c>
      <c r="E28" s="24" t="s">
        <v>87</v>
      </c>
      <c r="F28" s="25"/>
      <c r="G28" s="24">
        <v>2.3E-2</v>
      </c>
      <c r="H28" s="30"/>
      <c r="I28" s="30"/>
      <c r="J28" s="30"/>
      <c r="K28" s="25"/>
      <c r="L28" s="25"/>
      <c r="M28" s="25"/>
      <c r="N28" s="24" t="s">
        <v>24</v>
      </c>
      <c r="O28" s="24" t="s">
        <v>175</v>
      </c>
      <c r="P28" s="97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</row>
    <row r="29" spans="1:40" x14ac:dyDescent="0.4">
      <c r="A29" s="89" t="s">
        <v>226</v>
      </c>
      <c r="B29" s="24" t="s">
        <v>227</v>
      </c>
      <c r="C29" s="24">
        <v>2.3E-2</v>
      </c>
      <c r="D29" s="25" t="s">
        <v>162</v>
      </c>
      <c r="E29" s="24" t="s">
        <v>88</v>
      </c>
      <c r="F29" s="25"/>
      <c r="G29" s="24">
        <v>2.3E-2</v>
      </c>
      <c r="H29" s="30"/>
      <c r="I29" s="30"/>
      <c r="J29" s="30"/>
      <c r="K29" s="25"/>
      <c r="L29" s="25"/>
      <c r="M29" s="25"/>
      <c r="N29" s="24" t="s">
        <v>24</v>
      </c>
      <c r="O29" s="24" t="s">
        <v>175</v>
      </c>
      <c r="P29" s="97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</row>
    <row r="30" spans="1:40" x14ac:dyDescent="0.4">
      <c r="A30" s="90" t="s">
        <v>228</v>
      </c>
      <c r="B30" s="28" t="s">
        <v>229</v>
      </c>
      <c r="C30" s="11">
        <v>5.0000000000000001E-3</v>
      </c>
      <c r="D30" s="6" t="s">
        <v>162</v>
      </c>
      <c r="E30" s="11" t="s">
        <v>89</v>
      </c>
      <c r="F30" s="6"/>
      <c r="G30" s="11">
        <v>5.0000000000000001E-3</v>
      </c>
      <c r="H30" s="31"/>
      <c r="I30" s="31"/>
      <c r="J30" s="31"/>
      <c r="K30" s="6"/>
      <c r="L30" s="6"/>
      <c r="M30" s="6"/>
      <c r="N30" s="11" t="s">
        <v>24</v>
      </c>
      <c r="O30" s="11" t="s">
        <v>175</v>
      </c>
      <c r="P30" s="98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</row>
    <row r="31" spans="1:40" x14ac:dyDescent="0.4">
      <c r="A31" s="90" t="s">
        <v>170</v>
      </c>
      <c r="B31" s="11" t="s">
        <v>230</v>
      </c>
      <c r="C31" s="11">
        <v>2.5399999999999999E-2</v>
      </c>
      <c r="D31" s="6" t="s">
        <v>162</v>
      </c>
      <c r="E31" s="11" t="s">
        <v>69</v>
      </c>
      <c r="F31" s="6"/>
      <c r="G31" s="11">
        <v>2.5399999999999999E-2</v>
      </c>
      <c r="H31" s="31"/>
      <c r="I31" s="31"/>
      <c r="J31" s="31"/>
      <c r="K31" s="6"/>
      <c r="L31" s="6"/>
      <c r="M31" s="6"/>
      <c r="N31" s="11" t="s">
        <v>24</v>
      </c>
      <c r="O31" s="11" t="s">
        <v>175</v>
      </c>
      <c r="P31" s="98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</row>
    <row r="32" spans="1:40" x14ac:dyDescent="0.4">
      <c r="A32" s="90" t="s">
        <v>231</v>
      </c>
      <c r="B32" s="11" t="s">
        <v>232</v>
      </c>
      <c r="C32" s="11">
        <v>0.125</v>
      </c>
      <c r="D32" s="6" t="s">
        <v>189</v>
      </c>
      <c r="E32" s="11" t="s">
        <v>91</v>
      </c>
      <c r="F32" s="6"/>
      <c r="G32" s="32">
        <v>0.125</v>
      </c>
      <c r="H32" s="31" t="s">
        <v>81</v>
      </c>
      <c r="I32" s="31"/>
      <c r="J32" s="31">
        <v>0.125</v>
      </c>
      <c r="K32" s="6"/>
      <c r="L32" s="6"/>
      <c r="M32" s="6"/>
      <c r="N32" s="11" t="s">
        <v>24</v>
      </c>
      <c r="O32" s="11" t="s">
        <v>175</v>
      </c>
      <c r="P32" s="98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</row>
    <row r="33" spans="1:40" x14ac:dyDescent="0.4">
      <c r="A33" s="90" t="s">
        <v>233</v>
      </c>
      <c r="B33" s="11" t="s">
        <v>234</v>
      </c>
      <c r="C33" s="11">
        <v>9.5000000000000001E-2</v>
      </c>
      <c r="D33" s="6" t="s">
        <v>189</v>
      </c>
      <c r="E33" s="11" t="s">
        <v>93</v>
      </c>
      <c r="F33" s="6"/>
      <c r="G33" s="32">
        <v>9.5000000000000001E-2</v>
      </c>
      <c r="H33" s="31" t="s">
        <v>65</v>
      </c>
      <c r="I33" s="31"/>
      <c r="J33" s="31">
        <v>9.5000000000000001E-2</v>
      </c>
      <c r="K33" s="6"/>
      <c r="L33" s="6"/>
      <c r="M33" s="6"/>
      <c r="N33" s="11" t="s">
        <v>24</v>
      </c>
      <c r="O33" s="11" t="s">
        <v>235</v>
      </c>
      <c r="P33" s="98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</row>
    <row r="34" spans="1:40" x14ac:dyDescent="0.4">
      <c r="A34" s="90" t="s">
        <v>236</v>
      </c>
      <c r="B34" s="11" t="s">
        <v>237</v>
      </c>
      <c r="C34" s="11">
        <v>0.13</v>
      </c>
      <c r="D34" s="6" t="s">
        <v>162</v>
      </c>
      <c r="E34" s="11" t="s">
        <v>238</v>
      </c>
      <c r="F34" s="6"/>
      <c r="G34" s="11">
        <v>0.13</v>
      </c>
      <c r="H34" s="31"/>
      <c r="I34" s="31"/>
      <c r="J34" s="31"/>
      <c r="K34" s="6"/>
      <c r="L34" s="6"/>
      <c r="M34" s="6"/>
      <c r="N34" s="11" t="s">
        <v>24</v>
      </c>
      <c r="O34" s="11" t="s">
        <v>175</v>
      </c>
      <c r="P34" s="98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</row>
    <row r="35" spans="1:40" x14ac:dyDescent="0.4">
      <c r="A35" s="90" t="s">
        <v>239</v>
      </c>
      <c r="B35" s="11" t="s">
        <v>240</v>
      </c>
      <c r="C35" s="11">
        <v>0.09</v>
      </c>
      <c r="D35" s="6" t="s">
        <v>162</v>
      </c>
      <c r="E35" s="11" t="s">
        <v>97</v>
      </c>
      <c r="F35" s="6"/>
      <c r="G35" s="11">
        <v>0.09</v>
      </c>
      <c r="H35" s="31"/>
      <c r="I35" s="31"/>
      <c r="J35" s="31"/>
      <c r="K35" s="6"/>
      <c r="L35" s="6"/>
      <c r="M35" s="6"/>
      <c r="N35" s="11" t="s">
        <v>24</v>
      </c>
      <c r="O35" s="11" t="s">
        <v>175</v>
      </c>
      <c r="P35" s="98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</row>
    <row r="36" spans="1:40" x14ac:dyDescent="0.4">
      <c r="A36" s="90" t="s">
        <v>241</v>
      </c>
      <c r="B36" s="11" t="s">
        <v>242</v>
      </c>
      <c r="C36" s="11">
        <v>9.5000000000000001E-2</v>
      </c>
      <c r="D36" s="6" t="s">
        <v>189</v>
      </c>
      <c r="E36" s="11" t="s">
        <v>93</v>
      </c>
      <c r="F36" s="6"/>
      <c r="G36" s="32">
        <v>9.5000000000000001E-2</v>
      </c>
      <c r="H36" s="31" t="s">
        <v>65</v>
      </c>
      <c r="I36" s="31"/>
      <c r="J36" s="31">
        <v>9.5000000000000001E-2</v>
      </c>
      <c r="K36" s="6"/>
      <c r="L36" s="6"/>
      <c r="M36" s="6"/>
      <c r="N36" s="11" t="s">
        <v>24</v>
      </c>
      <c r="O36" s="11" t="s">
        <v>243</v>
      </c>
      <c r="P36" s="98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</row>
    <row r="37" spans="1:40" x14ac:dyDescent="0.4">
      <c r="A37" s="90" t="s">
        <v>244</v>
      </c>
      <c r="B37" s="11" t="s">
        <v>245</v>
      </c>
      <c r="C37" s="11">
        <v>1.2E-2</v>
      </c>
      <c r="D37" s="6" t="s">
        <v>162</v>
      </c>
      <c r="E37" s="11" t="s">
        <v>98</v>
      </c>
      <c r="F37" s="6"/>
      <c r="G37" s="11">
        <v>1.2E-2</v>
      </c>
      <c r="H37" s="31"/>
      <c r="I37" s="31"/>
      <c r="J37" s="31"/>
      <c r="K37" s="6"/>
      <c r="L37" s="6"/>
      <c r="M37" s="6"/>
      <c r="N37" s="11" t="s">
        <v>24</v>
      </c>
      <c r="O37" s="11" t="s">
        <v>175</v>
      </c>
      <c r="P37" s="98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</row>
    <row r="38" spans="1:40" x14ac:dyDescent="0.4">
      <c r="A38" s="90" t="s">
        <v>246</v>
      </c>
      <c r="B38" s="11" t="s">
        <v>247</v>
      </c>
      <c r="C38" s="11">
        <v>1.2999999999999999E-2</v>
      </c>
      <c r="D38" s="6" t="s">
        <v>162</v>
      </c>
      <c r="E38" s="11" t="s">
        <v>238</v>
      </c>
      <c r="F38" s="6"/>
      <c r="G38" s="11">
        <v>1.2999999999999999E-2</v>
      </c>
      <c r="H38" s="31"/>
      <c r="I38" s="31"/>
      <c r="J38" s="31"/>
      <c r="K38" s="6"/>
      <c r="L38" s="6"/>
      <c r="M38" s="6"/>
      <c r="N38" s="11" t="s">
        <v>24</v>
      </c>
      <c r="O38" s="11" t="s">
        <v>175</v>
      </c>
      <c r="P38" s="98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</row>
    <row r="39" spans="1:40" x14ac:dyDescent="0.4">
      <c r="A39" s="90" t="s">
        <v>248</v>
      </c>
      <c r="B39" s="11" t="s">
        <v>249</v>
      </c>
      <c r="C39" s="11">
        <v>0.01</v>
      </c>
      <c r="D39" s="6" t="s">
        <v>162</v>
      </c>
      <c r="E39" s="11" t="s">
        <v>99</v>
      </c>
      <c r="F39" s="6"/>
      <c r="G39" s="11">
        <v>0.01</v>
      </c>
      <c r="H39" s="31"/>
      <c r="I39" s="31"/>
      <c r="J39" s="31"/>
      <c r="K39" s="6"/>
      <c r="L39" s="6"/>
      <c r="M39" s="6"/>
      <c r="N39" s="11" t="s">
        <v>24</v>
      </c>
      <c r="O39" s="11" t="s">
        <v>175</v>
      </c>
      <c r="P39" s="98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</row>
    <row r="40" spans="1:40" x14ac:dyDescent="0.4">
      <c r="A40" s="90" t="s">
        <v>250</v>
      </c>
      <c r="B40" s="11" t="s">
        <v>251</v>
      </c>
      <c r="C40" s="11">
        <v>1.2999999999999999E-2</v>
      </c>
      <c r="D40" s="6" t="s">
        <v>162</v>
      </c>
      <c r="E40" s="11" t="s">
        <v>100</v>
      </c>
      <c r="F40" s="6"/>
      <c r="G40" s="11">
        <v>1.2999999999999999E-2</v>
      </c>
      <c r="H40" s="31"/>
      <c r="I40" s="31"/>
      <c r="J40" s="31"/>
      <c r="K40" s="6"/>
      <c r="L40" s="6"/>
      <c r="M40" s="6"/>
      <c r="N40" s="11" t="s">
        <v>24</v>
      </c>
      <c r="O40" s="11" t="s">
        <v>175</v>
      </c>
      <c r="P40" s="98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</row>
    <row r="41" spans="1:40" x14ac:dyDescent="0.4">
      <c r="A41" s="90" t="s">
        <v>252</v>
      </c>
      <c r="B41" s="11" t="s">
        <v>253</v>
      </c>
      <c r="C41" s="11">
        <v>0.15</v>
      </c>
      <c r="D41" s="6" t="s">
        <v>162</v>
      </c>
      <c r="E41" s="11" t="s">
        <v>74</v>
      </c>
      <c r="F41" s="6"/>
      <c r="G41" s="11">
        <v>0.15</v>
      </c>
      <c r="H41" s="31"/>
      <c r="I41" s="31"/>
      <c r="J41" s="31"/>
      <c r="K41" s="6"/>
      <c r="L41" s="6"/>
      <c r="M41" s="6"/>
      <c r="N41" s="11" t="s">
        <v>24</v>
      </c>
      <c r="O41" s="11" t="s">
        <v>175</v>
      </c>
      <c r="P41" s="98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</row>
    <row r="42" spans="1:40" x14ac:dyDescent="0.4">
      <c r="A42" s="90" t="s">
        <v>254</v>
      </c>
      <c r="B42" s="11" t="s">
        <v>255</v>
      </c>
      <c r="C42" s="11">
        <v>0.15</v>
      </c>
      <c r="D42" s="6" t="s">
        <v>162</v>
      </c>
      <c r="E42" s="11" t="s">
        <v>102</v>
      </c>
      <c r="F42" s="6"/>
      <c r="G42" s="11">
        <v>0.15</v>
      </c>
      <c r="H42" s="31"/>
      <c r="I42" s="31"/>
      <c r="J42" s="31"/>
      <c r="K42" s="6"/>
      <c r="L42" s="6"/>
      <c r="M42" s="6"/>
      <c r="N42" s="11" t="s">
        <v>24</v>
      </c>
      <c r="O42" s="11" t="s">
        <v>175</v>
      </c>
      <c r="P42" s="98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</row>
    <row r="43" spans="1:40" x14ac:dyDescent="0.4">
      <c r="A43" s="88" t="s">
        <v>256</v>
      </c>
      <c r="B43" s="22" t="s">
        <v>257</v>
      </c>
      <c r="C43" s="22">
        <v>0.15</v>
      </c>
      <c r="D43" s="23"/>
      <c r="E43" s="22" t="s">
        <v>175</v>
      </c>
      <c r="F43" s="23"/>
      <c r="G43" s="22">
        <v>0.15</v>
      </c>
      <c r="H43" s="29"/>
      <c r="I43" s="29"/>
      <c r="J43" s="29"/>
      <c r="K43" s="23"/>
      <c r="L43" s="23"/>
      <c r="M43" s="23"/>
      <c r="N43" s="22" t="s">
        <v>24</v>
      </c>
      <c r="O43" s="22" t="s">
        <v>175</v>
      </c>
      <c r="P43" s="96" t="s">
        <v>18</v>
      </c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</row>
    <row r="44" spans="1:40" x14ac:dyDescent="0.4">
      <c r="A44" s="91" t="s">
        <v>258</v>
      </c>
      <c r="B44" s="22" t="s">
        <v>259</v>
      </c>
      <c r="C44" s="26">
        <v>8.0000000000000002E-3</v>
      </c>
      <c r="D44" s="23"/>
      <c r="E44" s="22" t="s">
        <v>175</v>
      </c>
      <c r="F44" s="23"/>
      <c r="G44" s="26">
        <v>8.0000000000000002E-3</v>
      </c>
      <c r="H44" s="29"/>
      <c r="I44" s="29"/>
      <c r="J44" s="29"/>
      <c r="K44" s="23"/>
      <c r="L44" s="23"/>
      <c r="M44" s="23"/>
      <c r="N44" s="26" t="s">
        <v>24</v>
      </c>
      <c r="O44" s="26" t="s">
        <v>260</v>
      </c>
      <c r="P44" s="96" t="s">
        <v>18</v>
      </c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</row>
    <row r="45" spans="1:40" x14ac:dyDescent="0.4">
      <c r="A45" s="88" t="s">
        <v>261</v>
      </c>
      <c r="B45" s="26" t="s">
        <v>262</v>
      </c>
      <c r="C45" s="22">
        <v>1.2E-2</v>
      </c>
      <c r="D45" s="23"/>
      <c r="E45" s="22" t="s">
        <v>175</v>
      </c>
      <c r="F45" s="23"/>
      <c r="G45" s="22">
        <v>1.2E-2</v>
      </c>
      <c r="H45" s="29"/>
      <c r="I45" s="29"/>
      <c r="J45" s="29"/>
      <c r="K45" s="23"/>
      <c r="L45" s="23"/>
      <c r="M45" s="23"/>
      <c r="N45" s="22" t="s">
        <v>24</v>
      </c>
      <c r="O45" s="22" t="s">
        <v>175</v>
      </c>
      <c r="P45" s="96" t="s">
        <v>18</v>
      </c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</row>
    <row r="46" spans="1:40" x14ac:dyDescent="0.4">
      <c r="A46" s="88" t="s">
        <v>263</v>
      </c>
      <c r="B46" s="22" t="s">
        <v>264</v>
      </c>
      <c r="C46" s="22">
        <v>0.15</v>
      </c>
      <c r="D46" s="23"/>
      <c r="E46" s="22" t="s">
        <v>175</v>
      </c>
      <c r="F46" s="23"/>
      <c r="G46" s="22">
        <v>0.15</v>
      </c>
      <c r="H46" s="29"/>
      <c r="I46" s="29"/>
      <c r="J46" s="29"/>
      <c r="K46" s="23"/>
      <c r="L46" s="23"/>
      <c r="M46" s="23"/>
      <c r="N46" s="22" t="s">
        <v>24</v>
      </c>
      <c r="O46" s="22" t="s">
        <v>175</v>
      </c>
      <c r="P46" s="96" t="s">
        <v>18</v>
      </c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</row>
    <row r="47" spans="1:40" x14ac:dyDescent="0.4">
      <c r="A47" s="90" t="s">
        <v>265</v>
      </c>
      <c r="B47" s="28" t="s">
        <v>266</v>
      </c>
      <c r="C47" s="11">
        <v>5.0000000000000001E-3</v>
      </c>
      <c r="D47" s="6" t="s">
        <v>162</v>
      </c>
      <c r="E47" s="11" t="s">
        <v>267</v>
      </c>
      <c r="F47" s="6"/>
      <c r="G47" s="11">
        <v>5.0000000000000001E-3</v>
      </c>
      <c r="H47" s="31"/>
      <c r="I47" s="31"/>
      <c r="J47" s="31"/>
      <c r="K47" s="6"/>
      <c r="L47" s="6"/>
      <c r="M47" s="6"/>
      <c r="N47" s="11" t="s">
        <v>24</v>
      </c>
      <c r="O47" s="11" t="s">
        <v>175</v>
      </c>
      <c r="P47" s="98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</row>
    <row r="48" spans="1:40" x14ac:dyDescent="0.4">
      <c r="A48" s="89" t="s">
        <v>124</v>
      </c>
      <c r="B48" s="24" t="s">
        <v>268</v>
      </c>
      <c r="C48" s="24">
        <v>0.03</v>
      </c>
      <c r="D48" s="25" t="s">
        <v>162</v>
      </c>
      <c r="E48" s="24" t="s">
        <v>103</v>
      </c>
      <c r="F48" s="25"/>
      <c r="G48" s="24">
        <v>0.03</v>
      </c>
      <c r="H48" s="30"/>
      <c r="I48" s="30"/>
      <c r="J48" s="30"/>
      <c r="K48" s="25"/>
      <c r="L48" s="25"/>
      <c r="M48" s="25"/>
      <c r="N48" s="24" t="s">
        <v>24</v>
      </c>
      <c r="O48" s="24" t="s">
        <v>175</v>
      </c>
      <c r="P48" s="97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</row>
    <row r="49" spans="1:40" x14ac:dyDescent="0.4">
      <c r="A49" s="89" t="s">
        <v>125</v>
      </c>
      <c r="B49" s="24" t="s">
        <v>269</v>
      </c>
      <c r="C49" s="24">
        <v>0.12</v>
      </c>
      <c r="D49" s="25" t="s">
        <v>162</v>
      </c>
      <c r="E49" s="24" t="s">
        <v>105</v>
      </c>
      <c r="F49" s="25"/>
      <c r="G49" s="24">
        <v>0.12</v>
      </c>
      <c r="H49" s="30"/>
      <c r="I49" s="30"/>
      <c r="J49" s="30"/>
      <c r="K49" s="25"/>
      <c r="L49" s="25"/>
      <c r="M49" s="25"/>
      <c r="N49" s="24" t="s">
        <v>24</v>
      </c>
      <c r="O49" s="24" t="s">
        <v>175</v>
      </c>
      <c r="P49" s="97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1:40" x14ac:dyDescent="0.4">
      <c r="A50" s="90" t="s">
        <v>181</v>
      </c>
      <c r="B50" s="28" t="s">
        <v>270</v>
      </c>
      <c r="C50" s="11">
        <v>0.14000000000000001</v>
      </c>
      <c r="D50" s="6" t="s">
        <v>162</v>
      </c>
      <c r="E50" s="11" t="s">
        <v>74</v>
      </c>
      <c r="F50" s="6"/>
      <c r="G50" s="11">
        <v>0.14000000000000001</v>
      </c>
      <c r="H50" s="31"/>
      <c r="I50" s="31"/>
      <c r="J50" s="31"/>
      <c r="K50" s="6"/>
      <c r="L50" s="6"/>
      <c r="M50" s="6"/>
      <c r="N50" s="11" t="s">
        <v>24</v>
      </c>
      <c r="O50" s="11" t="s">
        <v>175</v>
      </c>
      <c r="P50" s="98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</row>
    <row r="51" spans="1:40" x14ac:dyDescent="0.4">
      <c r="A51" s="90" t="s">
        <v>271</v>
      </c>
      <c r="B51" s="11" t="s">
        <v>272</v>
      </c>
      <c r="C51" s="11">
        <v>3.0000000000000001E-3</v>
      </c>
      <c r="D51" s="6" t="s">
        <v>162</v>
      </c>
      <c r="E51" s="11" t="s">
        <v>273</v>
      </c>
      <c r="F51" s="6"/>
      <c r="G51" s="11">
        <v>3.0000000000000001E-3</v>
      </c>
      <c r="H51" s="31"/>
      <c r="I51" s="31"/>
      <c r="J51" s="31"/>
      <c r="K51" s="6"/>
      <c r="L51" s="6"/>
      <c r="M51" s="6"/>
      <c r="N51" s="11" t="s">
        <v>274</v>
      </c>
      <c r="O51" s="11" t="s">
        <v>175</v>
      </c>
      <c r="P51" s="98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</row>
    <row r="52" spans="1:40" x14ac:dyDescent="0.4">
      <c r="A52" s="90" t="s">
        <v>275</v>
      </c>
      <c r="B52" s="11" t="s">
        <v>276</v>
      </c>
      <c r="C52" s="11">
        <v>0.01</v>
      </c>
      <c r="D52" s="6" t="s">
        <v>162</v>
      </c>
      <c r="E52" s="11" t="s">
        <v>89</v>
      </c>
      <c r="F52" s="6"/>
      <c r="G52" s="11">
        <v>0.01</v>
      </c>
      <c r="H52" s="31"/>
      <c r="I52" s="31"/>
      <c r="J52" s="31"/>
      <c r="K52" s="6"/>
      <c r="L52" s="6"/>
      <c r="M52" s="6"/>
      <c r="N52" s="11" t="s">
        <v>274</v>
      </c>
      <c r="O52" s="11" t="s">
        <v>175</v>
      </c>
      <c r="P52" s="98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</row>
    <row r="53" spans="1:40" x14ac:dyDescent="0.4">
      <c r="A53" s="90" t="s">
        <v>170</v>
      </c>
      <c r="B53" s="11" t="s">
        <v>277</v>
      </c>
      <c r="C53" s="11">
        <v>2.5000000000000001E-2</v>
      </c>
      <c r="D53" s="6" t="s">
        <v>162</v>
      </c>
      <c r="E53" s="11" t="s">
        <v>69</v>
      </c>
      <c r="F53" s="6"/>
      <c r="G53" s="11">
        <v>2.5000000000000001E-2</v>
      </c>
      <c r="H53" s="31"/>
      <c r="I53" s="31"/>
      <c r="J53" s="31"/>
      <c r="K53" s="6"/>
      <c r="L53" s="6"/>
      <c r="M53" s="6"/>
      <c r="N53" s="11" t="s">
        <v>274</v>
      </c>
      <c r="O53" s="11" t="s">
        <v>175</v>
      </c>
      <c r="P53" s="98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</row>
    <row r="54" spans="1:40" x14ac:dyDescent="0.4">
      <c r="A54" s="88" t="s">
        <v>278</v>
      </c>
      <c r="B54" s="22" t="s">
        <v>279</v>
      </c>
      <c r="C54" s="26">
        <v>0.05</v>
      </c>
      <c r="D54" s="23" t="s">
        <v>162</v>
      </c>
      <c r="E54" s="22" t="s">
        <v>106</v>
      </c>
      <c r="F54" s="23"/>
      <c r="G54" s="26">
        <v>0.05</v>
      </c>
      <c r="H54" s="29"/>
      <c r="I54" s="29"/>
      <c r="J54" s="29"/>
      <c r="K54" s="23"/>
      <c r="L54" s="23"/>
      <c r="M54" s="23"/>
      <c r="N54" s="22" t="s">
        <v>274</v>
      </c>
      <c r="O54" s="22" t="s">
        <v>175</v>
      </c>
      <c r="P54" s="96" t="s">
        <v>18</v>
      </c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</row>
    <row r="55" spans="1:40" x14ac:dyDescent="0.4">
      <c r="A55" s="89" t="s">
        <v>125</v>
      </c>
      <c r="B55" s="24" t="s">
        <v>280</v>
      </c>
      <c r="C55" s="24">
        <v>0.12</v>
      </c>
      <c r="D55" s="25" t="s">
        <v>162</v>
      </c>
      <c r="E55" s="24" t="s">
        <v>105</v>
      </c>
      <c r="F55" s="25"/>
      <c r="G55" s="24">
        <v>0.12</v>
      </c>
      <c r="H55" s="30"/>
      <c r="I55" s="30"/>
      <c r="J55" s="30"/>
      <c r="K55" s="25"/>
      <c r="L55" s="25"/>
      <c r="M55" s="25"/>
      <c r="N55" s="24" t="s">
        <v>274</v>
      </c>
      <c r="O55" s="24" t="s">
        <v>175</v>
      </c>
      <c r="P55" s="97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</row>
    <row r="56" spans="1:40" x14ac:dyDescent="0.4">
      <c r="A56" s="89" t="s">
        <v>124</v>
      </c>
      <c r="B56" s="24" t="s">
        <v>281</v>
      </c>
      <c r="C56" s="24">
        <v>0.03</v>
      </c>
      <c r="D56" s="25" t="s">
        <v>162</v>
      </c>
      <c r="E56" s="24" t="s">
        <v>103</v>
      </c>
      <c r="F56" s="25"/>
      <c r="G56" s="24">
        <v>0.03</v>
      </c>
      <c r="H56" s="30"/>
      <c r="I56" s="30"/>
      <c r="J56" s="30"/>
      <c r="K56" s="25"/>
      <c r="L56" s="25"/>
      <c r="M56" s="25"/>
      <c r="N56" s="24" t="s">
        <v>274</v>
      </c>
      <c r="O56" s="24" t="s">
        <v>175</v>
      </c>
      <c r="P56" s="97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</row>
    <row r="57" spans="1:40" x14ac:dyDescent="0.4">
      <c r="A57" s="90" t="s">
        <v>282</v>
      </c>
      <c r="B57" s="28" t="s">
        <v>283</v>
      </c>
      <c r="C57" s="11">
        <v>0.16</v>
      </c>
      <c r="D57" s="6" t="s">
        <v>162</v>
      </c>
      <c r="E57" s="11" t="s">
        <v>74</v>
      </c>
      <c r="F57" s="6"/>
      <c r="G57" s="11">
        <v>0.16</v>
      </c>
      <c r="H57" s="31"/>
      <c r="I57" s="31"/>
      <c r="J57" s="31"/>
      <c r="K57" s="6"/>
      <c r="L57" s="6"/>
      <c r="M57" s="6"/>
      <c r="N57" s="11" t="s">
        <v>274</v>
      </c>
      <c r="O57" s="11" t="s">
        <v>175</v>
      </c>
      <c r="P57" s="98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</row>
    <row r="58" spans="1:40" x14ac:dyDescent="0.4">
      <c r="A58" s="88" t="s">
        <v>284</v>
      </c>
      <c r="B58" s="22" t="s">
        <v>285</v>
      </c>
      <c r="C58" s="22">
        <v>0.16</v>
      </c>
      <c r="D58" s="23"/>
      <c r="E58" s="22" t="s">
        <v>175</v>
      </c>
      <c r="F58" s="23"/>
      <c r="G58" s="22">
        <v>0.16</v>
      </c>
      <c r="H58" s="29"/>
      <c r="I58" s="29"/>
      <c r="J58" s="29"/>
      <c r="K58" s="23"/>
      <c r="L58" s="23"/>
      <c r="M58" s="23"/>
      <c r="N58" s="22" t="s">
        <v>274</v>
      </c>
      <c r="O58" s="22" t="s">
        <v>175</v>
      </c>
      <c r="P58" s="96" t="s">
        <v>18</v>
      </c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</row>
    <row r="59" spans="1:40" x14ac:dyDescent="0.4">
      <c r="A59" s="90" t="s">
        <v>286</v>
      </c>
      <c r="B59" s="28" t="s">
        <v>287</v>
      </c>
      <c r="C59" s="11">
        <v>0.01</v>
      </c>
      <c r="D59" s="6" t="s">
        <v>162</v>
      </c>
      <c r="E59" s="11" t="s">
        <v>83</v>
      </c>
      <c r="F59" s="6"/>
      <c r="G59" s="11">
        <v>0.01</v>
      </c>
      <c r="H59" s="31"/>
      <c r="I59" s="31"/>
      <c r="J59" s="31"/>
      <c r="K59" s="6"/>
      <c r="L59" s="6"/>
      <c r="M59" s="6"/>
      <c r="N59" s="11" t="s">
        <v>274</v>
      </c>
      <c r="O59" s="11" t="s">
        <v>175</v>
      </c>
      <c r="P59" s="98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</row>
    <row r="60" spans="1:40" x14ac:dyDescent="0.4">
      <c r="A60" s="90" t="s">
        <v>288</v>
      </c>
      <c r="B60" s="11" t="s">
        <v>289</v>
      </c>
      <c r="C60" s="11">
        <v>0.15</v>
      </c>
      <c r="D60" s="6" t="s">
        <v>189</v>
      </c>
      <c r="E60" s="11" t="s">
        <v>78</v>
      </c>
      <c r="F60" s="6"/>
      <c r="G60" s="32">
        <v>0.15</v>
      </c>
      <c r="H60" s="31" t="s">
        <v>81</v>
      </c>
      <c r="I60" s="31"/>
      <c r="J60" s="31">
        <v>0.15</v>
      </c>
      <c r="K60" s="6"/>
      <c r="L60" s="6"/>
      <c r="M60" s="6"/>
      <c r="N60" s="11" t="s">
        <v>274</v>
      </c>
      <c r="O60" s="11" t="s">
        <v>175</v>
      </c>
      <c r="P60" s="98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</row>
    <row r="61" spans="1:40" x14ac:dyDescent="0.4">
      <c r="A61" s="90" t="s">
        <v>290</v>
      </c>
      <c r="B61" s="11" t="s">
        <v>291</v>
      </c>
      <c r="C61" s="11">
        <v>0.15</v>
      </c>
      <c r="D61" s="6" t="s">
        <v>162</v>
      </c>
      <c r="E61" s="11" t="s">
        <v>74</v>
      </c>
      <c r="F61" s="6"/>
      <c r="G61" s="11">
        <v>0.15</v>
      </c>
      <c r="H61" s="31"/>
      <c r="I61" s="31"/>
      <c r="J61" s="31"/>
      <c r="K61" s="6"/>
      <c r="L61" s="6"/>
      <c r="M61" s="6"/>
      <c r="N61" s="11" t="s">
        <v>274</v>
      </c>
      <c r="O61" s="11" t="s">
        <v>175</v>
      </c>
      <c r="P61" s="98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</row>
    <row r="62" spans="1:40" x14ac:dyDescent="0.4">
      <c r="A62" s="90" t="s">
        <v>292</v>
      </c>
      <c r="B62" s="11" t="s">
        <v>293</v>
      </c>
      <c r="C62" s="11">
        <v>0.01</v>
      </c>
      <c r="D62" s="6" t="s">
        <v>162</v>
      </c>
      <c r="E62" s="11" t="s">
        <v>109</v>
      </c>
      <c r="F62" s="6"/>
      <c r="G62" s="11">
        <v>0.01</v>
      </c>
      <c r="H62" s="31"/>
      <c r="I62" s="31"/>
      <c r="J62" s="31"/>
      <c r="K62" s="6"/>
      <c r="L62" s="6"/>
      <c r="M62" s="6"/>
      <c r="N62" s="11" t="s">
        <v>274</v>
      </c>
      <c r="O62" s="11" t="s">
        <v>175</v>
      </c>
      <c r="P62" s="98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</row>
    <row r="63" spans="1:40" x14ac:dyDescent="0.4">
      <c r="A63" s="90" t="s">
        <v>294</v>
      </c>
      <c r="B63" s="11" t="s">
        <v>295</v>
      </c>
      <c r="C63" s="11">
        <v>0.01</v>
      </c>
      <c r="D63" s="6" t="s">
        <v>162</v>
      </c>
      <c r="E63" s="11" t="s">
        <v>98</v>
      </c>
      <c r="F63" s="6"/>
      <c r="G63" s="11">
        <v>0.01</v>
      </c>
      <c r="H63" s="31"/>
      <c r="I63" s="31"/>
      <c r="J63" s="31"/>
      <c r="K63" s="6"/>
      <c r="L63" s="6"/>
      <c r="M63" s="6"/>
      <c r="N63" s="11" t="s">
        <v>274</v>
      </c>
      <c r="O63" s="11" t="s">
        <v>175</v>
      </c>
      <c r="P63" s="98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</row>
    <row r="64" spans="1:40" x14ac:dyDescent="0.4">
      <c r="A64" s="90" t="s">
        <v>296</v>
      </c>
      <c r="B64" s="11" t="s">
        <v>297</v>
      </c>
      <c r="C64" s="11">
        <v>0.05</v>
      </c>
      <c r="D64" s="6" t="s">
        <v>189</v>
      </c>
      <c r="E64" s="11" t="s">
        <v>93</v>
      </c>
      <c r="F64" s="6"/>
      <c r="G64" s="32">
        <v>0.05</v>
      </c>
      <c r="H64" s="31" t="s">
        <v>65</v>
      </c>
      <c r="I64" s="31"/>
      <c r="J64" s="31">
        <v>0.05</v>
      </c>
      <c r="K64" s="6"/>
      <c r="L64" s="6"/>
      <c r="M64" s="6"/>
      <c r="N64" s="11" t="s">
        <v>274</v>
      </c>
      <c r="O64" s="11" t="s">
        <v>298</v>
      </c>
      <c r="P64" s="98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</row>
    <row r="65" spans="1:40" x14ac:dyDescent="0.4">
      <c r="A65" s="90" t="s">
        <v>299</v>
      </c>
      <c r="B65" s="11" t="s">
        <v>300</v>
      </c>
      <c r="C65" s="11">
        <v>1E-3</v>
      </c>
      <c r="D65" s="6" t="s">
        <v>162</v>
      </c>
      <c r="E65" s="11" t="s">
        <v>110</v>
      </c>
      <c r="F65" s="6"/>
      <c r="G65" s="11">
        <v>1E-3</v>
      </c>
      <c r="H65" s="31"/>
      <c r="I65" s="31"/>
      <c r="J65" s="31"/>
      <c r="K65" s="6"/>
      <c r="L65" s="6"/>
      <c r="M65" s="6"/>
      <c r="N65" s="11" t="s">
        <v>274</v>
      </c>
      <c r="O65" s="11" t="s">
        <v>175</v>
      </c>
      <c r="P65" s="98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</row>
    <row r="66" spans="1:40" x14ac:dyDescent="0.4">
      <c r="A66" s="90" t="s">
        <v>301</v>
      </c>
      <c r="B66" s="11" t="s">
        <v>302</v>
      </c>
      <c r="C66" s="11">
        <v>1.2999999999999999E-2</v>
      </c>
      <c r="D66" s="6" t="s">
        <v>162</v>
      </c>
      <c r="E66" s="11" t="s">
        <v>111</v>
      </c>
      <c r="F66" s="6"/>
      <c r="G66" s="11">
        <v>1.2999999999999999E-2</v>
      </c>
      <c r="H66" s="31"/>
      <c r="I66" s="31"/>
      <c r="J66" s="31"/>
      <c r="K66" s="6"/>
      <c r="L66" s="6"/>
      <c r="M66" s="6"/>
      <c r="N66" s="11" t="s">
        <v>274</v>
      </c>
      <c r="O66" s="11" t="s">
        <v>175</v>
      </c>
      <c r="P66" s="98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</row>
    <row r="67" spans="1:40" x14ac:dyDescent="0.4">
      <c r="A67" s="88" t="s">
        <v>209</v>
      </c>
      <c r="B67" s="22" t="s">
        <v>303</v>
      </c>
      <c r="C67" s="22">
        <v>0.15</v>
      </c>
      <c r="D67" s="23"/>
      <c r="E67" s="22" t="s">
        <v>175</v>
      </c>
      <c r="F67" s="23"/>
      <c r="G67" s="22">
        <v>0.15</v>
      </c>
      <c r="H67" s="29"/>
      <c r="I67" s="29"/>
      <c r="J67" s="29"/>
      <c r="K67" s="23"/>
      <c r="L67" s="23"/>
      <c r="M67" s="23"/>
      <c r="N67" s="22" t="s">
        <v>274</v>
      </c>
      <c r="O67" s="22" t="s">
        <v>175</v>
      </c>
      <c r="P67" s="96" t="s">
        <v>18</v>
      </c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</row>
    <row r="68" spans="1:40" x14ac:dyDescent="0.4">
      <c r="A68" s="88" t="s">
        <v>304</v>
      </c>
      <c r="B68" s="22" t="s">
        <v>305</v>
      </c>
      <c r="C68" s="26">
        <v>0.12</v>
      </c>
      <c r="D68" s="23"/>
      <c r="E68" s="22" t="s">
        <v>175</v>
      </c>
      <c r="F68" s="23"/>
      <c r="G68" s="26">
        <v>0.12</v>
      </c>
      <c r="H68" s="29"/>
      <c r="I68" s="29"/>
      <c r="J68" s="29"/>
      <c r="K68" s="23"/>
      <c r="L68" s="23"/>
      <c r="M68" s="23"/>
      <c r="N68" s="26" t="s">
        <v>274</v>
      </c>
      <c r="O68" s="26" t="s">
        <v>306</v>
      </c>
      <c r="P68" s="96" t="s">
        <v>18</v>
      </c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</row>
    <row r="69" spans="1:40" x14ac:dyDescent="0.4">
      <c r="A69" s="91" t="s">
        <v>307</v>
      </c>
      <c r="B69" s="22" t="s">
        <v>308</v>
      </c>
      <c r="C69" s="26">
        <v>0.3</v>
      </c>
      <c r="D69" s="23"/>
      <c r="E69" s="22"/>
      <c r="F69" s="23"/>
      <c r="G69" s="26">
        <v>0.3</v>
      </c>
      <c r="H69" s="29"/>
      <c r="I69" s="29"/>
      <c r="J69" s="29"/>
      <c r="K69" s="23"/>
      <c r="L69" s="23"/>
      <c r="M69" s="23"/>
      <c r="N69" s="26" t="s">
        <v>274</v>
      </c>
      <c r="O69" s="26" t="s">
        <v>309</v>
      </c>
      <c r="P69" s="96" t="s">
        <v>18</v>
      </c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</row>
    <row r="70" spans="1:40" x14ac:dyDescent="0.4">
      <c r="A70" s="92" t="s">
        <v>310</v>
      </c>
      <c r="B70" s="28" t="s">
        <v>311</v>
      </c>
      <c r="C70" s="28">
        <v>0</v>
      </c>
      <c r="D70" s="75"/>
      <c r="E70" s="28" t="s">
        <v>175</v>
      </c>
      <c r="F70" s="75"/>
      <c r="G70" s="76">
        <v>0</v>
      </c>
      <c r="H70" s="77"/>
      <c r="I70" s="77"/>
      <c r="J70" s="77"/>
      <c r="K70" s="75"/>
      <c r="L70" s="75"/>
      <c r="M70" s="75"/>
      <c r="N70" s="28" t="s">
        <v>274</v>
      </c>
      <c r="O70" s="28" t="s">
        <v>312</v>
      </c>
      <c r="P70" s="99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</row>
    <row r="71" spans="1:40" x14ac:dyDescent="0.4">
      <c r="A71" s="92" t="s">
        <v>313</v>
      </c>
      <c r="B71" s="28" t="s">
        <v>314</v>
      </c>
      <c r="C71" s="28">
        <v>0.15</v>
      </c>
      <c r="D71" s="75"/>
      <c r="E71" s="28" t="s">
        <v>175</v>
      </c>
      <c r="F71" s="75"/>
      <c r="G71" s="28">
        <v>0.15</v>
      </c>
      <c r="H71" s="77"/>
      <c r="I71" s="77"/>
      <c r="J71" s="77"/>
      <c r="K71" s="75"/>
      <c r="L71" s="75"/>
      <c r="M71" s="75"/>
      <c r="N71" s="28" t="s">
        <v>274</v>
      </c>
      <c r="O71" s="28" t="s">
        <v>312</v>
      </c>
      <c r="P71" s="99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</row>
    <row r="72" spans="1:40" x14ac:dyDescent="0.4">
      <c r="A72" s="88" t="s">
        <v>278</v>
      </c>
      <c r="B72" s="22" t="s">
        <v>315</v>
      </c>
      <c r="C72" s="22">
        <v>0.05</v>
      </c>
      <c r="D72" s="23"/>
      <c r="E72" s="22" t="s">
        <v>175</v>
      </c>
      <c r="F72" s="23"/>
      <c r="G72" s="22">
        <v>0.05</v>
      </c>
      <c r="H72" s="29"/>
      <c r="I72" s="29"/>
      <c r="J72" s="29"/>
      <c r="K72" s="23"/>
      <c r="L72" s="23"/>
      <c r="M72" s="23"/>
      <c r="N72" s="22" t="s">
        <v>17</v>
      </c>
      <c r="O72" s="22" t="s">
        <v>316</v>
      </c>
      <c r="P72" s="96" t="s">
        <v>18</v>
      </c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</row>
    <row r="73" spans="1:40" x14ac:dyDescent="0.4">
      <c r="A73" s="88" t="s">
        <v>317</v>
      </c>
      <c r="B73" s="22" t="s">
        <v>318</v>
      </c>
      <c r="C73" s="22">
        <v>8.8999999999999996E-2</v>
      </c>
      <c r="D73" s="23"/>
      <c r="E73" s="22" t="s">
        <v>175</v>
      </c>
      <c r="F73" s="23"/>
      <c r="G73" s="22">
        <v>8.8999999999999996E-2</v>
      </c>
      <c r="H73" s="29"/>
      <c r="I73" s="29"/>
      <c r="J73" s="29"/>
      <c r="K73" s="23"/>
      <c r="L73" s="23"/>
      <c r="M73" s="23"/>
      <c r="N73" s="22" t="s">
        <v>17</v>
      </c>
      <c r="O73" s="22" t="s">
        <v>175</v>
      </c>
      <c r="P73" s="96" t="s">
        <v>18</v>
      </c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</row>
    <row r="74" spans="1:40" x14ac:dyDescent="0.4">
      <c r="A74" s="89" t="s">
        <v>319</v>
      </c>
      <c r="B74" s="24" t="s">
        <v>320</v>
      </c>
      <c r="C74" s="24">
        <v>0.04</v>
      </c>
      <c r="D74" s="25" t="s">
        <v>162</v>
      </c>
      <c r="E74" s="24" t="s">
        <v>87</v>
      </c>
      <c r="F74" s="25"/>
      <c r="G74" s="24">
        <v>0.04</v>
      </c>
      <c r="H74" s="30"/>
      <c r="I74" s="30"/>
      <c r="J74" s="30"/>
      <c r="K74" s="25"/>
      <c r="L74" s="25"/>
      <c r="M74" s="25"/>
      <c r="N74" s="24" t="s">
        <v>17</v>
      </c>
      <c r="O74" s="24" t="s">
        <v>175</v>
      </c>
      <c r="P74" s="97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</row>
    <row r="75" spans="1:40" x14ac:dyDescent="0.4">
      <c r="A75" s="89" t="s">
        <v>319</v>
      </c>
      <c r="B75" s="24" t="s">
        <v>320</v>
      </c>
      <c r="C75" s="24">
        <v>0.04</v>
      </c>
      <c r="D75" s="25" t="s">
        <v>162</v>
      </c>
      <c r="E75" s="24" t="s">
        <v>88</v>
      </c>
      <c r="F75" s="25"/>
      <c r="G75" s="24">
        <v>0.04</v>
      </c>
      <c r="H75" s="30"/>
      <c r="I75" s="30"/>
      <c r="J75" s="30"/>
      <c r="K75" s="25"/>
      <c r="L75" s="25"/>
      <c r="M75" s="25"/>
      <c r="N75" s="24" t="s">
        <v>17</v>
      </c>
      <c r="O75" s="24" t="s">
        <v>175</v>
      </c>
      <c r="P75" s="97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</row>
    <row r="76" spans="1:40" x14ac:dyDescent="0.4">
      <c r="A76" s="90" t="s">
        <v>170</v>
      </c>
      <c r="B76" s="28" t="s">
        <v>321</v>
      </c>
      <c r="C76" s="11">
        <v>0.03</v>
      </c>
      <c r="D76" s="6" t="s">
        <v>162</v>
      </c>
      <c r="E76" s="11" t="s">
        <v>69</v>
      </c>
      <c r="F76" s="6"/>
      <c r="G76" s="11">
        <v>0.03</v>
      </c>
      <c r="H76" s="31"/>
      <c r="I76" s="31"/>
      <c r="J76" s="31"/>
      <c r="K76" s="6"/>
      <c r="L76" s="6"/>
      <c r="M76" s="6"/>
      <c r="N76" s="11" t="s">
        <v>17</v>
      </c>
      <c r="O76" s="11" t="s">
        <v>175</v>
      </c>
      <c r="P76" s="98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</row>
    <row r="77" spans="1:40" x14ac:dyDescent="0.4">
      <c r="A77" s="90" t="s">
        <v>322</v>
      </c>
      <c r="B77" s="11" t="s">
        <v>323</v>
      </c>
      <c r="C77" s="11">
        <v>0.03</v>
      </c>
      <c r="D77" s="6" t="s">
        <v>162</v>
      </c>
      <c r="E77" s="11" t="s">
        <v>324</v>
      </c>
      <c r="F77" s="6"/>
      <c r="G77" s="11">
        <v>0.03</v>
      </c>
      <c r="H77" s="31"/>
      <c r="I77" s="31"/>
      <c r="J77" s="31"/>
      <c r="K77" s="6"/>
      <c r="L77" s="6"/>
      <c r="M77" s="6"/>
      <c r="N77" s="11" t="s">
        <v>17</v>
      </c>
      <c r="O77" s="11" t="s">
        <v>175</v>
      </c>
      <c r="P77" s="98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</row>
    <row r="78" spans="1:40" x14ac:dyDescent="0.4">
      <c r="A78" s="90" t="s">
        <v>325</v>
      </c>
      <c r="B78" s="11" t="s">
        <v>326</v>
      </c>
      <c r="C78" s="11">
        <v>0.1</v>
      </c>
      <c r="D78" s="6" t="s">
        <v>162</v>
      </c>
      <c r="E78" s="11" t="s">
        <v>85</v>
      </c>
      <c r="F78" s="6"/>
      <c r="G78" s="11">
        <v>0.1</v>
      </c>
      <c r="H78" s="31"/>
      <c r="I78" s="31"/>
      <c r="J78" s="31"/>
      <c r="K78" s="6"/>
      <c r="L78" s="6"/>
      <c r="M78" s="6"/>
      <c r="N78" s="11" t="s">
        <v>17</v>
      </c>
      <c r="O78" s="11" t="s">
        <v>175</v>
      </c>
      <c r="P78" s="98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</row>
    <row r="79" spans="1:40" x14ac:dyDescent="0.4">
      <c r="A79" s="88" t="s">
        <v>327</v>
      </c>
      <c r="B79" s="22" t="s">
        <v>328</v>
      </c>
      <c r="C79" s="22">
        <v>0</v>
      </c>
      <c r="D79" s="23" t="s">
        <v>162</v>
      </c>
      <c r="E79" s="22"/>
      <c r="F79" s="23"/>
      <c r="G79" s="27">
        <v>0</v>
      </c>
      <c r="H79" s="29"/>
      <c r="I79" s="29"/>
      <c r="J79" s="29"/>
      <c r="K79" s="23"/>
      <c r="L79" s="23"/>
      <c r="M79" s="23"/>
      <c r="N79" s="22" t="s">
        <v>17</v>
      </c>
      <c r="O79" s="22" t="s">
        <v>329</v>
      </c>
      <c r="P79" s="96" t="s">
        <v>18</v>
      </c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</row>
    <row r="80" spans="1:40" x14ac:dyDescent="0.4">
      <c r="A80" s="90" t="s">
        <v>330</v>
      </c>
      <c r="B80" s="28" t="s">
        <v>331</v>
      </c>
      <c r="C80" s="11">
        <v>0.15</v>
      </c>
      <c r="D80" s="6" t="s">
        <v>162</v>
      </c>
      <c r="E80" s="11" t="s">
        <v>119</v>
      </c>
      <c r="F80" s="6"/>
      <c r="G80" s="11">
        <v>0.15</v>
      </c>
      <c r="H80" s="31"/>
      <c r="I80" s="31"/>
      <c r="J80" s="31"/>
      <c r="K80" s="6"/>
      <c r="L80" s="6"/>
      <c r="M80" s="6"/>
      <c r="N80" s="11" t="s">
        <v>17</v>
      </c>
      <c r="O80" s="11" t="s">
        <v>175</v>
      </c>
      <c r="P80" s="98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</row>
    <row r="81" spans="1:40" x14ac:dyDescent="0.4">
      <c r="A81" s="90" t="s">
        <v>282</v>
      </c>
      <c r="B81" s="11" t="s">
        <v>332</v>
      </c>
      <c r="C81" s="11">
        <v>0.14000000000000001</v>
      </c>
      <c r="D81" s="6" t="s">
        <v>162</v>
      </c>
      <c r="E81" s="11" t="s">
        <v>74</v>
      </c>
      <c r="F81" s="6"/>
      <c r="G81" s="11">
        <v>0.14000000000000001</v>
      </c>
      <c r="H81" s="31"/>
      <c r="I81" s="31"/>
      <c r="J81" s="31"/>
      <c r="K81" s="6"/>
      <c r="L81" s="6"/>
      <c r="M81" s="6"/>
      <c r="N81" s="11" t="s">
        <v>17</v>
      </c>
      <c r="O81" s="11" t="s">
        <v>175</v>
      </c>
      <c r="P81" s="98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</row>
    <row r="82" spans="1:40" x14ac:dyDescent="0.4">
      <c r="A82" s="88" t="s">
        <v>284</v>
      </c>
      <c r="B82" s="22" t="s">
        <v>333</v>
      </c>
      <c r="C82" s="22">
        <v>0.14000000000000001</v>
      </c>
      <c r="D82" s="23"/>
      <c r="E82" s="22" t="s">
        <v>175</v>
      </c>
      <c r="F82" s="23"/>
      <c r="G82" s="22">
        <v>0.14000000000000001</v>
      </c>
      <c r="H82" s="29"/>
      <c r="I82" s="29"/>
      <c r="J82" s="29"/>
      <c r="K82" s="23"/>
      <c r="L82" s="23"/>
      <c r="M82" s="23"/>
      <c r="N82" s="22" t="s">
        <v>17</v>
      </c>
      <c r="O82" s="22" t="s">
        <v>175</v>
      </c>
      <c r="P82" s="96" t="s">
        <v>18</v>
      </c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</row>
    <row r="83" spans="1:40" x14ac:dyDescent="0.4">
      <c r="A83" s="90" t="s">
        <v>334</v>
      </c>
      <c r="B83" s="28" t="s">
        <v>335</v>
      </c>
      <c r="C83" s="11">
        <v>0.16</v>
      </c>
      <c r="D83" s="6" t="s">
        <v>162</v>
      </c>
      <c r="E83" s="11" t="s">
        <v>74</v>
      </c>
      <c r="F83" s="6"/>
      <c r="G83" s="11">
        <v>0.16</v>
      </c>
      <c r="H83" s="31"/>
      <c r="I83" s="31"/>
      <c r="J83" s="31"/>
      <c r="K83" s="6"/>
      <c r="L83" s="6"/>
      <c r="M83" s="6"/>
      <c r="N83" s="11" t="s">
        <v>17</v>
      </c>
      <c r="O83" s="11" t="s">
        <v>175</v>
      </c>
      <c r="P83" s="98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</row>
    <row r="84" spans="1:40" x14ac:dyDescent="0.4">
      <c r="A84" s="88" t="s">
        <v>336</v>
      </c>
      <c r="B84" s="22" t="s">
        <v>337</v>
      </c>
      <c r="C84" s="22">
        <v>0.16</v>
      </c>
      <c r="D84" s="23"/>
      <c r="E84" s="22" t="s">
        <v>175</v>
      </c>
      <c r="F84" s="23"/>
      <c r="G84" s="22">
        <v>0.16</v>
      </c>
      <c r="H84" s="29"/>
      <c r="I84" s="29"/>
      <c r="J84" s="29"/>
      <c r="K84" s="23"/>
      <c r="L84" s="23"/>
      <c r="M84" s="23"/>
      <c r="N84" s="22" t="s">
        <v>17</v>
      </c>
      <c r="O84" s="22" t="s">
        <v>175</v>
      </c>
      <c r="P84" s="96" t="s">
        <v>18</v>
      </c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</row>
    <row r="85" spans="1:40" x14ac:dyDescent="0.4">
      <c r="A85" s="90" t="s">
        <v>338</v>
      </c>
      <c r="B85" s="28" t="s">
        <v>339</v>
      </c>
      <c r="C85" s="11">
        <v>0.04</v>
      </c>
      <c r="D85" s="6" t="s">
        <v>162</v>
      </c>
      <c r="E85" s="11" t="s">
        <v>120</v>
      </c>
      <c r="F85" s="6"/>
      <c r="G85" s="11">
        <v>0.04</v>
      </c>
      <c r="H85" s="31"/>
      <c r="I85" s="31"/>
      <c r="J85" s="31"/>
      <c r="K85" s="6"/>
      <c r="L85" s="6"/>
      <c r="M85" s="6"/>
      <c r="N85" s="11" t="s">
        <v>17</v>
      </c>
      <c r="O85" s="11" t="s">
        <v>175</v>
      </c>
      <c r="P85" s="98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</row>
    <row r="86" spans="1:40" x14ac:dyDescent="0.4">
      <c r="A86" s="90" t="s">
        <v>340</v>
      </c>
      <c r="B86" s="11" t="s">
        <v>341</v>
      </c>
      <c r="C86" s="11">
        <v>0.1</v>
      </c>
      <c r="D86" s="6" t="s">
        <v>162</v>
      </c>
      <c r="E86" s="11" t="s">
        <v>85</v>
      </c>
      <c r="F86" s="6"/>
      <c r="G86" s="11">
        <v>0.1</v>
      </c>
      <c r="H86" s="31"/>
      <c r="I86" s="31"/>
      <c r="J86" s="31"/>
      <c r="K86" s="6"/>
      <c r="L86" s="6"/>
      <c r="M86" s="6"/>
      <c r="N86" s="11" t="s">
        <v>17</v>
      </c>
      <c r="O86" s="11" t="s">
        <v>175</v>
      </c>
      <c r="P86" s="98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</row>
    <row r="87" spans="1:40" x14ac:dyDescent="0.4">
      <c r="A87" s="90" t="s">
        <v>342</v>
      </c>
      <c r="B87" s="11" t="s">
        <v>343</v>
      </c>
      <c r="C87" s="11">
        <v>0.05</v>
      </c>
      <c r="D87" s="6" t="s">
        <v>162</v>
      </c>
      <c r="E87" s="11" t="s">
        <v>95</v>
      </c>
      <c r="F87" s="6"/>
      <c r="G87" s="11">
        <v>0.05</v>
      </c>
      <c r="H87" s="31"/>
      <c r="I87" s="31"/>
      <c r="J87" s="31"/>
      <c r="K87" s="6"/>
      <c r="L87" s="6"/>
      <c r="M87" s="6"/>
      <c r="N87" s="11" t="s">
        <v>17</v>
      </c>
      <c r="O87" s="11" t="s">
        <v>175</v>
      </c>
      <c r="P87" s="98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</row>
    <row r="88" spans="1:40" x14ac:dyDescent="0.4">
      <c r="A88" s="90" t="s">
        <v>344</v>
      </c>
      <c r="B88" s="11" t="s">
        <v>345</v>
      </c>
      <c r="C88" s="11">
        <v>0.04</v>
      </c>
      <c r="D88" s="6" t="s">
        <v>162</v>
      </c>
      <c r="E88" s="11" t="s">
        <v>121</v>
      </c>
      <c r="F88" s="6"/>
      <c r="G88" s="11">
        <v>0.04</v>
      </c>
      <c r="H88" s="31"/>
      <c r="I88" s="31"/>
      <c r="J88" s="31"/>
      <c r="K88" s="6"/>
      <c r="L88" s="6"/>
      <c r="M88" s="6"/>
      <c r="N88" s="11" t="s">
        <v>17</v>
      </c>
      <c r="O88" s="11" t="s">
        <v>329</v>
      </c>
      <c r="P88" s="98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</row>
    <row r="89" spans="1:40" x14ac:dyDescent="0.4">
      <c r="A89" s="90" t="s">
        <v>346</v>
      </c>
      <c r="B89" s="11" t="s">
        <v>347</v>
      </c>
      <c r="C89" s="11">
        <v>0.05</v>
      </c>
      <c r="D89" s="6" t="s">
        <v>162</v>
      </c>
      <c r="E89" s="11" t="s">
        <v>74</v>
      </c>
      <c r="F89" s="6"/>
      <c r="G89" s="11">
        <v>0.05</v>
      </c>
      <c r="H89" s="31"/>
      <c r="I89" s="31"/>
      <c r="J89" s="31"/>
      <c r="K89" s="6"/>
      <c r="L89" s="6"/>
      <c r="M89" s="6"/>
      <c r="N89" s="11" t="s">
        <v>17</v>
      </c>
      <c r="O89" s="11" t="s">
        <v>175</v>
      </c>
      <c r="P89" s="98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</row>
    <row r="90" spans="1:40" x14ac:dyDescent="0.4">
      <c r="A90" s="90" t="s">
        <v>348</v>
      </c>
      <c r="B90" s="11" t="s">
        <v>349</v>
      </c>
      <c r="C90" s="11">
        <v>0.08</v>
      </c>
      <c r="D90" s="6" t="s">
        <v>162</v>
      </c>
      <c r="E90" s="11" t="s">
        <v>85</v>
      </c>
      <c r="F90" s="6"/>
      <c r="G90" s="11">
        <v>0.08</v>
      </c>
      <c r="H90" s="31"/>
      <c r="I90" s="31"/>
      <c r="J90" s="31"/>
      <c r="K90" s="6"/>
      <c r="L90" s="6"/>
      <c r="M90" s="6"/>
      <c r="N90" s="11" t="s">
        <v>17</v>
      </c>
      <c r="O90" s="11" t="s">
        <v>329</v>
      </c>
      <c r="P90" s="98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</row>
    <row r="91" spans="1:40" x14ac:dyDescent="0.4">
      <c r="A91" s="90" t="s">
        <v>350</v>
      </c>
      <c r="B91" s="11" t="s">
        <v>351</v>
      </c>
      <c r="C91" s="11">
        <v>6.0000000000000001E-3</v>
      </c>
      <c r="D91" s="6" t="s">
        <v>162</v>
      </c>
      <c r="E91" s="11" t="s">
        <v>117</v>
      </c>
      <c r="F91" s="6"/>
      <c r="G91" s="11">
        <v>6.0000000000000001E-3</v>
      </c>
      <c r="H91" s="31"/>
      <c r="I91" s="31"/>
      <c r="J91" s="31"/>
      <c r="K91" s="6"/>
      <c r="L91" s="6"/>
      <c r="M91" s="6"/>
      <c r="N91" s="11" t="s">
        <v>17</v>
      </c>
      <c r="O91" s="11" t="s">
        <v>175</v>
      </c>
      <c r="P91" s="98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</row>
    <row r="92" spans="1:40" x14ac:dyDescent="0.4">
      <c r="A92" s="89" t="s">
        <v>352</v>
      </c>
      <c r="B92" s="24" t="s">
        <v>353</v>
      </c>
      <c r="C92" s="24">
        <v>0.03</v>
      </c>
      <c r="D92" s="25" t="s">
        <v>162</v>
      </c>
      <c r="E92" s="24" t="s">
        <v>354</v>
      </c>
      <c r="F92" s="25"/>
      <c r="G92" s="24">
        <v>0.03</v>
      </c>
      <c r="H92" s="30"/>
      <c r="I92" s="30"/>
      <c r="J92" s="30"/>
      <c r="K92" s="25"/>
      <c r="L92" s="25"/>
      <c r="M92" s="25"/>
      <c r="N92" s="24" t="s">
        <v>17</v>
      </c>
      <c r="O92" s="24" t="s">
        <v>329</v>
      </c>
      <c r="P92" s="97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</row>
    <row r="93" spans="1:40" x14ac:dyDescent="0.4">
      <c r="A93" s="90" t="s">
        <v>355</v>
      </c>
      <c r="B93" s="28" t="s">
        <v>356</v>
      </c>
      <c r="C93" s="11">
        <v>0.04</v>
      </c>
      <c r="D93" s="6" t="s">
        <v>162</v>
      </c>
      <c r="E93" s="11" t="s">
        <v>74</v>
      </c>
      <c r="F93" s="6"/>
      <c r="G93" s="11">
        <v>0.04</v>
      </c>
      <c r="H93" s="31"/>
      <c r="I93" s="31"/>
      <c r="J93" s="31"/>
      <c r="K93" s="6"/>
      <c r="L93" s="6"/>
      <c r="M93" s="6"/>
      <c r="N93" s="11" t="s">
        <v>17</v>
      </c>
      <c r="O93" s="11" t="s">
        <v>175</v>
      </c>
      <c r="P93" s="98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</row>
    <row r="94" spans="1:40" x14ac:dyDescent="0.4">
      <c r="A94" s="90" t="s">
        <v>357</v>
      </c>
      <c r="B94" s="11" t="s">
        <v>358</v>
      </c>
      <c r="C94" s="11">
        <v>0.08</v>
      </c>
      <c r="D94" s="6" t="s">
        <v>162</v>
      </c>
      <c r="E94" s="11" t="s">
        <v>85</v>
      </c>
      <c r="F94" s="6"/>
      <c r="G94" s="11">
        <v>0.08</v>
      </c>
      <c r="H94" s="31"/>
      <c r="I94" s="31"/>
      <c r="J94" s="31"/>
      <c r="K94" s="6"/>
      <c r="L94" s="6"/>
      <c r="M94" s="6"/>
      <c r="N94" s="11" t="s">
        <v>17</v>
      </c>
      <c r="O94" s="11" t="s">
        <v>175</v>
      </c>
      <c r="P94" s="98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</row>
    <row r="95" spans="1:40" x14ac:dyDescent="0.4">
      <c r="A95" s="90" t="s">
        <v>359</v>
      </c>
      <c r="B95" s="11" t="s">
        <v>360</v>
      </c>
      <c r="C95" s="11">
        <v>0.01</v>
      </c>
      <c r="D95" s="6" t="s">
        <v>162</v>
      </c>
      <c r="E95" s="11" t="s">
        <v>83</v>
      </c>
      <c r="F95" s="6"/>
      <c r="G95" s="11">
        <v>0.01</v>
      </c>
      <c r="H95" s="31"/>
      <c r="I95" s="31"/>
      <c r="J95" s="31"/>
      <c r="K95" s="6"/>
      <c r="L95" s="6"/>
      <c r="M95" s="6"/>
      <c r="N95" s="11" t="s">
        <v>17</v>
      </c>
      <c r="O95" s="11" t="s">
        <v>329</v>
      </c>
      <c r="P95" s="98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</row>
    <row r="96" spans="1:40" x14ac:dyDescent="0.4">
      <c r="A96" s="90" t="s">
        <v>361</v>
      </c>
      <c r="B96" s="11" t="s">
        <v>362</v>
      </c>
      <c r="C96" s="11">
        <v>0.25</v>
      </c>
      <c r="D96" s="6" t="s">
        <v>189</v>
      </c>
      <c r="E96" s="11" t="s">
        <v>78</v>
      </c>
      <c r="F96" s="6"/>
      <c r="G96" s="32">
        <v>0.25</v>
      </c>
      <c r="H96" s="31" t="s">
        <v>81</v>
      </c>
      <c r="I96" s="31"/>
      <c r="J96" s="31">
        <v>0.25</v>
      </c>
      <c r="K96" s="6"/>
      <c r="L96" s="6"/>
      <c r="M96" s="6"/>
      <c r="N96" s="11" t="s">
        <v>17</v>
      </c>
      <c r="O96" s="11" t="s">
        <v>175</v>
      </c>
      <c r="P96" s="98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</row>
    <row r="97" spans="1:40" x14ac:dyDescent="0.4">
      <c r="A97" s="90" t="s">
        <v>363</v>
      </c>
      <c r="B97" s="11" t="s">
        <v>364</v>
      </c>
      <c r="C97" s="11">
        <v>0.01</v>
      </c>
      <c r="D97" s="6" t="s">
        <v>162</v>
      </c>
      <c r="E97" s="11" t="s">
        <v>83</v>
      </c>
      <c r="F97" s="6"/>
      <c r="G97" s="11">
        <v>0.01</v>
      </c>
      <c r="H97" s="31"/>
      <c r="I97" s="31"/>
      <c r="J97" s="31"/>
      <c r="K97" s="6"/>
      <c r="L97" s="6"/>
      <c r="M97" s="6"/>
      <c r="N97" s="11" t="s">
        <v>17</v>
      </c>
      <c r="O97" s="11" t="s">
        <v>329</v>
      </c>
      <c r="P97" s="98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</row>
    <row r="98" spans="1:40" x14ac:dyDescent="0.4">
      <c r="A98" s="88" t="s">
        <v>365</v>
      </c>
      <c r="B98" s="22" t="s">
        <v>366</v>
      </c>
      <c r="C98" s="22">
        <v>0.15</v>
      </c>
      <c r="D98" s="23"/>
      <c r="E98" s="22" t="s">
        <v>175</v>
      </c>
      <c r="F98" s="23"/>
      <c r="G98" s="22">
        <v>0.15</v>
      </c>
      <c r="H98" s="29"/>
      <c r="I98" s="29"/>
      <c r="J98" s="29"/>
      <c r="K98" s="23"/>
      <c r="L98" s="23"/>
      <c r="M98" s="23"/>
      <c r="N98" s="22" t="s">
        <v>17</v>
      </c>
      <c r="O98" s="22" t="s">
        <v>329</v>
      </c>
      <c r="P98" s="96" t="s">
        <v>18</v>
      </c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</row>
    <row r="99" spans="1:40" x14ac:dyDescent="0.4">
      <c r="A99" s="91" t="s">
        <v>367</v>
      </c>
      <c r="B99" s="22" t="s">
        <v>368</v>
      </c>
      <c r="C99" s="26">
        <v>0.08</v>
      </c>
      <c r="D99" s="23"/>
      <c r="E99" s="22" t="s">
        <v>175</v>
      </c>
      <c r="F99" s="23"/>
      <c r="G99" s="26">
        <v>0.08</v>
      </c>
      <c r="H99" s="29"/>
      <c r="I99" s="29"/>
      <c r="J99" s="29"/>
      <c r="K99" s="23"/>
      <c r="L99" s="23"/>
      <c r="M99" s="23"/>
      <c r="N99" s="22" t="s">
        <v>17</v>
      </c>
      <c r="O99" s="22" t="s">
        <v>369</v>
      </c>
      <c r="P99" s="96" t="s">
        <v>18</v>
      </c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</row>
    <row r="100" spans="1:40" x14ac:dyDescent="0.4">
      <c r="A100" s="88" t="s">
        <v>370</v>
      </c>
      <c r="B100" s="26" t="s">
        <v>371</v>
      </c>
      <c r="C100" s="22">
        <v>0.15</v>
      </c>
      <c r="D100" s="23"/>
      <c r="E100" s="22" t="s">
        <v>175</v>
      </c>
      <c r="F100" s="23"/>
      <c r="G100" s="22">
        <v>0.15</v>
      </c>
      <c r="H100" s="29"/>
      <c r="I100" s="29"/>
      <c r="J100" s="29"/>
      <c r="K100" s="23"/>
      <c r="L100" s="23"/>
      <c r="M100" s="23"/>
      <c r="N100" s="22" t="s">
        <v>17</v>
      </c>
      <c r="O100" s="22" t="s">
        <v>329</v>
      </c>
      <c r="P100" s="96" t="s">
        <v>18</v>
      </c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</row>
    <row r="101" spans="1:40" x14ac:dyDescent="0.4">
      <c r="A101" s="88" t="s">
        <v>372</v>
      </c>
      <c r="B101" s="22" t="s">
        <v>373</v>
      </c>
      <c r="C101" s="22">
        <v>0.08</v>
      </c>
      <c r="D101" s="23"/>
      <c r="E101" s="22" t="s">
        <v>175</v>
      </c>
      <c r="F101" s="23"/>
      <c r="G101" s="22">
        <v>0.08</v>
      </c>
      <c r="H101" s="29"/>
      <c r="I101" s="29"/>
      <c r="J101" s="29"/>
      <c r="K101" s="23"/>
      <c r="L101" s="23"/>
      <c r="M101" s="23"/>
      <c r="N101" s="22" t="s">
        <v>17</v>
      </c>
      <c r="O101" s="22" t="s">
        <v>369</v>
      </c>
      <c r="P101" s="96" t="s">
        <v>18</v>
      </c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</row>
    <row r="102" spans="1:40" x14ac:dyDescent="0.4">
      <c r="A102" s="88" t="s">
        <v>374</v>
      </c>
      <c r="B102" s="22" t="s">
        <v>375</v>
      </c>
      <c r="C102" s="26">
        <v>0.3</v>
      </c>
      <c r="D102" s="23"/>
      <c r="E102" s="22" t="s">
        <v>175</v>
      </c>
      <c r="F102" s="23"/>
      <c r="G102" s="26">
        <v>0.3</v>
      </c>
      <c r="H102" s="29"/>
      <c r="I102" s="29"/>
      <c r="J102" s="29"/>
      <c r="K102" s="23"/>
      <c r="L102" s="23"/>
      <c r="M102" s="23"/>
      <c r="N102" s="22" t="s">
        <v>17</v>
      </c>
      <c r="O102" s="22" t="s">
        <v>376</v>
      </c>
      <c r="P102" s="96" t="s">
        <v>18</v>
      </c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</row>
    <row r="103" spans="1:40" x14ac:dyDescent="0.4">
      <c r="A103" s="92" t="s">
        <v>310</v>
      </c>
      <c r="B103" s="28" t="s">
        <v>377</v>
      </c>
      <c r="C103" s="28">
        <v>0.01</v>
      </c>
      <c r="D103" s="75" t="s">
        <v>162</v>
      </c>
      <c r="E103" s="28" t="s">
        <v>83</v>
      </c>
      <c r="F103" s="75"/>
      <c r="G103" s="28">
        <v>0.01</v>
      </c>
      <c r="H103" s="77"/>
      <c r="I103" s="77"/>
      <c r="J103" s="77"/>
      <c r="K103" s="75"/>
      <c r="L103" s="75"/>
      <c r="M103" s="75"/>
      <c r="N103" s="28" t="s">
        <v>17</v>
      </c>
      <c r="O103" s="28" t="s">
        <v>175</v>
      </c>
      <c r="P103" s="99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</row>
    <row r="104" spans="1:40" x14ac:dyDescent="0.4">
      <c r="A104" s="92" t="s">
        <v>313</v>
      </c>
      <c r="B104" s="28" t="s">
        <v>378</v>
      </c>
      <c r="C104" s="28">
        <v>0.2</v>
      </c>
      <c r="D104" s="75" t="s">
        <v>162</v>
      </c>
      <c r="E104" s="28" t="s">
        <v>74</v>
      </c>
      <c r="F104" s="75"/>
      <c r="G104" s="28">
        <v>0.2</v>
      </c>
      <c r="H104" s="77"/>
      <c r="I104" s="77"/>
      <c r="J104" s="77"/>
      <c r="K104" s="75"/>
      <c r="L104" s="75"/>
      <c r="M104" s="75"/>
      <c r="N104" s="28" t="s">
        <v>17</v>
      </c>
      <c r="O104" s="28" t="s">
        <v>175</v>
      </c>
      <c r="P104" s="99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</row>
    <row r="105" spans="1:40" x14ac:dyDescent="0.4">
      <c r="A105" s="92" t="s">
        <v>379</v>
      </c>
      <c r="B105" s="28" t="s">
        <v>380</v>
      </c>
      <c r="C105" s="28">
        <v>0.01</v>
      </c>
      <c r="D105" s="75" t="s">
        <v>162</v>
      </c>
      <c r="E105" s="28" t="s">
        <v>83</v>
      </c>
      <c r="F105" s="75"/>
      <c r="G105" s="28">
        <v>0.01</v>
      </c>
      <c r="H105" s="77"/>
      <c r="I105" s="77"/>
      <c r="J105" s="77"/>
      <c r="K105" s="75"/>
      <c r="L105" s="75"/>
      <c r="M105" s="75"/>
      <c r="N105" s="28" t="s">
        <v>17</v>
      </c>
      <c r="O105" s="28" t="s">
        <v>175</v>
      </c>
      <c r="P105" s="99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</row>
    <row r="106" spans="1:40" x14ac:dyDescent="0.4">
      <c r="A106" s="92" t="s">
        <v>381</v>
      </c>
      <c r="B106" s="28" t="s">
        <v>382</v>
      </c>
      <c r="C106" s="28">
        <v>7.0000000000000007E-2</v>
      </c>
      <c r="D106" s="75" t="s">
        <v>162</v>
      </c>
      <c r="E106" s="28" t="s">
        <v>74</v>
      </c>
      <c r="F106" s="75"/>
      <c r="G106" s="28">
        <v>7.0000000000000007E-2</v>
      </c>
      <c r="H106" s="77"/>
      <c r="I106" s="77"/>
      <c r="J106" s="77"/>
      <c r="K106" s="75"/>
      <c r="L106" s="75"/>
      <c r="M106" s="75"/>
      <c r="N106" s="28" t="s">
        <v>17</v>
      </c>
      <c r="O106" s="28" t="s">
        <v>175</v>
      </c>
      <c r="P106" s="99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</row>
    <row r="107" spans="1:40" s="62" customFormat="1" x14ac:dyDescent="0.4">
      <c r="A107" s="92" t="s">
        <v>383</v>
      </c>
      <c r="B107" s="75" t="s">
        <v>384</v>
      </c>
      <c r="C107" s="28">
        <v>5.0000000000000001E-3</v>
      </c>
      <c r="D107" s="28" t="s">
        <v>162</v>
      </c>
      <c r="E107" s="28" t="s">
        <v>83</v>
      </c>
      <c r="F107" s="28"/>
      <c r="G107" s="28">
        <v>5.0000000000000001E-3</v>
      </c>
      <c r="H107" s="75"/>
      <c r="I107" s="75"/>
      <c r="J107" s="75"/>
      <c r="K107" s="75"/>
      <c r="L107" s="75"/>
      <c r="M107" s="75"/>
      <c r="N107" s="75" t="s">
        <v>22</v>
      </c>
      <c r="O107" s="75"/>
      <c r="P107" s="100"/>
    </row>
    <row r="108" spans="1:40" s="62" customFormat="1" x14ac:dyDescent="0.4">
      <c r="A108" s="92" t="s">
        <v>385</v>
      </c>
      <c r="B108" s="75" t="s">
        <v>386</v>
      </c>
      <c r="C108" s="28">
        <v>0.2</v>
      </c>
      <c r="D108" s="28" t="s">
        <v>189</v>
      </c>
      <c r="E108" s="28" t="s">
        <v>91</v>
      </c>
      <c r="F108" s="28"/>
      <c r="G108" s="28">
        <v>0.2</v>
      </c>
      <c r="H108" s="75" t="s">
        <v>81</v>
      </c>
      <c r="I108" s="75"/>
      <c r="J108" s="75">
        <v>0.2</v>
      </c>
      <c r="K108" s="75"/>
      <c r="L108" s="75"/>
      <c r="M108" s="75"/>
      <c r="N108" s="75" t="s">
        <v>22</v>
      </c>
      <c r="O108" s="75"/>
      <c r="P108" s="100"/>
    </row>
    <row r="109" spans="1:40" s="62" customFormat="1" x14ac:dyDescent="0.4">
      <c r="A109" s="92" t="s">
        <v>387</v>
      </c>
      <c r="B109" s="75" t="s">
        <v>388</v>
      </c>
      <c r="C109" s="28">
        <v>1.2999999999999999E-2</v>
      </c>
      <c r="D109" s="28" t="s">
        <v>162</v>
      </c>
      <c r="E109" s="28" t="s">
        <v>111</v>
      </c>
      <c r="F109" s="28"/>
      <c r="G109" s="28"/>
      <c r="H109" s="75"/>
      <c r="I109" s="75"/>
      <c r="J109" s="75"/>
      <c r="K109" s="75"/>
      <c r="L109" s="75"/>
      <c r="M109" s="75"/>
      <c r="N109" s="75" t="s">
        <v>22</v>
      </c>
      <c r="O109" s="75"/>
      <c r="P109" s="100"/>
    </row>
    <row r="110" spans="1:40" s="62" customFormat="1" x14ac:dyDescent="0.4">
      <c r="A110" s="93" t="s">
        <v>389</v>
      </c>
      <c r="B110" s="75" t="s">
        <v>390</v>
      </c>
      <c r="C110" s="75">
        <v>7.0000000000000007E-2</v>
      </c>
      <c r="D110" s="75" t="s">
        <v>189</v>
      </c>
      <c r="E110" s="75" t="s">
        <v>93</v>
      </c>
      <c r="F110" s="75"/>
      <c r="G110" s="75">
        <v>7.0000000000000007E-2</v>
      </c>
      <c r="H110" s="75" t="s">
        <v>65</v>
      </c>
      <c r="I110" s="75"/>
      <c r="J110" s="75">
        <v>7.0000000000000007E-2</v>
      </c>
      <c r="K110" s="75"/>
      <c r="L110" s="75"/>
      <c r="M110" s="75"/>
      <c r="N110" s="75" t="s">
        <v>22</v>
      </c>
      <c r="O110" s="75"/>
      <c r="P110" s="100"/>
    </row>
    <row r="111" spans="1:40" s="62" customFormat="1" x14ac:dyDescent="0.4">
      <c r="A111" s="94" t="s">
        <v>383</v>
      </c>
      <c r="B111" s="75" t="s">
        <v>391</v>
      </c>
      <c r="C111" s="85">
        <v>5.0000000000000001E-3</v>
      </c>
      <c r="D111" s="75" t="s">
        <v>162</v>
      </c>
      <c r="E111" s="75" t="s">
        <v>83</v>
      </c>
      <c r="F111" s="75"/>
      <c r="G111" s="75"/>
      <c r="H111" s="75"/>
      <c r="I111" s="75"/>
      <c r="J111" s="75"/>
      <c r="K111" s="75"/>
      <c r="L111" s="75"/>
      <c r="M111" s="75"/>
      <c r="N111" s="75" t="s">
        <v>24</v>
      </c>
      <c r="O111" s="75"/>
      <c r="P111" s="100"/>
    </row>
    <row r="112" spans="1:40" s="62" customFormat="1" x14ac:dyDescent="0.4">
      <c r="A112" s="94" t="s">
        <v>392</v>
      </c>
      <c r="B112" s="75" t="s">
        <v>393</v>
      </c>
      <c r="C112" s="85">
        <v>0.16</v>
      </c>
      <c r="D112" s="75" t="s">
        <v>162</v>
      </c>
      <c r="E112" s="75" t="s">
        <v>74</v>
      </c>
      <c r="F112" s="75"/>
      <c r="G112" s="75"/>
      <c r="H112" s="75"/>
      <c r="I112" s="75"/>
      <c r="J112" s="75"/>
      <c r="K112" s="75"/>
      <c r="L112" s="75"/>
      <c r="M112" s="75"/>
      <c r="N112" s="75" t="s">
        <v>24</v>
      </c>
      <c r="O112" s="75"/>
      <c r="P112" s="100"/>
    </row>
    <row r="113" spans="1:22" s="62" customFormat="1" x14ac:dyDescent="0.4">
      <c r="A113" s="94" t="s">
        <v>394</v>
      </c>
      <c r="B113" s="75" t="s">
        <v>395</v>
      </c>
      <c r="C113" s="85">
        <v>1.2999999999999999E-2</v>
      </c>
      <c r="D113" s="75" t="s">
        <v>162</v>
      </c>
      <c r="E113" s="75" t="s">
        <v>111</v>
      </c>
      <c r="F113" s="75"/>
      <c r="G113" s="75"/>
      <c r="H113" s="75"/>
      <c r="I113" s="75"/>
      <c r="J113" s="75"/>
      <c r="K113" s="75"/>
      <c r="L113" s="75"/>
      <c r="M113" s="75"/>
      <c r="N113" s="75" t="s">
        <v>24</v>
      </c>
      <c r="O113" s="75"/>
      <c r="P113" s="100"/>
    </row>
    <row r="114" spans="1:22" s="62" customFormat="1" x14ac:dyDescent="0.4">
      <c r="A114" s="105" t="s">
        <v>396</v>
      </c>
      <c r="B114" s="86" t="s">
        <v>397</v>
      </c>
      <c r="C114" s="106">
        <v>7.0000000000000001E-3</v>
      </c>
      <c r="D114" s="86" t="s">
        <v>189</v>
      </c>
      <c r="E114" s="86" t="s">
        <v>93</v>
      </c>
      <c r="F114" s="86"/>
      <c r="G114" s="86">
        <v>7.0000000000000001E-3</v>
      </c>
      <c r="H114" s="86" t="s">
        <v>65</v>
      </c>
      <c r="I114" s="86"/>
      <c r="J114" s="86">
        <v>7.0000000000000001E-3</v>
      </c>
      <c r="K114" s="86"/>
      <c r="L114" s="86"/>
      <c r="M114" s="86"/>
      <c r="N114" s="86" t="s">
        <v>24</v>
      </c>
      <c r="O114" s="86"/>
      <c r="P114" s="107"/>
    </row>
    <row r="115" spans="1:22" s="62" customFormat="1" x14ac:dyDescent="0.4">
      <c r="A115" s="94" t="s">
        <v>398</v>
      </c>
      <c r="B115" s="75" t="s">
        <v>399</v>
      </c>
      <c r="C115" s="75">
        <v>2E-3</v>
      </c>
      <c r="D115" s="75" t="s">
        <v>162</v>
      </c>
      <c r="E115" s="75" t="s">
        <v>99</v>
      </c>
      <c r="F115" s="75"/>
      <c r="G115" s="75"/>
      <c r="H115" s="75"/>
      <c r="I115" s="75"/>
      <c r="J115" s="75"/>
      <c r="K115" s="75"/>
      <c r="L115" s="75"/>
      <c r="M115" s="75"/>
      <c r="N115" s="86" t="s">
        <v>24</v>
      </c>
      <c r="O115" s="75"/>
      <c r="P115" s="100"/>
    </row>
    <row r="116" spans="1:22" s="62" customFormat="1" x14ac:dyDescent="0.4">
      <c r="A116" s="94" t="s">
        <v>400</v>
      </c>
      <c r="B116" s="75" t="s">
        <v>401</v>
      </c>
      <c r="C116" s="75">
        <v>1.2999999999999999E-2</v>
      </c>
      <c r="D116" s="75" t="s">
        <v>162</v>
      </c>
      <c r="E116" s="75" t="s">
        <v>100</v>
      </c>
      <c r="F116" s="75"/>
      <c r="G116" s="75"/>
      <c r="H116" s="75"/>
      <c r="I116" s="75"/>
      <c r="J116" s="75"/>
      <c r="K116" s="75"/>
      <c r="L116" s="75"/>
      <c r="M116" s="75"/>
      <c r="N116" s="86" t="s">
        <v>24</v>
      </c>
      <c r="O116" s="75"/>
      <c r="P116" s="100"/>
    </row>
    <row r="117" spans="1:22" s="62" customFormat="1" x14ac:dyDescent="0.4">
      <c r="A117" s="94" t="s">
        <v>402</v>
      </c>
      <c r="B117" s="75" t="s">
        <v>403</v>
      </c>
      <c r="C117" s="75">
        <v>0.16</v>
      </c>
      <c r="D117" s="75" t="s">
        <v>162</v>
      </c>
      <c r="E117" s="75" t="s">
        <v>74</v>
      </c>
      <c r="F117" s="75"/>
      <c r="G117" s="75"/>
      <c r="H117" s="75"/>
      <c r="I117" s="75"/>
      <c r="J117" s="75"/>
      <c r="K117" s="75"/>
      <c r="L117" s="75"/>
      <c r="M117" s="75"/>
      <c r="N117" s="86" t="s">
        <v>24</v>
      </c>
      <c r="O117" s="75"/>
      <c r="P117" s="100"/>
    </row>
    <row r="118" spans="1:22" s="62" customFormat="1" x14ac:dyDescent="0.4">
      <c r="A118" s="105" t="s">
        <v>404</v>
      </c>
      <c r="B118" s="86" t="s">
        <v>405</v>
      </c>
      <c r="C118" s="86">
        <v>5.0000000000000001E-3</v>
      </c>
      <c r="D118" s="86" t="s">
        <v>162</v>
      </c>
      <c r="E118" s="86" t="s">
        <v>83</v>
      </c>
      <c r="F118" s="86"/>
      <c r="G118" s="86"/>
      <c r="H118" s="86"/>
      <c r="I118" s="86"/>
      <c r="J118" s="86"/>
      <c r="K118" s="86"/>
      <c r="L118" s="86"/>
      <c r="M118" s="86"/>
      <c r="N118" s="86" t="s">
        <v>24</v>
      </c>
      <c r="O118" s="86"/>
      <c r="P118" s="107"/>
    </row>
    <row r="119" spans="1:22" s="62" customFormat="1" x14ac:dyDescent="0.4">
      <c r="A119" s="94" t="s">
        <v>406</v>
      </c>
      <c r="B119" s="75" t="s">
        <v>407</v>
      </c>
      <c r="C119" s="75">
        <v>0.01</v>
      </c>
      <c r="D119" s="75" t="s">
        <v>162</v>
      </c>
      <c r="E119" s="75" t="s">
        <v>82</v>
      </c>
      <c r="F119" s="75"/>
      <c r="G119" s="75"/>
      <c r="H119" s="75"/>
      <c r="I119" s="75"/>
      <c r="J119" s="75"/>
      <c r="K119" s="75"/>
      <c r="L119" s="75"/>
      <c r="M119" s="75"/>
      <c r="N119" s="75" t="s">
        <v>22</v>
      </c>
      <c r="O119" s="75"/>
      <c r="P119" s="100"/>
    </row>
    <row r="120" spans="1:22" s="62" customFormat="1" x14ac:dyDescent="0.4">
      <c r="A120" s="94" t="s">
        <v>408</v>
      </c>
      <c r="B120" s="75" t="s">
        <v>409</v>
      </c>
      <c r="C120" s="75">
        <v>0.05</v>
      </c>
      <c r="D120" s="75" t="s">
        <v>162</v>
      </c>
      <c r="E120" s="75" t="s">
        <v>84</v>
      </c>
      <c r="F120" s="75"/>
      <c r="G120" s="75"/>
      <c r="H120" s="75"/>
      <c r="I120" s="75"/>
      <c r="J120" s="75"/>
      <c r="K120" s="75"/>
      <c r="L120" s="75"/>
      <c r="M120" s="75"/>
      <c r="N120" s="75" t="s">
        <v>22</v>
      </c>
      <c r="O120" s="75"/>
      <c r="P120" s="100"/>
    </row>
    <row r="121" spans="1:22" s="62" customFormat="1" x14ac:dyDescent="0.4">
      <c r="A121" s="94" t="s">
        <v>410</v>
      </c>
      <c r="B121" s="75" t="s">
        <v>411</v>
      </c>
      <c r="C121" s="75">
        <v>0.08</v>
      </c>
      <c r="D121" s="75" t="s">
        <v>162</v>
      </c>
      <c r="E121" s="75" t="s">
        <v>85</v>
      </c>
      <c r="F121" s="75"/>
      <c r="G121" s="75"/>
      <c r="H121" s="75"/>
      <c r="I121" s="75"/>
      <c r="J121" s="75"/>
      <c r="K121" s="75"/>
      <c r="L121" s="75"/>
      <c r="M121" s="75"/>
      <c r="N121" s="75" t="s">
        <v>22</v>
      </c>
      <c r="O121" s="75"/>
      <c r="P121" s="100"/>
    </row>
    <row r="122" spans="1:22" s="62" customFormat="1" x14ac:dyDescent="0.4">
      <c r="A122" s="94" t="s">
        <v>412</v>
      </c>
      <c r="B122" s="75" t="s">
        <v>413</v>
      </c>
      <c r="C122" s="75">
        <v>0.16</v>
      </c>
      <c r="D122" s="75" t="s">
        <v>162</v>
      </c>
      <c r="E122" s="75" t="s">
        <v>74</v>
      </c>
      <c r="F122" s="75"/>
      <c r="G122" s="75"/>
      <c r="H122" s="75"/>
      <c r="I122" s="75"/>
      <c r="J122" s="75"/>
      <c r="K122" s="75"/>
      <c r="L122" s="75"/>
      <c r="M122" s="75"/>
      <c r="N122" s="75" t="s">
        <v>22</v>
      </c>
      <c r="O122" s="75"/>
      <c r="P122" s="100"/>
    </row>
    <row r="123" spans="1:22" s="62" customFormat="1" x14ac:dyDescent="0.4">
      <c r="A123" s="105" t="s">
        <v>414</v>
      </c>
      <c r="B123" s="86" t="s">
        <v>415</v>
      </c>
      <c r="C123" s="86">
        <v>5.0000000000000001E-3</v>
      </c>
      <c r="D123" s="86" t="s">
        <v>162</v>
      </c>
      <c r="E123" s="86" t="s">
        <v>83</v>
      </c>
      <c r="F123" s="86"/>
      <c r="G123" s="86"/>
      <c r="H123" s="86"/>
      <c r="I123" s="86"/>
      <c r="J123" s="86"/>
      <c r="K123" s="86"/>
      <c r="L123" s="86"/>
      <c r="M123" s="86"/>
      <c r="N123" s="75" t="s">
        <v>22</v>
      </c>
      <c r="O123" s="86"/>
      <c r="P123" s="107"/>
    </row>
    <row r="124" spans="1:22" s="62" customFormat="1" x14ac:dyDescent="0.4">
      <c r="A124" s="117"/>
    </row>
    <row r="125" spans="1:22" s="62" customFormat="1" x14ac:dyDescent="0.4"/>
    <row r="126" spans="1:22" s="62" customFormat="1" x14ac:dyDescent="0.4">
      <c r="A126" s="119" t="s">
        <v>416</v>
      </c>
      <c r="B126" s="119" t="s">
        <v>417</v>
      </c>
      <c r="C126" s="119">
        <v>0.16</v>
      </c>
      <c r="D126" s="119" t="s">
        <v>162</v>
      </c>
      <c r="E126" s="119" t="s">
        <v>74</v>
      </c>
      <c r="F126" s="119"/>
      <c r="G126" s="119">
        <v>0.16</v>
      </c>
      <c r="H126" s="119"/>
      <c r="I126" s="119"/>
      <c r="J126" s="119"/>
      <c r="K126" s="119"/>
      <c r="L126" s="119"/>
      <c r="M126" s="119"/>
      <c r="N126" s="119" t="s">
        <v>17</v>
      </c>
      <c r="O126" s="120"/>
      <c r="P126" s="119"/>
      <c r="Q126" s="121"/>
      <c r="R126" s="121"/>
      <c r="S126" s="121"/>
      <c r="T126" s="121"/>
      <c r="U126" s="121"/>
      <c r="V126" s="122"/>
    </row>
    <row r="127" spans="1:22" s="62" customFormat="1" x14ac:dyDescent="0.4">
      <c r="A127" s="123" t="s">
        <v>418</v>
      </c>
      <c r="B127" s="123" t="s">
        <v>419</v>
      </c>
      <c r="C127" s="123">
        <v>0.16</v>
      </c>
      <c r="D127" s="123"/>
      <c r="E127" s="123" t="s">
        <v>420</v>
      </c>
      <c r="F127" s="123"/>
      <c r="G127" s="123"/>
      <c r="H127" s="123"/>
      <c r="I127" s="123"/>
      <c r="J127" s="123"/>
      <c r="K127" s="123"/>
      <c r="L127" s="123"/>
      <c r="M127" s="123"/>
      <c r="N127" s="123" t="s">
        <v>17</v>
      </c>
      <c r="O127" s="124"/>
      <c r="P127" s="123" t="s">
        <v>18</v>
      </c>
      <c r="Q127" s="121"/>
      <c r="R127" s="121"/>
      <c r="S127" s="121"/>
      <c r="T127" s="121"/>
      <c r="U127" s="121"/>
      <c r="V127" s="122"/>
    </row>
    <row r="128" spans="1:22" s="62" customFormat="1" x14ac:dyDescent="0.4">
      <c r="A128" s="125" t="s">
        <v>421</v>
      </c>
      <c r="B128" s="125" t="s">
        <v>422</v>
      </c>
      <c r="C128" s="125">
        <v>0.8</v>
      </c>
      <c r="D128" s="125" t="s">
        <v>162</v>
      </c>
      <c r="E128" s="125" t="s">
        <v>85</v>
      </c>
      <c r="F128" s="125"/>
      <c r="G128" s="125">
        <v>0.08</v>
      </c>
      <c r="H128" s="125"/>
      <c r="I128" s="125"/>
      <c r="J128" s="125"/>
      <c r="K128" s="125"/>
      <c r="L128" s="125"/>
      <c r="M128" s="125"/>
      <c r="N128" s="125" t="s">
        <v>17</v>
      </c>
      <c r="O128" s="126"/>
      <c r="P128" s="125"/>
      <c r="Q128" s="121"/>
      <c r="R128" s="121"/>
      <c r="S128" s="121"/>
      <c r="T128" s="121"/>
      <c r="U128" s="121"/>
      <c r="V128" s="122"/>
    </row>
    <row r="129" spans="1:22" s="62" customFormat="1" x14ac:dyDescent="0.4">
      <c r="A129" s="119" t="s">
        <v>423</v>
      </c>
      <c r="B129" s="119" t="s">
        <v>424</v>
      </c>
      <c r="C129" s="119">
        <v>0.05</v>
      </c>
      <c r="D129" s="119" t="s">
        <v>162</v>
      </c>
      <c r="E129" s="119" t="s">
        <v>74</v>
      </c>
      <c r="F129" s="119"/>
      <c r="G129" s="119">
        <v>0.05</v>
      </c>
      <c r="H129" s="119"/>
      <c r="I129" s="119"/>
      <c r="J129" s="119"/>
      <c r="K129" s="119"/>
      <c r="L129" s="119"/>
      <c r="M129" s="119"/>
      <c r="N129" s="119" t="s">
        <v>17</v>
      </c>
      <c r="O129" s="119"/>
      <c r="P129" s="119"/>
      <c r="Q129" s="121"/>
      <c r="R129" s="121"/>
      <c r="S129" s="121"/>
      <c r="T129" s="121"/>
      <c r="U129" s="121"/>
      <c r="V129" s="122"/>
    </row>
    <row r="130" spans="1:22" s="62" customFormat="1" x14ac:dyDescent="0.4">
      <c r="A130" s="119" t="s">
        <v>425</v>
      </c>
      <c r="B130" s="119" t="s">
        <v>426</v>
      </c>
      <c r="C130" s="119">
        <v>0.04</v>
      </c>
      <c r="D130" s="119" t="s">
        <v>162</v>
      </c>
      <c r="E130" s="119" t="s">
        <v>121</v>
      </c>
      <c r="F130" s="119"/>
      <c r="G130" s="119">
        <v>0.04</v>
      </c>
      <c r="H130" s="119"/>
      <c r="I130" s="119"/>
      <c r="J130" s="119"/>
      <c r="K130" s="119"/>
      <c r="L130" s="119"/>
      <c r="M130" s="119"/>
      <c r="N130" s="119" t="s">
        <v>17</v>
      </c>
      <c r="O130" s="119"/>
      <c r="P130" s="119"/>
      <c r="Q130" s="121"/>
      <c r="R130" s="121"/>
      <c r="S130" s="121"/>
      <c r="T130" s="121"/>
      <c r="U130" s="121"/>
      <c r="V130" s="122"/>
    </row>
    <row r="131" spans="1:22" s="62" customFormat="1" x14ac:dyDescent="0.4">
      <c r="A131" s="121"/>
      <c r="B131" s="118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2"/>
    </row>
    <row r="132" spans="1:22" s="62" customFormat="1" x14ac:dyDescent="0.4">
      <c r="A132" s="63"/>
      <c r="B132" s="63"/>
      <c r="C132" s="63"/>
      <c r="E132" s="63"/>
      <c r="G132" s="63"/>
      <c r="H132" s="122"/>
      <c r="I132" s="122"/>
      <c r="J132" s="122"/>
      <c r="N132" s="63"/>
      <c r="O132" s="63"/>
      <c r="P132" s="127"/>
      <c r="Q132" s="121"/>
      <c r="R132" s="121"/>
      <c r="S132" s="121"/>
      <c r="T132" s="121"/>
      <c r="U132" s="121"/>
      <c r="V132" s="122"/>
    </row>
    <row r="133" spans="1:22" s="62" customFormat="1" x14ac:dyDescent="0.4">
      <c r="A133" s="63"/>
      <c r="B133" s="63"/>
      <c r="C133" s="63"/>
      <c r="E133" s="63"/>
      <c r="G133" s="63"/>
      <c r="H133" s="122"/>
      <c r="I133" s="122"/>
      <c r="J133" s="122"/>
      <c r="N133" s="63"/>
      <c r="O133" s="63"/>
      <c r="P133" s="127"/>
      <c r="Q133" s="121"/>
      <c r="R133" s="121"/>
      <c r="S133" s="121"/>
      <c r="T133" s="121"/>
      <c r="U133" s="121"/>
      <c r="V133" s="122"/>
    </row>
    <row r="134" spans="1:22" s="62" customFormat="1" x14ac:dyDescent="0.4">
      <c r="A134" s="63"/>
      <c r="B134" s="63"/>
      <c r="C134" s="63"/>
      <c r="E134" s="63"/>
      <c r="G134" s="63"/>
      <c r="H134" s="122"/>
      <c r="I134" s="122"/>
      <c r="J134" s="122"/>
      <c r="N134" s="63"/>
      <c r="O134" s="63"/>
      <c r="P134" s="127"/>
      <c r="Q134" s="121"/>
      <c r="R134" s="121"/>
      <c r="S134" s="121"/>
      <c r="T134" s="121"/>
      <c r="U134" s="121"/>
      <c r="V134" s="122"/>
    </row>
    <row r="135" spans="1:22" s="62" customFormat="1" x14ac:dyDescent="0.4">
      <c r="A135" s="63"/>
      <c r="B135" s="63"/>
      <c r="C135" s="63"/>
      <c r="E135" s="63"/>
      <c r="G135" s="63"/>
      <c r="H135" s="122"/>
      <c r="I135" s="122"/>
      <c r="J135" s="122"/>
      <c r="N135" s="63"/>
      <c r="O135" s="63"/>
      <c r="P135" s="127"/>
      <c r="Q135" s="118"/>
      <c r="R135" s="118"/>
      <c r="S135" s="118"/>
      <c r="T135" s="118"/>
      <c r="U135" s="118"/>
    </row>
    <row r="136" spans="1:22" s="62" customFormat="1" x14ac:dyDescent="0.4">
      <c r="A136" s="63"/>
      <c r="B136" s="63"/>
      <c r="C136" s="63"/>
      <c r="E136" s="63"/>
      <c r="G136" s="63"/>
      <c r="H136" s="122"/>
      <c r="I136" s="122"/>
      <c r="J136" s="122"/>
      <c r="N136" s="63"/>
      <c r="O136" s="63"/>
      <c r="P136" s="127"/>
      <c r="Q136" s="118"/>
      <c r="R136" s="118"/>
      <c r="S136" s="118"/>
      <c r="T136" s="118"/>
      <c r="U136" s="118"/>
    </row>
    <row r="137" spans="1:22" s="62" customFormat="1" x14ac:dyDescent="0.4">
      <c r="A137" s="63"/>
      <c r="B137" s="63"/>
      <c r="C137" s="63"/>
      <c r="E137" s="63"/>
      <c r="G137" s="63"/>
      <c r="H137" s="122"/>
      <c r="I137" s="122"/>
      <c r="J137" s="122"/>
      <c r="N137" s="63"/>
      <c r="O137" s="63"/>
      <c r="P137" s="127"/>
      <c r="Q137" s="118"/>
      <c r="R137" s="118"/>
      <c r="S137" s="118"/>
      <c r="T137" s="118"/>
      <c r="U137" s="118"/>
    </row>
    <row r="138" spans="1:22" s="62" customFormat="1" x14ac:dyDescent="0.4">
      <c r="A138" s="63"/>
      <c r="B138" s="63"/>
      <c r="C138" s="63"/>
      <c r="E138" s="63"/>
      <c r="G138" s="63"/>
      <c r="H138" s="122"/>
      <c r="I138" s="122"/>
      <c r="J138" s="122"/>
      <c r="N138" s="63"/>
      <c r="O138" s="63"/>
      <c r="P138" s="127"/>
      <c r="Q138" s="118"/>
      <c r="R138" s="118"/>
      <c r="S138" s="118"/>
      <c r="T138" s="118"/>
      <c r="U138" s="118"/>
    </row>
    <row r="139" spans="1:22" s="62" customFormat="1" x14ac:dyDescent="0.4">
      <c r="A139" s="63"/>
      <c r="B139" s="63"/>
      <c r="C139" s="63"/>
      <c r="E139" s="63"/>
      <c r="G139" s="63"/>
      <c r="H139" s="122"/>
      <c r="I139" s="122"/>
      <c r="J139" s="122"/>
      <c r="N139" s="63"/>
      <c r="O139" s="63"/>
      <c r="P139" s="127"/>
      <c r="Q139" s="118"/>
      <c r="R139" s="118"/>
      <c r="S139" s="118"/>
      <c r="T139" s="118"/>
      <c r="U139" s="118"/>
    </row>
    <row r="140" spans="1:22" s="62" customFormat="1" x14ac:dyDescent="0.4">
      <c r="A140" s="63"/>
      <c r="B140" s="63"/>
      <c r="C140" s="63"/>
      <c r="E140" s="63"/>
      <c r="G140" s="63"/>
      <c r="H140" s="122"/>
      <c r="I140" s="122"/>
      <c r="J140" s="122"/>
      <c r="N140" s="63"/>
      <c r="O140" s="63"/>
      <c r="P140" s="127"/>
    </row>
    <row r="141" spans="1:22" s="62" customFormat="1" x14ac:dyDescent="0.4">
      <c r="A141" s="63"/>
      <c r="B141" s="63"/>
      <c r="C141" s="63"/>
      <c r="E141" s="63"/>
      <c r="G141" s="63"/>
      <c r="H141" s="122"/>
      <c r="I141" s="122"/>
      <c r="J141" s="122"/>
      <c r="N141" s="63"/>
      <c r="O141" s="63"/>
      <c r="P141" s="127"/>
    </row>
    <row r="142" spans="1:22" s="62" customFormat="1" x14ac:dyDescent="0.4">
      <c r="A142" s="63"/>
      <c r="B142" s="63"/>
      <c r="C142" s="63"/>
      <c r="E142" s="63"/>
      <c r="G142" s="63"/>
      <c r="H142" s="122"/>
      <c r="I142" s="122"/>
      <c r="J142" s="122"/>
      <c r="N142" s="63"/>
      <c r="O142" s="63"/>
      <c r="P142" s="127"/>
    </row>
    <row r="143" spans="1:22" s="62" customFormat="1" x14ac:dyDescent="0.4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</row>
    <row r="144" spans="1:22" s="62" customFormat="1" x14ac:dyDescent="0.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</row>
    <row r="145" spans="1:16" s="62" customFormat="1" x14ac:dyDescent="0.4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</row>
    <row r="146" spans="1:16" s="62" customFormat="1" x14ac:dyDescent="0.4"/>
    <row r="147" spans="1:16" s="62" customFormat="1" x14ac:dyDescent="0.4"/>
    <row r="148" spans="1:16" s="62" customFormat="1" x14ac:dyDescent="0.4"/>
    <row r="149" spans="1:16" s="62" customFormat="1" x14ac:dyDescent="0.4"/>
    <row r="150" spans="1:16" s="62" customFormat="1" x14ac:dyDescent="0.4"/>
    <row r="151" spans="1:16" s="62" customFormat="1" x14ac:dyDescent="0.4"/>
    <row r="152" spans="1:16" s="62" customFormat="1" x14ac:dyDescent="0.4"/>
    <row r="153" spans="1:16" s="62" customFormat="1" x14ac:dyDescent="0.4"/>
    <row r="154" spans="1:16" s="62" customFormat="1" x14ac:dyDescent="0.4"/>
    <row r="155" spans="1:16" s="62" customFormat="1" x14ac:dyDescent="0.4"/>
    <row r="156" spans="1:16" s="62" customFormat="1" x14ac:dyDescent="0.4"/>
    <row r="157" spans="1:16" s="62" customFormat="1" x14ac:dyDescent="0.4"/>
    <row r="158" spans="1:16" s="62" customFormat="1" x14ac:dyDescent="0.4"/>
    <row r="159" spans="1:16" s="62" customFormat="1" x14ac:dyDescent="0.4"/>
    <row r="160" spans="1:16" s="62" customFormat="1" x14ac:dyDescent="0.4"/>
    <row r="161" s="62" customFormat="1" x14ac:dyDescent="0.4"/>
    <row r="162" s="62" customFormat="1" x14ac:dyDescent="0.4"/>
    <row r="163" s="62" customFormat="1" x14ac:dyDescent="0.4"/>
    <row r="164" s="62" customFormat="1" x14ac:dyDescent="0.4"/>
    <row r="165" s="62" customFormat="1" x14ac:dyDescent="0.4"/>
    <row r="166" s="62" customFormat="1" x14ac:dyDescent="0.4"/>
    <row r="167" s="62" customFormat="1" x14ac:dyDescent="0.4"/>
    <row r="168" s="62" customFormat="1" x14ac:dyDescent="0.4"/>
    <row r="169" s="62" customFormat="1" x14ac:dyDescent="0.4"/>
    <row r="170" s="62" customFormat="1" x14ac:dyDescent="0.4"/>
    <row r="171" s="62" customFormat="1" x14ac:dyDescent="0.4"/>
    <row r="172" s="62" customFormat="1" x14ac:dyDescent="0.4"/>
    <row r="173" s="62" customFormat="1" x14ac:dyDescent="0.4"/>
    <row r="174" s="62" customFormat="1" x14ac:dyDescent="0.4"/>
    <row r="175" s="62" customFormat="1" x14ac:dyDescent="0.4"/>
    <row r="176" s="62" customFormat="1" x14ac:dyDescent="0.4"/>
    <row r="177" s="62" customFormat="1" x14ac:dyDescent="0.4"/>
    <row r="178" s="62" customFormat="1" x14ac:dyDescent="0.4"/>
    <row r="179" s="62" customFormat="1" x14ac:dyDescent="0.4"/>
    <row r="180" s="62" customFormat="1" x14ac:dyDescent="0.4"/>
    <row r="181" s="62" customFormat="1" x14ac:dyDescent="0.4"/>
    <row r="182" s="62" customFormat="1" x14ac:dyDescent="0.4"/>
    <row r="183" s="62" customFormat="1" x14ac:dyDescent="0.4"/>
    <row r="184" s="62" customFormat="1" x14ac:dyDescent="0.4"/>
    <row r="185" s="62" customFormat="1" x14ac:dyDescent="0.4"/>
    <row r="186" s="62" customFormat="1" x14ac:dyDescent="0.4"/>
    <row r="187" s="62" customFormat="1" x14ac:dyDescent="0.4"/>
    <row r="188" s="62" customFormat="1" x14ac:dyDescent="0.4"/>
    <row r="189" s="62" customFormat="1" x14ac:dyDescent="0.4"/>
    <row r="190" s="62" customFormat="1" x14ac:dyDescent="0.4"/>
    <row r="191" s="62" customFormat="1" x14ac:dyDescent="0.4"/>
    <row r="192" s="62" customFormat="1" x14ac:dyDescent="0.4"/>
    <row r="193" s="62" customFormat="1" x14ac:dyDescent="0.4"/>
    <row r="194" s="62" customFormat="1" x14ac:dyDescent="0.4"/>
    <row r="195" s="62" customFormat="1" x14ac:dyDescent="0.4"/>
    <row r="196" s="62" customFormat="1" x14ac:dyDescent="0.4"/>
    <row r="197" s="62" customFormat="1" x14ac:dyDescent="0.4"/>
    <row r="198" s="62" customFormat="1" x14ac:dyDescent="0.4"/>
    <row r="199" s="62" customFormat="1" x14ac:dyDescent="0.4"/>
    <row r="200" s="62" customFormat="1" x14ac:dyDescent="0.4"/>
    <row r="201" s="62" customFormat="1" x14ac:dyDescent="0.4"/>
    <row r="202" s="62" customFormat="1" x14ac:dyDescent="0.4"/>
    <row r="203" s="62" customFormat="1" x14ac:dyDescent="0.4"/>
    <row r="204" s="62" customFormat="1" x14ac:dyDescent="0.4"/>
    <row r="205" s="62" customFormat="1" x14ac:dyDescent="0.4"/>
    <row r="206" s="62" customFormat="1" x14ac:dyDescent="0.4"/>
    <row r="207" s="62" customFormat="1" x14ac:dyDescent="0.4"/>
    <row r="208" s="62" customFormat="1" x14ac:dyDescent="0.4"/>
    <row r="209" s="62" customFormat="1" x14ac:dyDescent="0.4"/>
    <row r="210" s="62" customFormat="1" x14ac:dyDescent="0.4"/>
    <row r="211" s="62" customFormat="1" x14ac:dyDescent="0.4"/>
    <row r="212" s="62" customFormat="1" x14ac:dyDescent="0.4"/>
    <row r="213" s="62" customFormat="1" x14ac:dyDescent="0.4"/>
    <row r="214" s="62" customFormat="1" x14ac:dyDescent="0.4"/>
    <row r="215" s="62" customFormat="1" x14ac:dyDescent="0.4"/>
    <row r="216" s="62" customFormat="1" x14ac:dyDescent="0.4"/>
    <row r="217" s="62" customFormat="1" x14ac:dyDescent="0.4"/>
    <row r="218" s="62" customFormat="1" x14ac:dyDescent="0.4"/>
    <row r="219" s="62" customFormat="1" x14ac:dyDescent="0.4"/>
    <row r="220" s="62" customFormat="1" x14ac:dyDescent="0.4"/>
    <row r="221" s="62" customFormat="1" x14ac:dyDescent="0.4"/>
    <row r="222" s="62" customFormat="1" x14ac:dyDescent="0.4"/>
    <row r="223" s="62" customFormat="1" x14ac:dyDescent="0.4"/>
    <row r="224" s="62" customFormat="1" x14ac:dyDescent="0.4"/>
    <row r="225" s="62" customFormat="1" x14ac:dyDescent="0.4"/>
    <row r="226" s="62" customFormat="1" x14ac:dyDescent="0.4"/>
    <row r="227" s="62" customFormat="1" x14ac:dyDescent="0.4"/>
    <row r="228" s="62" customFormat="1" x14ac:dyDescent="0.4"/>
    <row r="229" s="62" customFormat="1" x14ac:dyDescent="0.4"/>
    <row r="230" s="62" customFormat="1" x14ac:dyDescent="0.4"/>
    <row r="231" s="62" customFormat="1" x14ac:dyDescent="0.4"/>
    <row r="232" s="62" customFormat="1" x14ac:dyDescent="0.4"/>
    <row r="233" s="62" customFormat="1" x14ac:dyDescent="0.4"/>
    <row r="234" s="62" customFormat="1" x14ac:dyDescent="0.4"/>
    <row r="235" s="62" customFormat="1" x14ac:dyDescent="0.4"/>
    <row r="236" s="62" customFormat="1" x14ac:dyDescent="0.4"/>
    <row r="237" s="62" customFormat="1" x14ac:dyDescent="0.4"/>
    <row r="238" s="62" customFormat="1" x14ac:dyDescent="0.4"/>
    <row r="239" s="62" customFormat="1" x14ac:dyDescent="0.4"/>
    <row r="240" s="62" customFormat="1" x14ac:dyDescent="0.4"/>
    <row r="241" s="62" customFormat="1" x14ac:dyDescent="0.4"/>
    <row r="242" s="62" customFormat="1" x14ac:dyDescent="0.4"/>
    <row r="243" s="62" customFormat="1" x14ac:dyDescent="0.4"/>
    <row r="244" s="62" customFormat="1" x14ac:dyDescent="0.4"/>
    <row r="245" s="62" customFormat="1" x14ac:dyDescent="0.4"/>
    <row r="246" s="62" customFormat="1" x14ac:dyDescent="0.4"/>
    <row r="247" s="62" customFormat="1" x14ac:dyDescent="0.4"/>
    <row r="248" s="62" customFormat="1" x14ac:dyDescent="0.4"/>
    <row r="249" s="62" customFormat="1" x14ac:dyDescent="0.4"/>
    <row r="250" s="62" customFormat="1" x14ac:dyDescent="0.4"/>
    <row r="251" s="62" customFormat="1" x14ac:dyDescent="0.4"/>
    <row r="252" s="62" customFormat="1" x14ac:dyDescent="0.4"/>
    <row r="253" s="62" customFormat="1" x14ac:dyDescent="0.4"/>
    <row r="254" s="62" customFormat="1" x14ac:dyDescent="0.4"/>
    <row r="255" s="62" customFormat="1" x14ac:dyDescent="0.4"/>
    <row r="256" s="62" customFormat="1" x14ac:dyDescent="0.4"/>
    <row r="257" spans="17:40" s="62" customFormat="1" x14ac:dyDescent="0.4"/>
    <row r="258" spans="17:40" s="62" customFormat="1" x14ac:dyDescent="0.4"/>
    <row r="259" spans="17:40" s="62" customFormat="1" x14ac:dyDescent="0.4"/>
    <row r="260" spans="17:40" s="62" customFormat="1" x14ac:dyDescent="0.4"/>
    <row r="261" spans="17:40" s="62" customFormat="1" x14ac:dyDescent="0.4"/>
    <row r="262" spans="17:40" s="62" customFormat="1" x14ac:dyDescent="0.4"/>
    <row r="263" spans="17:40" s="62" customFormat="1" x14ac:dyDescent="0.4"/>
    <row r="264" spans="17:40" s="62" customFormat="1" x14ac:dyDescent="0.4"/>
    <row r="265" spans="17:40" s="62" customFormat="1" x14ac:dyDescent="0.4"/>
    <row r="266" spans="17:40" x14ac:dyDescent="0.4"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</row>
    <row r="267" spans="17:40" x14ac:dyDescent="0.4"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</row>
    <row r="268" spans="17:40" x14ac:dyDescent="0.4"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</row>
    <row r="269" spans="17:40" x14ac:dyDescent="0.4"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</row>
    <row r="270" spans="17:40" x14ac:dyDescent="0.4"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</row>
    <row r="271" spans="17:40" x14ac:dyDescent="0.4"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</row>
    <row r="272" spans="17:40" x14ac:dyDescent="0.4"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</row>
    <row r="273" spans="17:40" x14ac:dyDescent="0.4"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</row>
    <row r="274" spans="17:40" x14ac:dyDescent="0.4"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</row>
    <row r="275" spans="17:40" x14ac:dyDescent="0.4"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</row>
    <row r="276" spans="17:40" x14ac:dyDescent="0.4"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</row>
    <row r="277" spans="17:40" x14ac:dyDescent="0.4"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</row>
    <row r="278" spans="17:40" x14ac:dyDescent="0.4"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</row>
    <row r="279" spans="17:40" x14ac:dyDescent="0.4"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</row>
    <row r="280" spans="17:40" x14ac:dyDescent="0.4"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</row>
    <row r="281" spans="17:40" x14ac:dyDescent="0.4"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</row>
    <row r="282" spans="17:40" x14ac:dyDescent="0.4"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</row>
    <row r="283" spans="17:40" x14ac:dyDescent="0.4"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</row>
    <row r="284" spans="17:40" x14ac:dyDescent="0.4"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</row>
    <row r="285" spans="17:40" x14ac:dyDescent="0.4"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</row>
    <row r="286" spans="17:40" x14ac:dyDescent="0.4"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</row>
    <row r="287" spans="17:40" x14ac:dyDescent="0.4"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</row>
    <row r="288" spans="17:40" x14ac:dyDescent="0.4"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</row>
    <row r="289" spans="17:40" x14ac:dyDescent="0.4"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</row>
    <row r="290" spans="17:40" x14ac:dyDescent="0.4"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</row>
    <row r="291" spans="17:40" x14ac:dyDescent="0.4"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</row>
    <row r="292" spans="17:40" x14ac:dyDescent="0.4"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</row>
    <row r="293" spans="17:40" x14ac:dyDescent="0.4"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</row>
    <row r="294" spans="17:40" x14ac:dyDescent="0.4"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</row>
    <row r="295" spans="17:40" x14ac:dyDescent="0.4"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</row>
    <row r="296" spans="17:40" x14ac:dyDescent="0.4"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</row>
    <row r="297" spans="17:40" x14ac:dyDescent="0.4"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</row>
    <row r="298" spans="17:40" x14ac:dyDescent="0.4"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</row>
    <row r="299" spans="17:40" x14ac:dyDescent="0.4"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</row>
    <row r="300" spans="17:40" x14ac:dyDescent="0.4"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</row>
    <row r="301" spans="17:40" x14ac:dyDescent="0.4"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</row>
    <row r="302" spans="17:40" x14ac:dyDescent="0.4"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</row>
    <row r="303" spans="17:40" x14ac:dyDescent="0.4"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</row>
    <row r="304" spans="17:40" x14ac:dyDescent="0.4"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</row>
    <row r="305" spans="17:40" x14ac:dyDescent="0.4"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</row>
    <row r="306" spans="17:40" x14ac:dyDescent="0.4"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</row>
    <row r="307" spans="17:40" x14ac:dyDescent="0.4"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</row>
    <row r="308" spans="17:40" x14ac:dyDescent="0.4"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</row>
    <row r="309" spans="17:40" x14ac:dyDescent="0.4"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</row>
    <row r="310" spans="17:40" x14ac:dyDescent="0.4"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</row>
    <row r="311" spans="17:40" x14ac:dyDescent="0.4"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</row>
    <row r="312" spans="17:40" x14ac:dyDescent="0.4"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</row>
    <row r="313" spans="17:40" x14ac:dyDescent="0.4"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</row>
    <row r="314" spans="17:40" x14ac:dyDescent="0.4"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</row>
    <row r="315" spans="17:40" x14ac:dyDescent="0.4"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</row>
    <row r="316" spans="17:40" x14ac:dyDescent="0.4"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</row>
    <row r="317" spans="17:40" x14ac:dyDescent="0.4"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</row>
    <row r="318" spans="17:40" x14ac:dyDescent="0.4"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</row>
    <row r="319" spans="17:40" x14ac:dyDescent="0.4"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</row>
    <row r="320" spans="17:40" x14ac:dyDescent="0.4"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</row>
    <row r="321" spans="17:40" x14ac:dyDescent="0.4"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</row>
    <row r="322" spans="17:40" x14ac:dyDescent="0.4"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</row>
    <row r="323" spans="17:40" x14ac:dyDescent="0.4"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</row>
    <row r="324" spans="17:40" x14ac:dyDescent="0.4"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</row>
    <row r="325" spans="17:40" x14ac:dyDescent="0.4"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</row>
    <row r="326" spans="17:40" x14ac:dyDescent="0.4"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</row>
    <row r="327" spans="17:40" x14ac:dyDescent="0.4"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</row>
    <row r="328" spans="17:40" x14ac:dyDescent="0.4"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</row>
    <row r="329" spans="17:40" x14ac:dyDescent="0.4"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</row>
    <row r="330" spans="17:40" x14ac:dyDescent="0.4"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</row>
    <row r="331" spans="17:40" x14ac:dyDescent="0.4"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</row>
    <row r="332" spans="17:40" x14ac:dyDescent="0.4"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</row>
    <row r="333" spans="17:40" x14ac:dyDescent="0.4"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</row>
    <row r="334" spans="17:40" x14ac:dyDescent="0.4"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</row>
    <row r="335" spans="17:40" x14ac:dyDescent="0.4"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</row>
    <row r="336" spans="17:40" x14ac:dyDescent="0.4"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</row>
    <row r="337" spans="17:40" x14ac:dyDescent="0.4"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</row>
    <row r="338" spans="17:40" x14ac:dyDescent="0.4"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</row>
    <row r="339" spans="17:40" x14ac:dyDescent="0.4"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</row>
    <row r="340" spans="17:40" x14ac:dyDescent="0.4"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</row>
    <row r="341" spans="17:40" x14ac:dyDescent="0.4"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</row>
    <row r="342" spans="17:40" x14ac:dyDescent="0.4"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</row>
    <row r="343" spans="17:40" x14ac:dyDescent="0.4"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</row>
    <row r="344" spans="17:40" x14ac:dyDescent="0.4"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</row>
    <row r="345" spans="17:40" x14ac:dyDescent="0.4"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</row>
    <row r="346" spans="17:40" x14ac:dyDescent="0.4"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</row>
    <row r="347" spans="17:40" x14ac:dyDescent="0.4"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</row>
    <row r="348" spans="17:40" x14ac:dyDescent="0.4"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</row>
    <row r="349" spans="17:40" x14ac:dyDescent="0.4"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</row>
    <row r="350" spans="17:40" x14ac:dyDescent="0.4"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</row>
    <row r="351" spans="17:40" x14ac:dyDescent="0.4"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</row>
    <row r="352" spans="17:40" x14ac:dyDescent="0.4"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</row>
    <row r="353" spans="17:40" x14ac:dyDescent="0.4"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</row>
    <row r="354" spans="17:40" x14ac:dyDescent="0.4"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</row>
    <row r="355" spans="17:40" x14ac:dyDescent="0.4"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</row>
    <row r="356" spans="17:40" x14ac:dyDescent="0.4"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</row>
    <row r="357" spans="17:40" x14ac:dyDescent="0.4"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</row>
    <row r="358" spans="17:40" x14ac:dyDescent="0.4"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</row>
    <row r="359" spans="17:40" x14ac:dyDescent="0.4"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</row>
    <row r="360" spans="17:40" x14ac:dyDescent="0.4"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</row>
    <row r="361" spans="17:40" x14ac:dyDescent="0.4"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</row>
    <row r="362" spans="17:40" x14ac:dyDescent="0.4"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</row>
    <row r="363" spans="17:40" x14ac:dyDescent="0.4"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</row>
    <row r="364" spans="17:40" x14ac:dyDescent="0.4"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</row>
    <row r="365" spans="17:40" x14ac:dyDescent="0.4"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</row>
    <row r="366" spans="17:40" x14ac:dyDescent="0.4"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</row>
    <row r="367" spans="17:40" x14ac:dyDescent="0.4"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</row>
    <row r="368" spans="17:40" x14ac:dyDescent="0.4"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</row>
    <row r="369" spans="17:40" x14ac:dyDescent="0.4"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</row>
    <row r="370" spans="17:40" x14ac:dyDescent="0.4"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</row>
    <row r="371" spans="17:40" x14ac:dyDescent="0.4"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</row>
    <row r="372" spans="17:40" x14ac:dyDescent="0.4"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</row>
    <row r="373" spans="17:40" x14ac:dyDescent="0.4"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</row>
    <row r="374" spans="17:40" x14ac:dyDescent="0.4"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</row>
    <row r="375" spans="17:40" x14ac:dyDescent="0.4"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</row>
    <row r="376" spans="17:40" x14ac:dyDescent="0.4"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</row>
    <row r="377" spans="17:40" x14ac:dyDescent="0.4"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</row>
    <row r="378" spans="17:40" x14ac:dyDescent="0.4"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</row>
    <row r="379" spans="17:40" x14ac:dyDescent="0.4"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</row>
    <row r="380" spans="17:40" x14ac:dyDescent="0.4"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</row>
    <row r="381" spans="17:40" x14ac:dyDescent="0.4"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</row>
    <row r="382" spans="17:40" x14ac:dyDescent="0.4"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</row>
    <row r="383" spans="17:40" x14ac:dyDescent="0.4"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</row>
    <row r="384" spans="17:40" x14ac:dyDescent="0.4"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</row>
    <row r="385" spans="17:40" x14ac:dyDescent="0.4"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</row>
    <row r="386" spans="17:40" x14ac:dyDescent="0.4"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</row>
    <row r="387" spans="17:40" x14ac:dyDescent="0.4"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</row>
    <row r="388" spans="17:40" x14ac:dyDescent="0.4"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</row>
    <row r="389" spans="17:40" x14ac:dyDescent="0.4"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</row>
    <row r="390" spans="17:40" x14ac:dyDescent="0.4"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</row>
    <row r="391" spans="17:40" x14ac:dyDescent="0.4"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</row>
    <row r="392" spans="17:40" x14ac:dyDescent="0.4"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</row>
    <row r="393" spans="17:40" x14ac:dyDescent="0.4"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</row>
    <row r="394" spans="17:40" x14ac:dyDescent="0.4"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</row>
    <row r="395" spans="17:40" x14ac:dyDescent="0.4"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</row>
    <row r="396" spans="17:40" x14ac:dyDescent="0.4"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</row>
    <row r="397" spans="17:40" x14ac:dyDescent="0.4"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</row>
    <row r="398" spans="17:40" x14ac:dyDescent="0.4"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</row>
    <row r="399" spans="17:40" x14ac:dyDescent="0.4"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</row>
    <row r="400" spans="17:40" x14ac:dyDescent="0.4"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</row>
    <row r="401" spans="17:40" x14ac:dyDescent="0.4"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</row>
    <row r="402" spans="17:40" x14ac:dyDescent="0.4"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</row>
    <row r="403" spans="17:40" x14ac:dyDescent="0.4"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</row>
    <row r="404" spans="17:40" x14ac:dyDescent="0.4"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</row>
    <row r="405" spans="17:40" x14ac:dyDescent="0.4"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</row>
    <row r="406" spans="17:40" x14ac:dyDescent="0.4"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</row>
    <row r="407" spans="17:40" x14ac:dyDescent="0.4"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</row>
    <row r="408" spans="17:40" x14ac:dyDescent="0.4"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</row>
    <row r="409" spans="17:40" x14ac:dyDescent="0.4"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</row>
    <row r="410" spans="17:40" x14ac:dyDescent="0.4"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</row>
    <row r="411" spans="17:40" x14ac:dyDescent="0.4"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</row>
    <row r="412" spans="17:40" x14ac:dyDescent="0.4"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</row>
    <row r="413" spans="17:40" x14ac:dyDescent="0.4"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</row>
    <row r="414" spans="17:40" x14ac:dyDescent="0.4"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</row>
    <row r="415" spans="17:40" x14ac:dyDescent="0.4"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</row>
    <row r="416" spans="17:40" x14ac:dyDescent="0.4"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</row>
    <row r="417" spans="17:40" x14ac:dyDescent="0.4"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</row>
    <row r="418" spans="17:40" x14ac:dyDescent="0.4"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</row>
    <row r="419" spans="17:40" x14ac:dyDescent="0.4"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</row>
    <row r="420" spans="17:40" x14ac:dyDescent="0.4"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</row>
    <row r="421" spans="17:40" x14ac:dyDescent="0.4"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</row>
    <row r="422" spans="17:40" x14ac:dyDescent="0.4"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</row>
    <row r="423" spans="17:40" x14ac:dyDescent="0.4"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</row>
    <row r="424" spans="17:40" x14ac:dyDescent="0.4"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</row>
    <row r="425" spans="17:40" x14ac:dyDescent="0.4"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</row>
    <row r="426" spans="17:40" x14ac:dyDescent="0.4"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</row>
    <row r="427" spans="17:40" x14ac:dyDescent="0.4"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</row>
    <row r="428" spans="17:40" x14ac:dyDescent="0.4"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</row>
    <row r="429" spans="17:40" x14ac:dyDescent="0.4"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</row>
    <row r="430" spans="17:40" x14ac:dyDescent="0.4"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</row>
    <row r="431" spans="17:40" x14ac:dyDescent="0.4"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</row>
    <row r="432" spans="17:40" x14ac:dyDescent="0.4"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</row>
    <row r="433" spans="17:40" x14ac:dyDescent="0.4"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</row>
    <row r="434" spans="17:40" x14ac:dyDescent="0.4"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</row>
    <row r="435" spans="17:40" x14ac:dyDescent="0.4"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</row>
    <row r="436" spans="17:40" x14ac:dyDescent="0.4"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</row>
    <row r="437" spans="17:40" x14ac:dyDescent="0.4"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</row>
    <row r="438" spans="17:40" x14ac:dyDescent="0.4"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</row>
    <row r="439" spans="17:40" x14ac:dyDescent="0.4"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</row>
    <row r="440" spans="17:40" x14ac:dyDescent="0.4"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</row>
    <row r="441" spans="17:40" x14ac:dyDescent="0.4"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</row>
    <row r="442" spans="17:40" x14ac:dyDescent="0.4"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</row>
    <row r="443" spans="17:40" x14ac:dyDescent="0.4"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</row>
    <row r="444" spans="17:40" x14ac:dyDescent="0.4"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</row>
    <row r="445" spans="17:40" x14ac:dyDescent="0.4"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</row>
    <row r="446" spans="17:40" x14ac:dyDescent="0.4"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</row>
    <row r="447" spans="17:40" x14ac:dyDescent="0.4"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</row>
    <row r="448" spans="17:40" x14ac:dyDescent="0.4"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</row>
    <row r="449" spans="17:40" x14ac:dyDescent="0.4"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</row>
    <row r="450" spans="17:40" x14ac:dyDescent="0.4"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</row>
    <row r="451" spans="17:40" x14ac:dyDescent="0.4"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</row>
    <row r="452" spans="17:40" x14ac:dyDescent="0.4"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</row>
    <row r="453" spans="17:40" x14ac:dyDescent="0.4"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</row>
    <row r="454" spans="17:40" x14ac:dyDescent="0.4"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</row>
    <row r="455" spans="17:40" x14ac:dyDescent="0.4"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</row>
    <row r="456" spans="17:40" x14ac:dyDescent="0.4"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</row>
    <row r="457" spans="17:40" x14ac:dyDescent="0.4"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</row>
    <row r="458" spans="17:40" x14ac:dyDescent="0.4"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</row>
    <row r="459" spans="17:40" x14ac:dyDescent="0.4"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</row>
    <row r="460" spans="17:40" x14ac:dyDescent="0.4"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</row>
    <row r="461" spans="17:40" x14ac:dyDescent="0.4"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</row>
    <row r="462" spans="17:40" x14ac:dyDescent="0.4"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</row>
    <row r="463" spans="17:40" x14ac:dyDescent="0.4"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</row>
    <row r="464" spans="17:40" x14ac:dyDescent="0.4"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</row>
    <row r="465" spans="17:40" x14ac:dyDescent="0.4"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</row>
    <row r="466" spans="17:40" x14ac:dyDescent="0.4"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</row>
    <row r="467" spans="17:40" x14ac:dyDescent="0.4"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</row>
    <row r="468" spans="17:40" x14ac:dyDescent="0.4"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</row>
    <row r="469" spans="17:40" x14ac:dyDescent="0.4"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</row>
    <row r="470" spans="17:40" x14ac:dyDescent="0.4"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</row>
    <row r="471" spans="17:40" x14ac:dyDescent="0.4"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</row>
    <row r="472" spans="17:40" x14ac:dyDescent="0.4"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</row>
    <row r="473" spans="17:40" x14ac:dyDescent="0.4"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</row>
    <row r="474" spans="17:40" x14ac:dyDescent="0.4"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</row>
    <row r="475" spans="17:40" x14ac:dyDescent="0.4"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</row>
    <row r="476" spans="17:40" x14ac:dyDescent="0.4"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</row>
    <row r="477" spans="17:40" x14ac:dyDescent="0.4"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</row>
    <row r="478" spans="17:40" x14ac:dyDescent="0.4"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</row>
    <row r="479" spans="17:40" x14ac:dyDescent="0.4"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</row>
    <row r="480" spans="17:40" x14ac:dyDescent="0.4"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</row>
    <row r="481" spans="17:40" x14ac:dyDescent="0.4"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</row>
    <row r="482" spans="17:40" x14ac:dyDescent="0.4"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</row>
    <row r="483" spans="17:40" x14ac:dyDescent="0.4"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</row>
    <row r="484" spans="17:40" x14ac:dyDescent="0.4"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</row>
    <row r="485" spans="17:40" x14ac:dyDescent="0.4"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</row>
    <row r="486" spans="17:40" x14ac:dyDescent="0.4"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</row>
    <row r="487" spans="17:40" x14ac:dyDescent="0.4"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</row>
    <row r="488" spans="17:40" x14ac:dyDescent="0.4"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</row>
    <row r="489" spans="17:40" x14ac:dyDescent="0.4"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</row>
    <row r="490" spans="17:40" x14ac:dyDescent="0.4"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</row>
    <row r="491" spans="17:40" x14ac:dyDescent="0.4"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</row>
    <row r="492" spans="17:40" x14ac:dyDescent="0.4"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</row>
    <row r="493" spans="17:40" x14ac:dyDescent="0.4"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</row>
    <row r="494" spans="17:40" x14ac:dyDescent="0.4"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</row>
    <row r="495" spans="17:40" x14ac:dyDescent="0.4"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</row>
    <row r="496" spans="17:40" x14ac:dyDescent="0.4"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</row>
    <row r="497" spans="17:40" x14ac:dyDescent="0.4"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</row>
    <row r="498" spans="17:40" x14ac:dyDescent="0.4"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</row>
    <row r="499" spans="17:40" x14ac:dyDescent="0.4"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</row>
    <row r="500" spans="17:40" x14ac:dyDescent="0.4"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</row>
    <row r="501" spans="17:40" x14ac:dyDescent="0.4"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</row>
    <row r="502" spans="17:40" x14ac:dyDescent="0.4"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</row>
    <row r="503" spans="17:40" x14ac:dyDescent="0.4"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</row>
    <row r="504" spans="17:40" x14ac:dyDescent="0.4"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</row>
    <row r="505" spans="17:40" x14ac:dyDescent="0.4"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</row>
    <row r="506" spans="17:40" x14ac:dyDescent="0.4"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</row>
    <row r="507" spans="17:40" x14ac:dyDescent="0.4"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</row>
    <row r="508" spans="17:40" x14ac:dyDescent="0.4"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</row>
    <row r="509" spans="17:40" x14ac:dyDescent="0.4"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</row>
    <row r="510" spans="17:40" x14ac:dyDescent="0.4"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</row>
    <row r="511" spans="17:40" x14ac:dyDescent="0.4"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</row>
    <row r="512" spans="17:40" x14ac:dyDescent="0.4"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</row>
    <row r="513" spans="17:40" x14ac:dyDescent="0.4"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</row>
    <row r="514" spans="17:40" x14ac:dyDescent="0.4"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</row>
    <row r="515" spans="17:40" x14ac:dyDescent="0.4"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</row>
    <row r="516" spans="17:40" x14ac:dyDescent="0.4"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</row>
    <row r="517" spans="17:40" x14ac:dyDescent="0.4"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</row>
    <row r="518" spans="17:40" x14ac:dyDescent="0.4"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</row>
    <row r="519" spans="17:40" x14ac:dyDescent="0.4"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</row>
    <row r="520" spans="17:40" x14ac:dyDescent="0.4"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</row>
    <row r="521" spans="17:40" x14ac:dyDescent="0.4"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</row>
    <row r="522" spans="17:40" x14ac:dyDescent="0.4"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</row>
    <row r="523" spans="17:40" x14ac:dyDescent="0.4"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</row>
    <row r="524" spans="17:40" x14ac:dyDescent="0.4"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</row>
    <row r="525" spans="17:40" x14ac:dyDescent="0.4"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</row>
    <row r="526" spans="17:40" x14ac:dyDescent="0.4"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</row>
    <row r="527" spans="17:40" x14ac:dyDescent="0.4"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</row>
    <row r="528" spans="17:40" x14ac:dyDescent="0.4"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</row>
    <row r="529" spans="17:40" x14ac:dyDescent="0.4"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</row>
    <row r="530" spans="17:40" x14ac:dyDescent="0.4"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</row>
    <row r="531" spans="17:40" x14ac:dyDescent="0.4"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</row>
    <row r="532" spans="17:40" x14ac:dyDescent="0.4"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</row>
    <row r="533" spans="17:40" x14ac:dyDescent="0.4"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</row>
    <row r="534" spans="17:40" x14ac:dyDescent="0.4"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</row>
    <row r="535" spans="17:40" x14ac:dyDescent="0.4"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</row>
    <row r="536" spans="17:40" x14ac:dyDescent="0.4"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</row>
    <row r="537" spans="17:40" x14ac:dyDescent="0.4"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</row>
    <row r="538" spans="17:40" x14ac:dyDescent="0.4"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</row>
    <row r="539" spans="17:40" x14ac:dyDescent="0.4"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</row>
    <row r="540" spans="17:40" x14ac:dyDescent="0.4"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</row>
    <row r="541" spans="17:40" x14ac:dyDescent="0.4"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</row>
    <row r="542" spans="17:40" x14ac:dyDescent="0.4"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</row>
    <row r="543" spans="17:40" x14ac:dyDescent="0.4"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</row>
    <row r="544" spans="17:40" x14ac:dyDescent="0.4"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</row>
    <row r="545" spans="17:40" x14ac:dyDescent="0.4"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</row>
    <row r="546" spans="17:40" x14ac:dyDescent="0.4"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</row>
    <row r="547" spans="17:40" x14ac:dyDescent="0.4"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</row>
    <row r="548" spans="17:40" x14ac:dyDescent="0.4"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</row>
    <row r="549" spans="17:40" x14ac:dyDescent="0.4"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</row>
    <row r="550" spans="17:40" x14ac:dyDescent="0.4"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</row>
    <row r="551" spans="17:40" x14ac:dyDescent="0.4"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</row>
    <row r="552" spans="17:40" x14ac:dyDescent="0.4"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</row>
    <row r="553" spans="17:40" x14ac:dyDescent="0.4"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</row>
    <row r="554" spans="17:40" x14ac:dyDescent="0.4"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</row>
    <row r="555" spans="17:40" x14ac:dyDescent="0.4"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</row>
    <row r="556" spans="17:40" x14ac:dyDescent="0.4"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</row>
    <row r="557" spans="17:40" x14ac:dyDescent="0.4"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</row>
    <row r="558" spans="17:40" x14ac:dyDescent="0.4"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</row>
    <row r="559" spans="17:40" x14ac:dyDescent="0.4"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</row>
    <row r="560" spans="17:40" x14ac:dyDescent="0.4"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</row>
    <row r="561" spans="17:40" x14ac:dyDescent="0.4"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</row>
    <row r="562" spans="17:40" x14ac:dyDescent="0.4"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</row>
    <row r="563" spans="17:40" x14ac:dyDescent="0.4"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</row>
    <row r="564" spans="17:40" x14ac:dyDescent="0.4"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</row>
    <row r="565" spans="17:40" x14ac:dyDescent="0.4"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</row>
    <row r="566" spans="17:40" x14ac:dyDescent="0.4"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</row>
    <row r="567" spans="17:40" x14ac:dyDescent="0.4"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</row>
    <row r="568" spans="17:40" x14ac:dyDescent="0.4"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</row>
    <row r="569" spans="17:40" x14ac:dyDescent="0.4"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</row>
    <row r="570" spans="17:40" x14ac:dyDescent="0.4"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</row>
    <row r="571" spans="17:40" x14ac:dyDescent="0.4"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</row>
    <row r="572" spans="17:40" x14ac:dyDescent="0.4"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</row>
    <row r="573" spans="17:40" x14ac:dyDescent="0.4"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</row>
    <row r="574" spans="17:40" x14ac:dyDescent="0.4"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</row>
    <row r="575" spans="17:40" x14ac:dyDescent="0.4"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</row>
    <row r="576" spans="17:40" x14ac:dyDescent="0.4"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</row>
    <row r="577" spans="17:40" x14ac:dyDescent="0.4"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</row>
    <row r="578" spans="17:40" x14ac:dyDescent="0.4"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</row>
    <row r="579" spans="17:40" x14ac:dyDescent="0.4"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</row>
    <row r="580" spans="17:40" x14ac:dyDescent="0.4"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</row>
    <row r="581" spans="17:40" x14ac:dyDescent="0.4"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</row>
    <row r="582" spans="17:40" x14ac:dyDescent="0.4"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</row>
    <row r="583" spans="17:40" x14ac:dyDescent="0.4"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</row>
    <row r="584" spans="17:40" x14ac:dyDescent="0.4"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</row>
    <row r="585" spans="17:40" x14ac:dyDescent="0.4"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</row>
    <row r="586" spans="17:40" x14ac:dyDescent="0.4"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</row>
    <row r="587" spans="17:40" x14ac:dyDescent="0.4"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</row>
    <row r="588" spans="17:40" x14ac:dyDescent="0.4"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</row>
    <row r="589" spans="17:40" x14ac:dyDescent="0.4"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</row>
    <row r="590" spans="17:40" x14ac:dyDescent="0.4"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</row>
    <row r="591" spans="17:40" x14ac:dyDescent="0.4"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</row>
    <row r="592" spans="17:40" x14ac:dyDescent="0.4"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</row>
    <row r="593" spans="17:40" x14ac:dyDescent="0.4"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</row>
    <row r="594" spans="17:40" x14ac:dyDescent="0.4"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</row>
    <row r="595" spans="17:40" x14ac:dyDescent="0.4"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</row>
    <row r="596" spans="17:40" x14ac:dyDescent="0.4"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</row>
    <row r="597" spans="17:40" x14ac:dyDescent="0.4"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</row>
    <row r="598" spans="17:40" x14ac:dyDescent="0.4"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</row>
    <row r="599" spans="17:40" x14ac:dyDescent="0.4"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</row>
    <row r="600" spans="17:40" x14ac:dyDescent="0.4"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</row>
    <row r="601" spans="17:40" x14ac:dyDescent="0.4"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</row>
    <row r="602" spans="17:40" x14ac:dyDescent="0.4"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</row>
    <row r="603" spans="17:40" x14ac:dyDescent="0.4"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</row>
    <row r="604" spans="17:40" x14ac:dyDescent="0.4"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</row>
    <row r="605" spans="17:40" x14ac:dyDescent="0.4"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</row>
    <row r="606" spans="17:40" x14ac:dyDescent="0.4"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</row>
    <row r="607" spans="17:40" x14ac:dyDescent="0.4"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</row>
    <row r="608" spans="17:40" x14ac:dyDescent="0.4"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</row>
    <row r="609" spans="17:40" x14ac:dyDescent="0.4"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</row>
    <row r="610" spans="17:40" x14ac:dyDescent="0.4"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</row>
    <row r="611" spans="17:40" x14ac:dyDescent="0.4"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</row>
    <row r="612" spans="17:40" x14ac:dyDescent="0.4"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</row>
    <row r="613" spans="17:40" x14ac:dyDescent="0.4"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</row>
    <row r="614" spans="17:40" x14ac:dyDescent="0.4"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</row>
    <row r="615" spans="17:40" x14ac:dyDescent="0.4"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</row>
    <row r="616" spans="17:40" x14ac:dyDescent="0.4"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</row>
    <row r="617" spans="17:40" x14ac:dyDescent="0.4"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</row>
    <row r="618" spans="17:40" x14ac:dyDescent="0.4"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</row>
    <row r="619" spans="17:40" x14ac:dyDescent="0.4"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</row>
    <row r="620" spans="17:40" x14ac:dyDescent="0.4"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</row>
    <row r="621" spans="17:40" x14ac:dyDescent="0.4"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</row>
    <row r="622" spans="17:40" x14ac:dyDescent="0.4"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</row>
    <row r="623" spans="17:40" x14ac:dyDescent="0.4"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</row>
    <row r="624" spans="17:40" x14ac:dyDescent="0.4"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</row>
    <row r="625" spans="17:40" x14ac:dyDescent="0.4"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</row>
    <row r="626" spans="17:40" x14ac:dyDescent="0.4"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</row>
    <row r="627" spans="17:40" x14ac:dyDescent="0.4"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</row>
    <row r="628" spans="17:40" x14ac:dyDescent="0.4"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</row>
    <row r="629" spans="17:40" x14ac:dyDescent="0.4"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</row>
    <row r="630" spans="17:40" x14ac:dyDescent="0.4"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</row>
    <row r="631" spans="17:40" x14ac:dyDescent="0.4"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</row>
    <row r="632" spans="17:40" x14ac:dyDescent="0.4"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</row>
    <row r="633" spans="17:40" x14ac:dyDescent="0.4"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</row>
    <row r="634" spans="17:40" x14ac:dyDescent="0.4"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</row>
    <row r="635" spans="17:40" x14ac:dyDescent="0.4"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</row>
    <row r="636" spans="17:40" x14ac:dyDescent="0.4"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</row>
    <row r="637" spans="17:40" x14ac:dyDescent="0.4"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</row>
    <row r="638" spans="17:40" x14ac:dyDescent="0.4"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</row>
    <row r="639" spans="17:40" x14ac:dyDescent="0.4"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</row>
    <row r="640" spans="17:40" x14ac:dyDescent="0.4"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</row>
    <row r="641" spans="17:40" x14ac:dyDescent="0.4"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</row>
    <row r="642" spans="17:40" x14ac:dyDescent="0.4"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</row>
    <row r="643" spans="17:40" x14ac:dyDescent="0.4"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</row>
    <row r="644" spans="17:40" x14ac:dyDescent="0.4"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</row>
    <row r="645" spans="17:40" x14ac:dyDescent="0.4"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</row>
    <row r="646" spans="17:40" x14ac:dyDescent="0.4"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</row>
    <row r="647" spans="17:40" x14ac:dyDescent="0.4"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</row>
    <row r="648" spans="17:40" x14ac:dyDescent="0.4"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</row>
    <row r="649" spans="17:40" x14ac:dyDescent="0.4"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</row>
    <row r="650" spans="17:40" x14ac:dyDescent="0.4"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</row>
    <row r="651" spans="17:40" x14ac:dyDescent="0.4"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</row>
    <row r="652" spans="17:40" x14ac:dyDescent="0.4"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</row>
    <row r="653" spans="17:40" x14ac:dyDescent="0.4"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</row>
    <row r="654" spans="17:40" x14ac:dyDescent="0.4"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</row>
    <row r="655" spans="17:40" x14ac:dyDescent="0.4"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</row>
    <row r="656" spans="17:40" x14ac:dyDescent="0.4"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</row>
    <row r="657" spans="17:40" x14ac:dyDescent="0.4"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</row>
    <row r="658" spans="17:40" x14ac:dyDescent="0.4"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</row>
    <row r="659" spans="17:40" x14ac:dyDescent="0.4"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</row>
    <row r="660" spans="17:40" x14ac:dyDescent="0.4"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</row>
    <row r="661" spans="17:40" x14ac:dyDescent="0.4"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</row>
    <row r="662" spans="17:40" x14ac:dyDescent="0.4"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</row>
    <row r="663" spans="17:40" x14ac:dyDescent="0.4"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</row>
    <row r="664" spans="17:40" x14ac:dyDescent="0.4"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</row>
    <row r="665" spans="17:40" x14ac:dyDescent="0.4"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</row>
    <row r="666" spans="17:40" x14ac:dyDescent="0.4"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</row>
    <row r="667" spans="17:40" x14ac:dyDescent="0.4"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</row>
    <row r="668" spans="17:40" x14ac:dyDescent="0.4"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</row>
    <row r="669" spans="17:40" x14ac:dyDescent="0.4"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</row>
    <row r="670" spans="17:40" x14ac:dyDescent="0.4"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</row>
    <row r="671" spans="17:40" x14ac:dyDescent="0.4"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</row>
    <row r="672" spans="17:40" x14ac:dyDescent="0.4"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</row>
    <row r="673" spans="17:40" x14ac:dyDescent="0.4"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</row>
    <row r="674" spans="17:40" x14ac:dyDescent="0.4"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</row>
    <row r="675" spans="17:40" x14ac:dyDescent="0.4"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</row>
    <row r="676" spans="17:40" x14ac:dyDescent="0.4"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</row>
    <row r="677" spans="17:40" x14ac:dyDescent="0.4"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</row>
    <row r="678" spans="17:40" x14ac:dyDescent="0.4"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</row>
    <row r="679" spans="17:40" x14ac:dyDescent="0.4"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</row>
    <row r="680" spans="17:40" x14ac:dyDescent="0.4"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</row>
    <row r="681" spans="17:40" x14ac:dyDescent="0.4"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</row>
    <row r="682" spans="17:40" x14ac:dyDescent="0.4"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</row>
    <row r="683" spans="17:40" x14ac:dyDescent="0.4"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</row>
    <row r="684" spans="17:40" x14ac:dyDescent="0.4"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</row>
    <row r="685" spans="17:40" x14ac:dyDescent="0.4"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</row>
    <row r="686" spans="17:40" x14ac:dyDescent="0.4"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</row>
    <row r="687" spans="17:40" x14ac:dyDescent="0.4"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</row>
    <row r="688" spans="17:40" x14ac:dyDescent="0.4"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</row>
    <row r="689" spans="17:40" x14ac:dyDescent="0.4"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</row>
    <row r="690" spans="17:40" x14ac:dyDescent="0.4"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</row>
    <row r="691" spans="17:40" x14ac:dyDescent="0.4"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</row>
    <row r="692" spans="17:40" x14ac:dyDescent="0.4"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</row>
    <row r="693" spans="17:40" x14ac:dyDescent="0.4"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</row>
    <row r="694" spans="17:40" x14ac:dyDescent="0.4"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</row>
    <row r="695" spans="17:40" x14ac:dyDescent="0.4"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</row>
    <row r="696" spans="17:40" x14ac:dyDescent="0.4"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</row>
    <row r="697" spans="17:40" x14ac:dyDescent="0.4"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</row>
    <row r="698" spans="17:40" x14ac:dyDescent="0.4"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</row>
    <row r="699" spans="17:40" x14ac:dyDescent="0.4"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</row>
    <row r="700" spans="17:40" x14ac:dyDescent="0.4"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</row>
    <row r="701" spans="17:40" x14ac:dyDescent="0.4"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</row>
    <row r="702" spans="17:40" x14ac:dyDescent="0.4"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</row>
    <row r="703" spans="17:40" x14ac:dyDescent="0.4"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</row>
    <row r="704" spans="17:40" x14ac:dyDescent="0.4"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</row>
    <row r="705" spans="17:40" x14ac:dyDescent="0.4"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</row>
    <row r="706" spans="17:40" x14ac:dyDescent="0.4"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</row>
    <row r="707" spans="17:40" x14ac:dyDescent="0.4"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</row>
    <row r="708" spans="17:40" x14ac:dyDescent="0.4"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</row>
    <row r="709" spans="17:40" x14ac:dyDescent="0.4"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</row>
    <row r="710" spans="17:40" x14ac:dyDescent="0.4"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</row>
    <row r="711" spans="17:40" x14ac:dyDescent="0.4"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</row>
    <row r="712" spans="17:40" x14ac:dyDescent="0.4"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</row>
    <row r="713" spans="17:40" x14ac:dyDescent="0.4"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</row>
    <row r="714" spans="17:40" x14ac:dyDescent="0.4"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</row>
    <row r="715" spans="17:40" x14ac:dyDescent="0.4"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</row>
    <row r="716" spans="17:40" x14ac:dyDescent="0.4"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</row>
    <row r="717" spans="17:40" x14ac:dyDescent="0.4"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</row>
    <row r="718" spans="17:40" x14ac:dyDescent="0.4"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</row>
    <row r="719" spans="17:40" x14ac:dyDescent="0.4"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</row>
    <row r="720" spans="17:40" x14ac:dyDescent="0.4"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</row>
    <row r="721" spans="17:40" x14ac:dyDescent="0.4"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</row>
    <row r="722" spans="17:40" x14ac:dyDescent="0.4"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</row>
    <row r="723" spans="17:40" x14ac:dyDescent="0.4"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</row>
    <row r="724" spans="17:40" x14ac:dyDescent="0.4"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</row>
    <row r="725" spans="17:40" x14ac:dyDescent="0.4"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</row>
    <row r="726" spans="17:40" x14ac:dyDescent="0.4"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</row>
    <row r="727" spans="17:40" x14ac:dyDescent="0.4"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</row>
    <row r="728" spans="17:40" x14ac:dyDescent="0.4"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</row>
    <row r="729" spans="17:40" x14ac:dyDescent="0.4"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</row>
    <row r="730" spans="17:40" x14ac:dyDescent="0.4"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</row>
    <row r="731" spans="17:40" x14ac:dyDescent="0.4"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</row>
    <row r="732" spans="17:40" x14ac:dyDescent="0.4"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</row>
    <row r="733" spans="17:40" x14ac:dyDescent="0.4"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</row>
    <row r="734" spans="17:40" x14ac:dyDescent="0.4"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</row>
    <row r="735" spans="17:40" x14ac:dyDescent="0.4"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</row>
    <row r="736" spans="17:40" x14ac:dyDescent="0.4"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</row>
    <row r="737" spans="17:40" x14ac:dyDescent="0.4"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</row>
    <row r="738" spans="17:40" x14ac:dyDescent="0.4"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</row>
    <row r="739" spans="17:40" x14ac:dyDescent="0.4"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</row>
    <row r="740" spans="17:40" x14ac:dyDescent="0.4"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</row>
    <row r="741" spans="17:40" x14ac:dyDescent="0.4"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</row>
    <row r="742" spans="17:40" x14ac:dyDescent="0.4"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</row>
    <row r="743" spans="17:40" x14ac:dyDescent="0.4"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</row>
    <row r="744" spans="17:40" x14ac:dyDescent="0.4"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</row>
    <row r="745" spans="17:40" x14ac:dyDescent="0.4"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</row>
    <row r="746" spans="17:40" x14ac:dyDescent="0.4"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</row>
    <row r="747" spans="17:40" x14ac:dyDescent="0.4"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</row>
    <row r="748" spans="17:40" x14ac:dyDescent="0.4"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</row>
    <row r="749" spans="17:40" x14ac:dyDescent="0.4"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</row>
    <row r="750" spans="17:40" x14ac:dyDescent="0.4"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</row>
    <row r="751" spans="17:40" x14ac:dyDescent="0.4"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</row>
    <row r="752" spans="17:40" x14ac:dyDescent="0.4"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</row>
    <row r="753" spans="17:40" x14ac:dyDescent="0.4"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</row>
    <row r="754" spans="17:40" x14ac:dyDescent="0.4"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</row>
    <row r="755" spans="17:40" x14ac:dyDescent="0.4"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</row>
    <row r="756" spans="17:40" x14ac:dyDescent="0.4"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</row>
    <row r="757" spans="17:40" x14ac:dyDescent="0.4"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</row>
    <row r="758" spans="17:40" x14ac:dyDescent="0.4"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</row>
    <row r="759" spans="17:40" x14ac:dyDescent="0.4"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</row>
    <row r="760" spans="17:40" x14ac:dyDescent="0.4"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</row>
    <row r="761" spans="17:40" x14ac:dyDescent="0.4"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</row>
    <row r="762" spans="17:40" x14ac:dyDescent="0.4"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</row>
    <row r="763" spans="17:40" x14ac:dyDescent="0.4"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</row>
    <row r="764" spans="17:40" x14ac:dyDescent="0.4"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</row>
    <row r="765" spans="17:40" x14ac:dyDescent="0.4"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</row>
    <row r="766" spans="17:40" x14ac:dyDescent="0.4"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</row>
    <row r="767" spans="17:40" x14ac:dyDescent="0.4"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</row>
    <row r="768" spans="17:40" x14ac:dyDescent="0.4"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</row>
    <row r="769" spans="17:40" x14ac:dyDescent="0.4"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</row>
    <row r="770" spans="17:40" x14ac:dyDescent="0.4"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</row>
    <row r="771" spans="17:40" x14ac:dyDescent="0.4"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</row>
    <row r="772" spans="17:40" x14ac:dyDescent="0.4"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</row>
    <row r="773" spans="17:40" x14ac:dyDescent="0.4"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</row>
    <row r="774" spans="17:40" x14ac:dyDescent="0.4"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</row>
    <row r="775" spans="17:40" x14ac:dyDescent="0.4"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</row>
    <row r="776" spans="17:40" x14ac:dyDescent="0.4"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</row>
    <row r="777" spans="17:40" x14ac:dyDescent="0.4"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</row>
    <row r="778" spans="17:40" x14ac:dyDescent="0.4"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</row>
    <row r="779" spans="17:40" x14ac:dyDescent="0.4"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</row>
    <row r="780" spans="17:40" x14ac:dyDescent="0.4"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</row>
    <row r="781" spans="17:40" x14ac:dyDescent="0.4"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</row>
    <row r="782" spans="17:40" x14ac:dyDescent="0.4"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</row>
    <row r="783" spans="17:40" x14ac:dyDescent="0.4"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</row>
    <row r="784" spans="17:40" x14ac:dyDescent="0.4"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</row>
    <row r="785" spans="17:40" x14ac:dyDescent="0.4"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</row>
    <row r="786" spans="17:40" x14ac:dyDescent="0.4"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</row>
    <row r="787" spans="17:40" x14ac:dyDescent="0.4"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</row>
    <row r="788" spans="17:40" x14ac:dyDescent="0.4"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</row>
    <row r="789" spans="17:40" x14ac:dyDescent="0.4"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</row>
    <row r="790" spans="17:40" x14ac:dyDescent="0.4"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</row>
    <row r="791" spans="17:40" x14ac:dyDescent="0.4"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</row>
    <row r="792" spans="17:40" x14ac:dyDescent="0.4"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</row>
    <row r="793" spans="17:40" x14ac:dyDescent="0.4"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</row>
    <row r="794" spans="17:40" x14ac:dyDescent="0.4"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</row>
    <row r="795" spans="17:40" x14ac:dyDescent="0.4"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</row>
    <row r="796" spans="17:40" x14ac:dyDescent="0.4"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</row>
    <row r="797" spans="17:40" x14ac:dyDescent="0.4"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</row>
    <row r="798" spans="17:40" x14ac:dyDescent="0.4"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</row>
    <row r="799" spans="17:40" x14ac:dyDescent="0.4"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</row>
    <row r="800" spans="17:40" x14ac:dyDescent="0.4"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</row>
    <row r="801" spans="17:40" x14ac:dyDescent="0.4"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</row>
    <row r="802" spans="17:40" x14ac:dyDescent="0.4"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</row>
    <row r="803" spans="17:40" x14ac:dyDescent="0.4"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</row>
    <row r="804" spans="17:40" x14ac:dyDescent="0.4"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</row>
    <row r="805" spans="17:40" x14ac:dyDescent="0.4"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</row>
    <row r="806" spans="17:40" x14ac:dyDescent="0.4"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</row>
    <row r="807" spans="17:40" x14ac:dyDescent="0.4"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</row>
    <row r="808" spans="17:40" x14ac:dyDescent="0.4"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</row>
    <row r="809" spans="17:40" x14ac:dyDescent="0.4"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</row>
    <row r="810" spans="17:40" x14ac:dyDescent="0.4"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</row>
    <row r="811" spans="17:40" x14ac:dyDescent="0.4"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</row>
    <row r="812" spans="17:40" x14ac:dyDescent="0.4"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</row>
    <row r="813" spans="17:40" x14ac:dyDescent="0.4"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</row>
    <row r="814" spans="17:40" x14ac:dyDescent="0.4"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</row>
    <row r="815" spans="17:40" x14ac:dyDescent="0.4"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</row>
    <row r="816" spans="17:40" x14ac:dyDescent="0.4"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</row>
    <row r="817" spans="17:40" x14ac:dyDescent="0.4"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</row>
    <row r="818" spans="17:40" x14ac:dyDescent="0.4"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</row>
    <row r="819" spans="17:40" x14ac:dyDescent="0.4"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</row>
    <row r="820" spans="17:40" x14ac:dyDescent="0.4"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</row>
    <row r="821" spans="17:40" x14ac:dyDescent="0.4"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</row>
    <row r="822" spans="17:40" x14ac:dyDescent="0.4"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</row>
    <row r="823" spans="17:40" x14ac:dyDescent="0.4"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</row>
    <row r="824" spans="17:40" x14ac:dyDescent="0.4"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</row>
    <row r="825" spans="17:40" x14ac:dyDescent="0.4"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</row>
    <row r="826" spans="17:40" x14ac:dyDescent="0.4"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</row>
    <row r="827" spans="17:40" x14ac:dyDescent="0.4"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</row>
    <row r="828" spans="17:40" x14ac:dyDescent="0.4"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</row>
    <row r="829" spans="17:40" x14ac:dyDescent="0.4"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</row>
    <row r="830" spans="17:40" x14ac:dyDescent="0.4"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</row>
    <row r="831" spans="17:40" x14ac:dyDescent="0.4"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</row>
    <row r="832" spans="17:40" x14ac:dyDescent="0.4"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</row>
    <row r="833" spans="17:40" x14ac:dyDescent="0.4"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</row>
    <row r="834" spans="17:40" x14ac:dyDescent="0.4"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</row>
    <row r="835" spans="17:40" x14ac:dyDescent="0.4"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</row>
    <row r="836" spans="17:40" x14ac:dyDescent="0.4"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</row>
    <row r="837" spans="17:40" x14ac:dyDescent="0.4"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</row>
    <row r="838" spans="17:40" x14ac:dyDescent="0.4"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</row>
    <row r="839" spans="17:40" x14ac:dyDescent="0.4"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</row>
    <row r="840" spans="17:40" x14ac:dyDescent="0.4"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</row>
    <row r="841" spans="17:40" x14ac:dyDescent="0.4"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</row>
    <row r="842" spans="17:40" x14ac:dyDescent="0.4"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</row>
    <row r="843" spans="17:40" x14ac:dyDescent="0.4"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</row>
    <row r="844" spans="17:40" x14ac:dyDescent="0.4"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</row>
    <row r="845" spans="17:40" x14ac:dyDescent="0.4"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</row>
    <row r="846" spans="17:40" x14ac:dyDescent="0.4"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</row>
    <row r="847" spans="17:40" x14ac:dyDescent="0.4"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</row>
    <row r="848" spans="17:40" x14ac:dyDescent="0.4"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</row>
    <row r="849" spans="17:40" x14ac:dyDescent="0.4"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</row>
    <row r="850" spans="17:40" x14ac:dyDescent="0.4"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</row>
    <row r="851" spans="17:40" x14ac:dyDescent="0.4"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</row>
    <row r="852" spans="17:40" x14ac:dyDescent="0.4"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</row>
    <row r="853" spans="17:40" x14ac:dyDescent="0.4"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</row>
    <row r="854" spans="17:40" x14ac:dyDescent="0.4"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</row>
    <row r="855" spans="17:40" x14ac:dyDescent="0.4"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</row>
    <row r="856" spans="17:40" x14ac:dyDescent="0.4"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</row>
    <row r="857" spans="17:40" x14ac:dyDescent="0.4"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</row>
    <row r="858" spans="17:40" x14ac:dyDescent="0.4"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</row>
    <row r="859" spans="17:40" x14ac:dyDescent="0.4"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</row>
    <row r="860" spans="17:40" x14ac:dyDescent="0.4"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</row>
    <row r="861" spans="17:40" x14ac:dyDescent="0.4"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</row>
    <row r="862" spans="17:40" x14ac:dyDescent="0.4"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</row>
    <row r="863" spans="17:40" x14ac:dyDescent="0.4"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</row>
    <row r="864" spans="17:40" x14ac:dyDescent="0.4"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</row>
    <row r="865" spans="17:40" x14ac:dyDescent="0.4"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</row>
    <row r="866" spans="17:40" x14ac:dyDescent="0.4"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</row>
    <row r="867" spans="17:40" x14ac:dyDescent="0.4"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</row>
    <row r="868" spans="17:40" x14ac:dyDescent="0.4"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</row>
    <row r="869" spans="17:40" x14ac:dyDescent="0.4"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</row>
    <row r="870" spans="17:40" x14ac:dyDescent="0.4"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</row>
    <row r="871" spans="17:40" x14ac:dyDescent="0.4"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</row>
    <row r="872" spans="17:40" x14ac:dyDescent="0.4"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</row>
    <row r="873" spans="17:40" x14ac:dyDescent="0.4"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</row>
    <row r="874" spans="17:40" x14ac:dyDescent="0.4"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</row>
    <row r="875" spans="17:40" x14ac:dyDescent="0.4"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</row>
    <row r="876" spans="17:40" x14ac:dyDescent="0.4"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</row>
    <row r="877" spans="17:40" x14ac:dyDescent="0.4"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</row>
    <row r="878" spans="17:40" x14ac:dyDescent="0.4"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</row>
    <row r="879" spans="17:40" x14ac:dyDescent="0.4"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</row>
    <row r="880" spans="17:40" x14ac:dyDescent="0.4"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</row>
    <row r="881" spans="17:40" x14ac:dyDescent="0.4"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</row>
    <row r="882" spans="17:40" x14ac:dyDescent="0.4"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</row>
    <row r="883" spans="17:40" x14ac:dyDescent="0.4"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</row>
    <row r="884" spans="17:40" x14ac:dyDescent="0.4"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</row>
    <row r="885" spans="17:40" x14ac:dyDescent="0.4"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</row>
    <row r="886" spans="17:40" x14ac:dyDescent="0.4"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</row>
    <row r="887" spans="17:40" x14ac:dyDescent="0.4"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</row>
    <row r="888" spans="17:40" x14ac:dyDescent="0.4"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</row>
    <row r="889" spans="17:40" x14ac:dyDescent="0.4"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</row>
    <row r="890" spans="17:40" x14ac:dyDescent="0.4"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</row>
    <row r="891" spans="17:40" x14ac:dyDescent="0.4"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</row>
    <row r="892" spans="17:40" x14ac:dyDescent="0.4"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</row>
    <row r="893" spans="17:40" x14ac:dyDescent="0.4"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</row>
    <row r="894" spans="17:40" x14ac:dyDescent="0.4"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</row>
    <row r="895" spans="17:40" x14ac:dyDescent="0.4"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</row>
    <row r="896" spans="17:40" x14ac:dyDescent="0.4"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</row>
    <row r="897" spans="17:40" x14ac:dyDescent="0.4"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</row>
    <row r="898" spans="17:40" x14ac:dyDescent="0.4"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</row>
    <row r="899" spans="17:40" x14ac:dyDescent="0.4"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</row>
    <row r="900" spans="17:40" x14ac:dyDescent="0.4"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</row>
    <row r="901" spans="17:40" x14ac:dyDescent="0.4"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</row>
    <row r="902" spans="17:40" x14ac:dyDescent="0.4"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</row>
    <row r="903" spans="17:40" x14ac:dyDescent="0.4"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</row>
    <row r="904" spans="17:40" x14ac:dyDescent="0.4"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</row>
    <row r="905" spans="17:40" x14ac:dyDescent="0.4"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</row>
    <row r="906" spans="17:40" x14ac:dyDescent="0.4"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</row>
    <row r="907" spans="17:40" x14ac:dyDescent="0.4"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</row>
    <row r="908" spans="17:40" x14ac:dyDescent="0.4"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</row>
    <row r="909" spans="17:40" x14ac:dyDescent="0.4"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</row>
    <row r="910" spans="17:40" x14ac:dyDescent="0.4"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</row>
    <row r="911" spans="17:40" x14ac:dyDescent="0.4"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</row>
    <row r="912" spans="17:40" x14ac:dyDescent="0.4"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</row>
    <row r="913" spans="17:40" x14ac:dyDescent="0.4"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</row>
    <row r="914" spans="17:40" x14ac:dyDescent="0.4"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</row>
    <row r="915" spans="17:40" x14ac:dyDescent="0.4"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</row>
    <row r="916" spans="17:40" x14ac:dyDescent="0.4"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</row>
    <row r="917" spans="17:40" x14ac:dyDescent="0.4"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</row>
    <row r="918" spans="17:40" x14ac:dyDescent="0.4"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</row>
    <row r="919" spans="17:40" x14ac:dyDescent="0.4"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</row>
    <row r="920" spans="17:40" x14ac:dyDescent="0.4"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</row>
    <row r="921" spans="17:40" x14ac:dyDescent="0.4"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</row>
    <row r="922" spans="17:40" x14ac:dyDescent="0.4"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</row>
    <row r="923" spans="17:40" x14ac:dyDescent="0.4"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</row>
    <row r="924" spans="17:40" x14ac:dyDescent="0.4"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</row>
    <row r="925" spans="17:40" x14ac:dyDescent="0.4"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</row>
    <row r="926" spans="17:40" x14ac:dyDescent="0.4"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</row>
    <row r="927" spans="17:40" x14ac:dyDescent="0.4"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</row>
    <row r="928" spans="17:40" x14ac:dyDescent="0.4"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</row>
    <row r="929" spans="17:40" x14ac:dyDescent="0.4"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</row>
    <row r="930" spans="17:40" x14ac:dyDescent="0.4"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</row>
    <row r="931" spans="17:40" x14ac:dyDescent="0.4"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</row>
    <row r="932" spans="17:40" x14ac:dyDescent="0.4"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</row>
    <row r="933" spans="17:40" x14ac:dyDescent="0.4"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</row>
    <row r="934" spans="17:40" x14ac:dyDescent="0.4"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</row>
    <row r="935" spans="17:40" x14ac:dyDescent="0.4"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</row>
    <row r="936" spans="17:40" x14ac:dyDescent="0.4"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</row>
    <row r="937" spans="17:40" x14ac:dyDescent="0.4"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</row>
    <row r="938" spans="17:40" x14ac:dyDescent="0.4"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</row>
    <row r="939" spans="17:40" x14ac:dyDescent="0.4"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</row>
    <row r="940" spans="17:40" x14ac:dyDescent="0.4"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</row>
    <row r="941" spans="17:40" x14ac:dyDescent="0.4"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</row>
    <row r="942" spans="17:40" x14ac:dyDescent="0.4"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</row>
    <row r="943" spans="17:40" x14ac:dyDescent="0.4"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</row>
    <row r="944" spans="17:40" x14ac:dyDescent="0.4"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</row>
    <row r="945" spans="17:40" x14ac:dyDescent="0.4"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</row>
    <row r="946" spans="17:40" x14ac:dyDescent="0.4"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</row>
    <row r="947" spans="17:40" x14ac:dyDescent="0.4"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</row>
    <row r="948" spans="17:40" x14ac:dyDescent="0.4"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</row>
    <row r="949" spans="17:40" x14ac:dyDescent="0.4"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</row>
    <row r="950" spans="17:40" x14ac:dyDescent="0.4"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</row>
    <row r="951" spans="17:40" x14ac:dyDescent="0.4"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</row>
    <row r="952" spans="17:40" x14ac:dyDescent="0.4"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</row>
    <row r="953" spans="17:40" x14ac:dyDescent="0.4"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</row>
    <row r="954" spans="17:40" x14ac:dyDescent="0.4"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</row>
    <row r="955" spans="17:40" x14ac:dyDescent="0.4"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</row>
    <row r="956" spans="17:40" x14ac:dyDescent="0.4"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</row>
    <row r="957" spans="17:40" x14ac:dyDescent="0.4"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</row>
    <row r="958" spans="17:40" x14ac:dyDescent="0.4"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</row>
    <row r="959" spans="17:40" x14ac:dyDescent="0.4"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</row>
    <row r="960" spans="17:40" x14ac:dyDescent="0.4"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</row>
    <row r="961" spans="17:40" x14ac:dyDescent="0.4"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</row>
    <row r="962" spans="17:40" x14ac:dyDescent="0.4"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</row>
    <row r="963" spans="17:40" x14ac:dyDescent="0.4"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</row>
    <row r="964" spans="17:40" x14ac:dyDescent="0.4"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</row>
    <row r="965" spans="17:40" x14ac:dyDescent="0.4"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</row>
    <row r="966" spans="17:40" x14ac:dyDescent="0.4"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</row>
    <row r="967" spans="17:40" x14ac:dyDescent="0.4"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</row>
    <row r="968" spans="17:40" x14ac:dyDescent="0.4"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</row>
    <row r="969" spans="17:40" x14ac:dyDescent="0.4"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</row>
    <row r="970" spans="17:40" x14ac:dyDescent="0.4"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</row>
    <row r="971" spans="17:40" x14ac:dyDescent="0.4"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</row>
    <row r="972" spans="17:40" x14ac:dyDescent="0.4"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</row>
    <row r="973" spans="17:40" x14ac:dyDescent="0.4"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</row>
    <row r="974" spans="17:40" x14ac:dyDescent="0.4"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</row>
    <row r="975" spans="17:40" x14ac:dyDescent="0.4"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</row>
    <row r="976" spans="17:40" x14ac:dyDescent="0.4"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</row>
    <row r="977" spans="17:40" x14ac:dyDescent="0.4"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</row>
    <row r="978" spans="17:40" x14ac:dyDescent="0.4"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</row>
    <row r="979" spans="17:40" x14ac:dyDescent="0.4"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</row>
    <row r="980" spans="17:40" x14ac:dyDescent="0.4"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</row>
    <row r="981" spans="17:40" x14ac:dyDescent="0.4"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</row>
    <row r="982" spans="17:40" x14ac:dyDescent="0.4"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</row>
    <row r="983" spans="17:40" x14ac:dyDescent="0.4"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</row>
    <row r="984" spans="17:40" x14ac:dyDescent="0.4"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</row>
    <row r="985" spans="17:40" x14ac:dyDescent="0.4"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</row>
    <row r="986" spans="17:40" x14ac:dyDescent="0.4"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</row>
    <row r="987" spans="17:40" x14ac:dyDescent="0.4"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</row>
    <row r="988" spans="17:40" x14ac:dyDescent="0.4"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</row>
    <row r="989" spans="17:40" x14ac:dyDescent="0.4"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</row>
    <row r="990" spans="17:40" x14ac:dyDescent="0.4"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</row>
    <row r="991" spans="17:40" x14ac:dyDescent="0.4"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</row>
    <row r="992" spans="17:40" x14ac:dyDescent="0.4"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</row>
    <row r="993" spans="17:40" x14ac:dyDescent="0.4"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</row>
    <row r="994" spans="17:40" x14ac:dyDescent="0.4"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</row>
    <row r="995" spans="17:40" x14ac:dyDescent="0.4"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</row>
    <row r="996" spans="17:40" x14ac:dyDescent="0.4"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</row>
    <row r="997" spans="17:40" x14ac:dyDescent="0.4"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</row>
    <row r="998" spans="17:40" x14ac:dyDescent="0.4"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</row>
    <row r="999" spans="17:40" x14ac:dyDescent="0.4"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</row>
    <row r="1000" spans="17:40" x14ac:dyDescent="0.4"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</row>
    <row r="1001" spans="17:40" x14ac:dyDescent="0.4"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</row>
    <row r="1002" spans="17:40" x14ac:dyDescent="0.4"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</row>
    <row r="1003" spans="17:40" x14ac:dyDescent="0.4"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</row>
    <row r="1004" spans="17:40" x14ac:dyDescent="0.4"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</row>
    <row r="1005" spans="17:40" x14ac:dyDescent="0.4"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</row>
    <row r="1006" spans="17:40" x14ac:dyDescent="0.4"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</row>
    <row r="1007" spans="17:40" x14ac:dyDescent="0.4"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</row>
    <row r="1008" spans="17:40" x14ac:dyDescent="0.4"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62"/>
      <c r="AF1008" s="62"/>
      <c r="AG1008" s="62"/>
      <c r="AH1008" s="62"/>
      <c r="AI1008" s="62"/>
      <c r="AJ1008" s="62"/>
      <c r="AK1008" s="62"/>
      <c r="AL1008" s="62"/>
      <c r="AM1008" s="62"/>
      <c r="AN1008" s="62"/>
    </row>
    <row r="1009" spans="17:40" x14ac:dyDescent="0.4"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  <c r="AC1009" s="62"/>
      <c r="AD1009" s="62"/>
      <c r="AE1009" s="62"/>
      <c r="AF1009" s="62"/>
      <c r="AG1009" s="62"/>
      <c r="AH1009" s="62"/>
      <c r="AI1009" s="62"/>
      <c r="AJ1009" s="62"/>
      <c r="AK1009" s="62"/>
      <c r="AL1009" s="62"/>
      <c r="AM1009" s="62"/>
      <c r="AN1009" s="62"/>
    </row>
    <row r="1010" spans="17:40" x14ac:dyDescent="0.4"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  <c r="AC1010" s="62"/>
      <c r="AD1010" s="62"/>
      <c r="AE1010" s="62"/>
      <c r="AF1010" s="62"/>
      <c r="AG1010" s="62"/>
      <c r="AH1010" s="62"/>
      <c r="AI1010" s="62"/>
      <c r="AJ1010" s="62"/>
      <c r="AK1010" s="62"/>
      <c r="AL1010" s="62"/>
      <c r="AM1010" s="62"/>
      <c r="AN1010" s="62"/>
    </row>
    <row r="1011" spans="17:40" x14ac:dyDescent="0.4">
      <c r="Q1011" s="62"/>
      <c r="R1011" s="62"/>
      <c r="S1011" s="62"/>
      <c r="T1011" s="62"/>
      <c r="U1011" s="62"/>
      <c r="V1011" s="62"/>
      <c r="W1011" s="62"/>
      <c r="X1011" s="62"/>
      <c r="Y1011" s="62"/>
      <c r="Z1011" s="62"/>
      <c r="AA1011" s="62"/>
      <c r="AB1011" s="62"/>
      <c r="AC1011" s="62"/>
      <c r="AD1011" s="62"/>
      <c r="AE1011" s="62"/>
      <c r="AF1011" s="62"/>
      <c r="AG1011" s="62"/>
      <c r="AH1011" s="62"/>
      <c r="AI1011" s="62"/>
      <c r="AJ1011" s="62"/>
      <c r="AK1011" s="62"/>
      <c r="AL1011" s="62"/>
      <c r="AM1011" s="62"/>
      <c r="AN1011" s="62"/>
    </row>
    <row r="1012" spans="17:40" x14ac:dyDescent="0.4">
      <c r="Q1012" s="62"/>
      <c r="R1012" s="62"/>
      <c r="S1012" s="62"/>
      <c r="T1012" s="62"/>
      <c r="U1012" s="62"/>
      <c r="V1012" s="62"/>
      <c r="W1012" s="62"/>
      <c r="X1012" s="62"/>
      <c r="Y1012" s="62"/>
      <c r="Z1012" s="62"/>
      <c r="AA1012" s="62"/>
      <c r="AB1012" s="62"/>
      <c r="AC1012" s="62"/>
      <c r="AD1012" s="62"/>
      <c r="AE1012" s="62"/>
      <c r="AF1012" s="62"/>
      <c r="AG1012" s="62"/>
      <c r="AH1012" s="62"/>
      <c r="AI1012" s="62"/>
      <c r="AJ1012" s="62"/>
      <c r="AK1012" s="62"/>
      <c r="AL1012" s="62"/>
      <c r="AM1012" s="62"/>
      <c r="AN1012" s="62"/>
    </row>
    <row r="1013" spans="17:40" x14ac:dyDescent="0.4">
      <c r="Q1013" s="62"/>
      <c r="R1013" s="62"/>
      <c r="S1013" s="62"/>
      <c r="T1013" s="62"/>
      <c r="U1013" s="62"/>
      <c r="V1013" s="62"/>
      <c r="W1013" s="62"/>
      <c r="X1013" s="62"/>
      <c r="Y1013" s="62"/>
      <c r="Z1013" s="62"/>
      <c r="AA1013" s="62"/>
      <c r="AB1013" s="62"/>
      <c r="AC1013" s="62"/>
      <c r="AD1013" s="62"/>
      <c r="AE1013" s="62"/>
      <c r="AF1013" s="62"/>
      <c r="AG1013" s="62"/>
      <c r="AH1013" s="62"/>
      <c r="AI1013" s="62"/>
      <c r="AJ1013" s="62"/>
      <c r="AK1013" s="62"/>
      <c r="AL1013" s="62"/>
      <c r="AM1013" s="62"/>
      <c r="AN1013" s="62"/>
    </row>
    <row r="1014" spans="17:40" x14ac:dyDescent="0.4">
      <c r="Q1014" s="62"/>
      <c r="R1014" s="62"/>
      <c r="S1014" s="62"/>
      <c r="T1014" s="62"/>
      <c r="U1014" s="62"/>
      <c r="V1014" s="62"/>
      <c r="W1014" s="62"/>
      <c r="X1014" s="62"/>
      <c r="Y1014" s="62"/>
      <c r="Z1014" s="62"/>
      <c r="AA1014" s="62"/>
      <c r="AB1014" s="62"/>
      <c r="AC1014" s="62"/>
      <c r="AD1014" s="62"/>
      <c r="AE1014" s="62"/>
      <c r="AF1014" s="62"/>
      <c r="AG1014" s="62"/>
      <c r="AH1014" s="62"/>
      <c r="AI1014" s="62"/>
      <c r="AJ1014" s="62"/>
      <c r="AK1014" s="62"/>
      <c r="AL1014" s="62"/>
      <c r="AM1014" s="62"/>
      <c r="AN1014" s="62"/>
    </row>
    <row r="1015" spans="17:40" x14ac:dyDescent="0.4">
      <c r="Q1015" s="62"/>
      <c r="R1015" s="62"/>
      <c r="S1015" s="62"/>
      <c r="T1015" s="62"/>
      <c r="U1015" s="62"/>
      <c r="V1015" s="62"/>
      <c r="W1015" s="62"/>
      <c r="X1015" s="62"/>
      <c r="Y1015" s="62"/>
      <c r="Z1015" s="62"/>
      <c r="AA1015" s="62"/>
      <c r="AB1015" s="62"/>
      <c r="AC1015" s="62"/>
      <c r="AD1015" s="62"/>
      <c r="AE1015" s="62"/>
      <c r="AF1015" s="62"/>
      <c r="AG1015" s="62"/>
      <c r="AH1015" s="62"/>
      <c r="AI1015" s="62"/>
      <c r="AJ1015" s="62"/>
      <c r="AK1015" s="62"/>
      <c r="AL1015" s="62"/>
      <c r="AM1015" s="62"/>
      <c r="AN1015" s="62"/>
    </row>
    <row r="1016" spans="17:40" x14ac:dyDescent="0.4">
      <c r="Q1016" s="62"/>
      <c r="R1016" s="62"/>
      <c r="S1016" s="62"/>
      <c r="T1016" s="62"/>
      <c r="U1016" s="62"/>
      <c r="V1016" s="62"/>
      <c r="W1016" s="62"/>
      <c r="X1016" s="62"/>
      <c r="Y1016" s="62"/>
      <c r="Z1016" s="62"/>
      <c r="AA1016" s="62"/>
      <c r="AB1016" s="62"/>
      <c r="AC1016" s="62"/>
      <c r="AD1016" s="62"/>
      <c r="AE1016" s="62"/>
      <c r="AF1016" s="62"/>
      <c r="AG1016" s="62"/>
      <c r="AH1016" s="62"/>
      <c r="AI1016" s="62"/>
      <c r="AJ1016" s="62"/>
      <c r="AK1016" s="62"/>
      <c r="AL1016" s="62"/>
      <c r="AM1016" s="62"/>
      <c r="AN1016" s="62"/>
    </row>
    <row r="1017" spans="17:40" x14ac:dyDescent="0.4">
      <c r="Q1017" s="62"/>
      <c r="R1017" s="62"/>
      <c r="S1017" s="62"/>
      <c r="T1017" s="62"/>
      <c r="U1017" s="62"/>
      <c r="V1017" s="62"/>
      <c r="W1017" s="62"/>
      <c r="X1017" s="62"/>
      <c r="Y1017" s="62"/>
      <c r="Z1017" s="62"/>
      <c r="AA1017" s="62"/>
      <c r="AB1017" s="62"/>
      <c r="AC1017" s="62"/>
      <c r="AD1017" s="62"/>
      <c r="AE1017" s="62"/>
      <c r="AF1017" s="62"/>
      <c r="AG1017" s="62"/>
      <c r="AH1017" s="62"/>
      <c r="AI1017" s="62"/>
      <c r="AJ1017" s="62"/>
      <c r="AK1017" s="62"/>
      <c r="AL1017" s="62"/>
      <c r="AM1017" s="62"/>
      <c r="AN1017" s="62"/>
    </row>
    <row r="1018" spans="17:40" x14ac:dyDescent="0.4">
      <c r="Q1018" s="62"/>
      <c r="R1018" s="62"/>
      <c r="S1018" s="62"/>
      <c r="T1018" s="62"/>
      <c r="U1018" s="62"/>
      <c r="V1018" s="62"/>
      <c r="W1018" s="62"/>
      <c r="X1018" s="62"/>
      <c r="Y1018" s="62"/>
      <c r="Z1018" s="62"/>
      <c r="AA1018" s="62"/>
      <c r="AB1018" s="62"/>
      <c r="AC1018" s="62"/>
      <c r="AD1018" s="62"/>
      <c r="AE1018" s="62"/>
      <c r="AF1018" s="62"/>
      <c r="AG1018" s="62"/>
      <c r="AH1018" s="62"/>
      <c r="AI1018" s="62"/>
      <c r="AJ1018" s="62"/>
      <c r="AK1018" s="62"/>
      <c r="AL1018" s="62"/>
      <c r="AM1018" s="62"/>
      <c r="AN1018" s="62"/>
    </row>
    <row r="1019" spans="17:40" x14ac:dyDescent="0.4">
      <c r="Q1019" s="62"/>
      <c r="R1019" s="62"/>
      <c r="S1019" s="62"/>
      <c r="T1019" s="62"/>
      <c r="U1019" s="62"/>
      <c r="V1019" s="62"/>
      <c r="W1019" s="62"/>
      <c r="X1019" s="62"/>
      <c r="Y1019" s="62"/>
      <c r="Z1019" s="62"/>
      <c r="AA1019" s="62"/>
      <c r="AB1019" s="62"/>
      <c r="AC1019" s="62"/>
      <c r="AD1019" s="62"/>
      <c r="AE1019" s="62"/>
      <c r="AF1019" s="62"/>
      <c r="AG1019" s="62"/>
      <c r="AH1019" s="62"/>
      <c r="AI1019" s="62"/>
      <c r="AJ1019" s="62"/>
      <c r="AK1019" s="62"/>
      <c r="AL1019" s="62"/>
      <c r="AM1019" s="62"/>
      <c r="AN1019" s="62"/>
    </row>
    <row r="1020" spans="17:40" x14ac:dyDescent="0.4">
      <c r="Q1020" s="62"/>
      <c r="R1020" s="62"/>
      <c r="S1020" s="62"/>
      <c r="T1020" s="62"/>
      <c r="U1020" s="62"/>
      <c r="V1020" s="62"/>
      <c r="W1020" s="62"/>
      <c r="X1020" s="62"/>
      <c r="Y1020" s="62"/>
      <c r="Z1020" s="62"/>
      <c r="AA1020" s="62"/>
      <c r="AB1020" s="62"/>
      <c r="AC1020" s="62"/>
      <c r="AD1020" s="62"/>
      <c r="AE1020" s="62"/>
      <c r="AF1020" s="62"/>
      <c r="AG1020" s="62"/>
      <c r="AH1020" s="62"/>
      <c r="AI1020" s="62"/>
      <c r="AJ1020" s="62"/>
      <c r="AK1020" s="62"/>
      <c r="AL1020" s="62"/>
      <c r="AM1020" s="62"/>
      <c r="AN1020" s="62"/>
    </row>
    <row r="1021" spans="17:40" x14ac:dyDescent="0.4">
      <c r="Q1021" s="62"/>
      <c r="R1021" s="62"/>
      <c r="S1021" s="62"/>
      <c r="T1021" s="62"/>
      <c r="U1021" s="62"/>
      <c r="V1021" s="62"/>
      <c r="W1021" s="62"/>
      <c r="X1021" s="62"/>
      <c r="Y1021" s="62"/>
      <c r="Z1021" s="62"/>
      <c r="AA1021" s="62"/>
      <c r="AB1021" s="62"/>
      <c r="AC1021" s="62"/>
      <c r="AD1021" s="62"/>
      <c r="AE1021" s="62"/>
      <c r="AF1021" s="62"/>
      <c r="AG1021" s="62"/>
      <c r="AH1021" s="62"/>
      <c r="AI1021" s="62"/>
      <c r="AJ1021" s="62"/>
      <c r="AK1021" s="62"/>
      <c r="AL1021" s="62"/>
      <c r="AM1021" s="62"/>
      <c r="AN1021" s="62"/>
    </row>
    <row r="1022" spans="17:40" x14ac:dyDescent="0.4"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2"/>
      <c r="AB1022" s="62"/>
      <c r="AC1022" s="62"/>
      <c r="AD1022" s="62"/>
      <c r="AE1022" s="62"/>
      <c r="AF1022" s="62"/>
      <c r="AG1022" s="62"/>
      <c r="AH1022" s="62"/>
      <c r="AI1022" s="62"/>
      <c r="AJ1022" s="62"/>
      <c r="AK1022" s="62"/>
      <c r="AL1022" s="62"/>
      <c r="AM1022" s="62"/>
      <c r="AN1022" s="62"/>
    </row>
    <row r="1023" spans="17:40" x14ac:dyDescent="0.4">
      <c r="Q1023" s="62"/>
      <c r="R1023" s="62"/>
      <c r="S1023" s="62"/>
      <c r="T1023" s="62"/>
      <c r="U1023" s="62"/>
      <c r="V1023" s="62"/>
      <c r="W1023" s="62"/>
      <c r="X1023" s="62"/>
      <c r="Y1023" s="62"/>
      <c r="Z1023" s="62"/>
      <c r="AA1023" s="62"/>
      <c r="AB1023" s="62"/>
      <c r="AC1023" s="62"/>
      <c r="AD1023" s="62"/>
      <c r="AE1023" s="62"/>
      <c r="AF1023" s="62"/>
      <c r="AG1023" s="62"/>
      <c r="AH1023" s="62"/>
      <c r="AI1023" s="62"/>
      <c r="AJ1023" s="62"/>
      <c r="AK1023" s="62"/>
      <c r="AL1023" s="62"/>
      <c r="AM1023" s="62"/>
      <c r="AN1023" s="62"/>
    </row>
    <row r="1024" spans="17:40" x14ac:dyDescent="0.4">
      <c r="Q1024" s="62"/>
      <c r="R1024" s="62"/>
      <c r="S1024" s="62"/>
      <c r="T1024" s="62"/>
      <c r="U1024" s="62"/>
      <c r="V1024" s="62"/>
      <c r="W1024" s="62"/>
      <c r="X1024" s="62"/>
      <c r="Y1024" s="62"/>
      <c r="Z1024" s="62"/>
      <c r="AA1024" s="62"/>
      <c r="AB1024" s="62"/>
      <c r="AC1024" s="62"/>
      <c r="AD1024" s="62"/>
      <c r="AE1024" s="62"/>
      <c r="AF1024" s="62"/>
      <c r="AG1024" s="62"/>
      <c r="AH1024" s="62"/>
      <c r="AI1024" s="62"/>
      <c r="AJ1024" s="62"/>
      <c r="AK1024" s="62"/>
      <c r="AL1024" s="62"/>
      <c r="AM1024" s="62"/>
      <c r="AN1024" s="62"/>
    </row>
    <row r="1025" spans="17:40" x14ac:dyDescent="0.4">
      <c r="Q1025" s="62"/>
      <c r="R1025" s="62"/>
      <c r="S1025" s="62"/>
      <c r="T1025" s="62"/>
      <c r="U1025" s="62"/>
      <c r="V1025" s="62"/>
      <c r="W1025" s="62"/>
      <c r="X1025" s="62"/>
      <c r="Y1025" s="62"/>
      <c r="Z1025" s="62"/>
      <c r="AA1025" s="62"/>
      <c r="AB1025" s="62"/>
      <c r="AC1025" s="62"/>
      <c r="AD1025" s="62"/>
      <c r="AE1025" s="62"/>
      <c r="AF1025" s="62"/>
      <c r="AG1025" s="62"/>
      <c r="AH1025" s="62"/>
      <c r="AI1025" s="62"/>
      <c r="AJ1025" s="62"/>
      <c r="AK1025" s="62"/>
      <c r="AL1025" s="62"/>
      <c r="AM1025" s="62"/>
      <c r="AN1025" s="62"/>
    </row>
    <row r="1026" spans="17:40" x14ac:dyDescent="0.4">
      <c r="Q1026" s="62"/>
      <c r="R1026" s="62"/>
      <c r="S1026" s="62"/>
      <c r="T1026" s="62"/>
      <c r="U1026" s="62"/>
      <c r="V1026" s="62"/>
      <c r="W1026" s="62"/>
      <c r="X1026" s="62"/>
      <c r="Y1026" s="62"/>
      <c r="Z1026" s="62"/>
      <c r="AA1026" s="62"/>
      <c r="AB1026" s="62"/>
      <c r="AC1026" s="62"/>
      <c r="AD1026" s="62"/>
      <c r="AE1026" s="62"/>
      <c r="AF1026" s="62"/>
      <c r="AG1026" s="62"/>
      <c r="AH1026" s="62"/>
      <c r="AI1026" s="62"/>
      <c r="AJ1026" s="62"/>
      <c r="AK1026" s="62"/>
      <c r="AL1026" s="62"/>
      <c r="AM1026" s="62"/>
      <c r="AN1026" s="62"/>
    </row>
    <row r="1027" spans="17:40" x14ac:dyDescent="0.4">
      <c r="Q1027" s="62"/>
      <c r="R1027" s="62"/>
      <c r="S1027" s="62"/>
      <c r="T1027" s="62"/>
      <c r="U1027" s="62"/>
      <c r="V1027" s="62"/>
      <c r="W1027" s="62"/>
      <c r="X1027" s="62"/>
      <c r="Y1027" s="62"/>
      <c r="Z1027" s="62"/>
      <c r="AA1027" s="62"/>
      <c r="AB1027" s="62"/>
      <c r="AC1027" s="62"/>
      <c r="AD1027" s="62"/>
      <c r="AE1027" s="62"/>
      <c r="AF1027" s="62"/>
      <c r="AG1027" s="62"/>
      <c r="AH1027" s="62"/>
      <c r="AI1027" s="62"/>
      <c r="AJ1027" s="62"/>
      <c r="AK1027" s="62"/>
      <c r="AL1027" s="62"/>
      <c r="AM1027" s="62"/>
      <c r="AN1027" s="62"/>
    </row>
    <row r="1028" spans="17:40" x14ac:dyDescent="0.4">
      <c r="Q1028" s="62"/>
      <c r="R1028" s="62"/>
      <c r="S1028" s="62"/>
      <c r="T1028" s="62"/>
      <c r="U1028" s="62"/>
      <c r="V1028" s="62"/>
      <c r="W1028" s="62"/>
      <c r="X1028" s="62"/>
      <c r="Y1028" s="62"/>
      <c r="Z1028" s="62"/>
      <c r="AA1028" s="62"/>
      <c r="AB1028" s="62"/>
      <c r="AC1028" s="62"/>
      <c r="AD1028" s="62"/>
      <c r="AE1028" s="62"/>
      <c r="AF1028" s="62"/>
      <c r="AG1028" s="62"/>
      <c r="AH1028" s="62"/>
      <c r="AI1028" s="62"/>
      <c r="AJ1028" s="62"/>
      <c r="AK1028" s="62"/>
      <c r="AL1028" s="62"/>
      <c r="AM1028" s="62"/>
      <c r="AN1028" s="62"/>
    </row>
    <row r="1029" spans="17:40" x14ac:dyDescent="0.4">
      <c r="Q1029" s="62"/>
      <c r="R1029" s="62"/>
      <c r="S1029" s="62"/>
      <c r="T1029" s="62"/>
      <c r="U1029" s="62"/>
      <c r="V1029" s="62"/>
      <c r="W1029" s="62"/>
      <c r="X1029" s="62"/>
      <c r="Y1029" s="62"/>
      <c r="Z1029" s="62"/>
      <c r="AA1029" s="62"/>
      <c r="AB1029" s="62"/>
      <c r="AC1029" s="62"/>
      <c r="AD1029" s="62"/>
      <c r="AE1029" s="62"/>
      <c r="AF1029" s="62"/>
      <c r="AG1029" s="62"/>
      <c r="AH1029" s="62"/>
      <c r="AI1029" s="62"/>
      <c r="AJ1029" s="62"/>
      <c r="AK1029" s="62"/>
      <c r="AL1029" s="62"/>
      <c r="AM1029" s="62"/>
      <c r="AN1029" s="62"/>
    </row>
    <row r="1030" spans="17:40" x14ac:dyDescent="0.4">
      <c r="Q1030" s="62"/>
      <c r="R1030" s="62"/>
      <c r="S1030" s="62"/>
      <c r="T1030" s="62"/>
      <c r="U1030" s="62"/>
      <c r="V1030" s="62"/>
      <c r="W1030" s="62"/>
      <c r="X1030" s="62"/>
      <c r="Y1030" s="62"/>
      <c r="Z1030" s="62"/>
      <c r="AA1030" s="62"/>
      <c r="AB1030" s="62"/>
      <c r="AC1030" s="62"/>
      <c r="AD1030" s="62"/>
      <c r="AE1030" s="62"/>
      <c r="AF1030" s="62"/>
      <c r="AG1030" s="62"/>
      <c r="AH1030" s="62"/>
      <c r="AI1030" s="62"/>
      <c r="AJ1030" s="62"/>
      <c r="AK1030" s="62"/>
      <c r="AL1030" s="62"/>
      <c r="AM1030" s="62"/>
      <c r="AN1030" s="62"/>
    </row>
    <row r="1031" spans="17:40" x14ac:dyDescent="0.4">
      <c r="Q1031" s="62"/>
      <c r="R1031" s="62"/>
      <c r="S1031" s="62"/>
      <c r="T1031" s="62"/>
      <c r="U1031" s="62"/>
      <c r="V1031" s="62"/>
      <c r="W1031" s="62"/>
      <c r="X1031" s="62"/>
      <c r="Y1031" s="62"/>
      <c r="Z1031" s="62"/>
      <c r="AA1031" s="62"/>
      <c r="AB1031" s="62"/>
      <c r="AC1031" s="62"/>
      <c r="AD1031" s="62"/>
      <c r="AE1031" s="62"/>
      <c r="AF1031" s="62"/>
      <c r="AG1031" s="62"/>
      <c r="AH1031" s="62"/>
      <c r="AI1031" s="62"/>
      <c r="AJ1031" s="62"/>
      <c r="AK1031" s="62"/>
      <c r="AL1031" s="62"/>
      <c r="AM1031" s="62"/>
      <c r="AN1031" s="62"/>
    </row>
    <row r="1032" spans="17:40" x14ac:dyDescent="0.4"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</row>
    <row r="1033" spans="17:40" x14ac:dyDescent="0.4"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</row>
    <row r="1034" spans="17:40" x14ac:dyDescent="0.4">
      <c r="Q1034" s="62"/>
      <c r="R1034" s="62"/>
      <c r="S1034" s="62"/>
      <c r="T1034" s="62"/>
      <c r="U1034" s="62"/>
      <c r="V1034" s="62"/>
      <c r="W1034" s="62"/>
      <c r="X1034" s="62"/>
      <c r="Y1034" s="62"/>
      <c r="Z1034" s="62"/>
      <c r="AA1034" s="62"/>
      <c r="AB1034" s="62"/>
      <c r="AC1034" s="62"/>
      <c r="AD1034" s="62"/>
      <c r="AE1034" s="62"/>
      <c r="AF1034" s="62"/>
      <c r="AG1034" s="62"/>
      <c r="AH1034" s="62"/>
      <c r="AI1034" s="62"/>
      <c r="AJ1034" s="62"/>
      <c r="AK1034" s="62"/>
      <c r="AL1034" s="62"/>
      <c r="AM1034" s="62"/>
      <c r="AN1034" s="62"/>
    </row>
    <row r="1035" spans="17:40" x14ac:dyDescent="0.4"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62"/>
      <c r="AL1035" s="62"/>
      <c r="AM1035" s="62"/>
      <c r="AN1035" s="62"/>
    </row>
    <row r="1036" spans="17:40" x14ac:dyDescent="0.4"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</row>
    <row r="1037" spans="17:40" x14ac:dyDescent="0.4"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</row>
    <row r="1038" spans="17:40" x14ac:dyDescent="0.4"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</row>
    <row r="1039" spans="17:40" x14ac:dyDescent="0.4"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</row>
    <row r="1040" spans="17:40" x14ac:dyDescent="0.4"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</row>
    <row r="1041" spans="17:40" x14ac:dyDescent="0.4"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</row>
    <row r="1042" spans="17:40" x14ac:dyDescent="0.4"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</row>
    <row r="1043" spans="17:40" x14ac:dyDescent="0.4"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</row>
    <row r="1044" spans="17:40" x14ac:dyDescent="0.4"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</row>
    <row r="1045" spans="17:40" x14ac:dyDescent="0.4"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</row>
    <row r="1046" spans="17:40" x14ac:dyDescent="0.4">
      <c r="Q1046" s="62"/>
      <c r="R1046" s="62"/>
      <c r="S1046" s="62"/>
      <c r="T1046" s="62"/>
      <c r="U1046" s="62"/>
      <c r="V1046" s="62"/>
      <c r="W1046" s="62"/>
      <c r="X1046" s="62"/>
      <c r="Y1046" s="62"/>
      <c r="Z1046" s="62"/>
      <c r="AA1046" s="62"/>
      <c r="AB1046" s="62"/>
      <c r="AC1046" s="62"/>
      <c r="AD1046" s="62"/>
      <c r="AE1046" s="62"/>
      <c r="AF1046" s="62"/>
      <c r="AG1046" s="62"/>
      <c r="AH1046" s="62"/>
      <c r="AI1046" s="62"/>
      <c r="AJ1046" s="62"/>
      <c r="AK1046" s="62"/>
      <c r="AL1046" s="62"/>
      <c r="AM1046" s="62"/>
      <c r="AN1046" s="62"/>
    </row>
    <row r="1047" spans="17:40" x14ac:dyDescent="0.4">
      <c r="Q1047" s="62"/>
      <c r="R1047" s="62"/>
      <c r="S1047" s="62"/>
      <c r="T1047" s="62"/>
      <c r="U1047" s="62"/>
      <c r="V1047" s="62"/>
      <c r="W1047" s="62"/>
      <c r="X1047" s="62"/>
      <c r="Y1047" s="62"/>
      <c r="Z1047" s="62"/>
      <c r="AA1047" s="62"/>
      <c r="AB1047" s="62"/>
      <c r="AC1047" s="62"/>
      <c r="AD1047" s="62"/>
      <c r="AE1047" s="62"/>
      <c r="AF1047" s="62"/>
      <c r="AG1047" s="62"/>
      <c r="AH1047" s="62"/>
      <c r="AI1047" s="62"/>
      <c r="AJ1047" s="62"/>
      <c r="AK1047" s="62"/>
      <c r="AL1047" s="62"/>
      <c r="AM1047" s="62"/>
      <c r="AN1047" s="62"/>
    </row>
    <row r="1048" spans="17:40" x14ac:dyDescent="0.4">
      <c r="Q1048" s="62"/>
      <c r="R1048" s="62"/>
      <c r="S1048" s="62"/>
      <c r="T1048" s="62"/>
      <c r="U1048" s="62"/>
      <c r="V1048" s="62"/>
      <c r="W1048" s="62"/>
      <c r="X1048" s="62"/>
      <c r="Y1048" s="62"/>
      <c r="Z1048" s="62"/>
      <c r="AA1048" s="62"/>
      <c r="AB1048" s="62"/>
      <c r="AC1048" s="62"/>
      <c r="AD1048" s="62"/>
      <c r="AE1048" s="62"/>
      <c r="AF1048" s="62"/>
      <c r="AG1048" s="62"/>
      <c r="AH1048" s="62"/>
      <c r="AI1048" s="62"/>
      <c r="AJ1048" s="62"/>
      <c r="AK1048" s="62"/>
      <c r="AL1048" s="62"/>
      <c r="AM1048" s="62"/>
      <c r="AN1048" s="62"/>
    </row>
    <row r="1049" spans="17:40" x14ac:dyDescent="0.4">
      <c r="Q1049" s="62"/>
      <c r="R1049" s="62"/>
      <c r="S1049" s="62"/>
      <c r="T1049" s="62"/>
      <c r="U1049" s="62"/>
      <c r="V1049" s="62"/>
      <c r="W1049" s="62"/>
      <c r="X1049" s="62"/>
      <c r="Y1049" s="62"/>
      <c r="Z1049" s="62"/>
      <c r="AA1049" s="62"/>
      <c r="AB1049" s="62"/>
      <c r="AC1049" s="62"/>
      <c r="AD1049" s="62"/>
      <c r="AE1049" s="62"/>
      <c r="AF1049" s="62"/>
      <c r="AG1049" s="62"/>
      <c r="AH1049" s="62"/>
      <c r="AI1049" s="62"/>
      <c r="AJ1049" s="62"/>
      <c r="AK1049" s="62"/>
      <c r="AL1049" s="62"/>
      <c r="AM1049" s="62"/>
      <c r="AN1049" s="62"/>
    </row>
    <row r="1050" spans="17:40" x14ac:dyDescent="0.4">
      <c r="Q1050" s="62"/>
      <c r="R1050" s="62"/>
      <c r="S1050" s="62"/>
      <c r="T1050" s="62"/>
      <c r="U1050" s="62"/>
      <c r="V1050" s="62"/>
      <c r="W1050" s="62"/>
      <c r="X1050" s="62"/>
      <c r="Y1050" s="62"/>
      <c r="Z1050" s="62"/>
      <c r="AA1050" s="62"/>
      <c r="AB1050" s="62"/>
      <c r="AC1050" s="62"/>
      <c r="AD1050" s="62"/>
      <c r="AE1050" s="62"/>
      <c r="AF1050" s="62"/>
      <c r="AG1050" s="62"/>
      <c r="AH1050" s="62"/>
      <c r="AI1050" s="62"/>
      <c r="AJ1050" s="62"/>
      <c r="AK1050" s="62"/>
      <c r="AL1050" s="62"/>
      <c r="AM1050" s="62"/>
      <c r="AN1050" s="62"/>
    </row>
    <row r="1051" spans="17:40" x14ac:dyDescent="0.4">
      <c r="Q1051" s="62"/>
      <c r="R1051" s="62"/>
      <c r="S1051" s="62"/>
      <c r="T1051" s="62"/>
      <c r="U1051" s="62"/>
      <c r="V1051" s="62"/>
      <c r="W1051" s="62"/>
      <c r="X1051" s="62"/>
      <c r="Y1051" s="62"/>
      <c r="Z1051" s="62"/>
      <c r="AA1051" s="62"/>
      <c r="AB1051" s="62"/>
      <c r="AC1051" s="62"/>
      <c r="AD1051" s="62"/>
      <c r="AE1051" s="62"/>
      <c r="AF1051" s="62"/>
      <c r="AG1051" s="62"/>
      <c r="AH1051" s="62"/>
      <c r="AI1051" s="62"/>
      <c r="AJ1051" s="62"/>
      <c r="AK1051" s="62"/>
      <c r="AL1051" s="62"/>
      <c r="AM1051" s="62"/>
      <c r="AN1051" s="62"/>
    </row>
    <row r="1052" spans="17:40" x14ac:dyDescent="0.4">
      <c r="Q1052" s="62"/>
      <c r="R1052" s="62"/>
      <c r="S1052" s="62"/>
      <c r="T1052" s="62"/>
      <c r="U1052" s="62"/>
      <c r="V1052" s="62"/>
      <c r="W1052" s="62"/>
      <c r="X1052" s="62"/>
      <c r="Y1052" s="62"/>
      <c r="Z1052" s="62"/>
      <c r="AA1052" s="62"/>
      <c r="AB1052" s="62"/>
      <c r="AC1052" s="62"/>
      <c r="AD1052" s="62"/>
      <c r="AE1052" s="62"/>
      <c r="AF1052" s="62"/>
      <c r="AG1052" s="62"/>
      <c r="AH1052" s="62"/>
      <c r="AI1052" s="62"/>
      <c r="AJ1052" s="62"/>
      <c r="AK1052" s="62"/>
      <c r="AL1052" s="62"/>
      <c r="AM1052" s="62"/>
      <c r="AN1052" s="62"/>
    </row>
    <row r="1053" spans="17:40" x14ac:dyDescent="0.4">
      <c r="Q1053" s="62"/>
      <c r="R1053" s="62"/>
      <c r="S1053" s="62"/>
      <c r="T1053" s="62"/>
      <c r="U1053" s="62"/>
      <c r="V1053" s="62"/>
      <c r="W1053" s="62"/>
      <c r="X1053" s="62"/>
      <c r="Y1053" s="62"/>
      <c r="Z1053" s="62"/>
      <c r="AA1053" s="62"/>
      <c r="AB1053" s="62"/>
      <c r="AC1053" s="62"/>
      <c r="AD1053" s="62"/>
      <c r="AE1053" s="62"/>
      <c r="AF1053" s="62"/>
      <c r="AG1053" s="62"/>
      <c r="AH1053" s="62"/>
      <c r="AI1053" s="62"/>
      <c r="AJ1053" s="62"/>
      <c r="AK1053" s="62"/>
      <c r="AL1053" s="62"/>
      <c r="AM1053" s="62"/>
      <c r="AN1053" s="62"/>
    </row>
    <row r="1054" spans="17:40" x14ac:dyDescent="0.4">
      <c r="Q1054" s="62"/>
      <c r="R1054" s="62"/>
      <c r="S1054" s="62"/>
      <c r="T1054" s="62"/>
      <c r="U1054" s="62"/>
      <c r="V1054" s="62"/>
      <c r="W1054" s="62"/>
      <c r="X1054" s="62"/>
      <c r="Y1054" s="62"/>
      <c r="Z1054" s="62"/>
      <c r="AA1054" s="62"/>
      <c r="AB1054" s="62"/>
      <c r="AC1054" s="62"/>
      <c r="AD1054" s="62"/>
      <c r="AE1054" s="62"/>
      <c r="AF1054" s="62"/>
      <c r="AG1054" s="62"/>
      <c r="AH1054" s="62"/>
      <c r="AI1054" s="62"/>
      <c r="AJ1054" s="62"/>
      <c r="AK1054" s="62"/>
      <c r="AL1054" s="62"/>
      <c r="AM1054" s="62"/>
      <c r="AN1054" s="62"/>
    </row>
    <row r="1055" spans="17:40" x14ac:dyDescent="0.4">
      <c r="Q1055" s="62"/>
      <c r="R1055" s="62"/>
      <c r="S1055" s="62"/>
      <c r="T1055" s="62"/>
      <c r="U1055" s="62"/>
      <c r="V1055" s="62"/>
      <c r="W1055" s="62"/>
      <c r="X1055" s="62"/>
      <c r="Y1055" s="62"/>
      <c r="Z1055" s="62"/>
      <c r="AA1055" s="62"/>
      <c r="AB1055" s="62"/>
      <c r="AC1055" s="62"/>
      <c r="AD1055" s="62"/>
      <c r="AE1055" s="62"/>
      <c r="AF1055" s="62"/>
      <c r="AG1055" s="62"/>
      <c r="AH1055" s="62"/>
      <c r="AI1055" s="62"/>
      <c r="AJ1055" s="62"/>
      <c r="AK1055" s="62"/>
      <c r="AL1055" s="62"/>
      <c r="AM1055" s="62"/>
      <c r="AN1055" s="62"/>
    </row>
    <row r="1056" spans="17:40" x14ac:dyDescent="0.4">
      <c r="Q1056" s="62"/>
      <c r="R1056" s="62"/>
      <c r="S1056" s="62"/>
      <c r="T1056" s="62"/>
      <c r="U1056" s="62"/>
      <c r="V1056" s="62"/>
      <c r="W1056" s="62"/>
      <c r="X1056" s="62"/>
      <c r="Y1056" s="62"/>
      <c r="Z1056" s="62"/>
      <c r="AA1056" s="62"/>
      <c r="AB1056" s="62"/>
      <c r="AC1056" s="62"/>
      <c r="AD1056" s="62"/>
      <c r="AE1056" s="62"/>
      <c r="AF1056" s="62"/>
      <c r="AG1056" s="62"/>
      <c r="AH1056" s="62"/>
      <c r="AI1056" s="62"/>
      <c r="AJ1056" s="62"/>
      <c r="AK1056" s="62"/>
      <c r="AL1056" s="62"/>
      <c r="AM1056" s="62"/>
      <c r="AN1056" s="62"/>
    </row>
    <row r="1057" spans="17:40" x14ac:dyDescent="0.4">
      <c r="Q1057" s="62"/>
      <c r="R1057" s="62"/>
      <c r="S1057" s="62"/>
      <c r="T1057" s="62"/>
      <c r="U1057" s="62"/>
      <c r="V1057" s="62"/>
      <c r="W1057" s="62"/>
      <c r="X1057" s="62"/>
      <c r="Y1057" s="62"/>
      <c r="Z1057" s="62"/>
      <c r="AA1057" s="62"/>
      <c r="AB1057" s="62"/>
      <c r="AC1057" s="62"/>
      <c r="AD1057" s="62"/>
      <c r="AE1057" s="62"/>
      <c r="AF1057" s="62"/>
      <c r="AG1057" s="62"/>
      <c r="AH1057" s="62"/>
      <c r="AI1057" s="62"/>
      <c r="AJ1057" s="62"/>
      <c r="AK1057" s="62"/>
      <c r="AL1057" s="62"/>
      <c r="AM1057" s="62"/>
      <c r="AN1057" s="62"/>
    </row>
    <row r="1058" spans="17:40" x14ac:dyDescent="0.4">
      <c r="Q1058" s="62"/>
      <c r="R1058" s="62"/>
      <c r="S1058" s="62"/>
      <c r="T1058" s="62"/>
      <c r="U1058" s="62"/>
      <c r="V1058" s="62"/>
      <c r="W1058" s="62"/>
      <c r="X1058" s="62"/>
      <c r="Y1058" s="62"/>
      <c r="Z1058" s="62"/>
      <c r="AA1058" s="62"/>
      <c r="AB1058" s="62"/>
      <c r="AC1058" s="62"/>
      <c r="AD1058" s="62"/>
      <c r="AE1058" s="62"/>
      <c r="AF1058" s="62"/>
      <c r="AG1058" s="62"/>
      <c r="AH1058" s="62"/>
      <c r="AI1058" s="62"/>
      <c r="AJ1058" s="62"/>
      <c r="AK1058" s="62"/>
      <c r="AL1058" s="62"/>
      <c r="AM1058" s="62"/>
      <c r="AN1058" s="62"/>
    </row>
    <row r="1059" spans="17:40" x14ac:dyDescent="0.4">
      <c r="Q1059" s="62"/>
      <c r="R1059" s="62"/>
      <c r="S1059" s="62"/>
      <c r="T1059" s="62"/>
      <c r="U1059" s="62"/>
      <c r="V1059" s="62"/>
      <c r="W1059" s="62"/>
      <c r="X1059" s="62"/>
      <c r="Y1059" s="62"/>
      <c r="Z1059" s="62"/>
      <c r="AA1059" s="62"/>
      <c r="AB1059" s="62"/>
      <c r="AC1059" s="62"/>
      <c r="AD1059" s="62"/>
      <c r="AE1059" s="62"/>
      <c r="AF1059" s="62"/>
      <c r="AG1059" s="62"/>
      <c r="AH1059" s="62"/>
      <c r="AI1059" s="62"/>
      <c r="AJ1059" s="62"/>
      <c r="AK1059" s="62"/>
      <c r="AL1059" s="62"/>
      <c r="AM1059" s="62"/>
      <c r="AN1059" s="62"/>
    </row>
    <row r="1060" spans="17:40" x14ac:dyDescent="0.4">
      <c r="Q1060" s="62"/>
      <c r="R1060" s="62"/>
      <c r="S1060" s="62"/>
      <c r="T1060" s="62"/>
      <c r="U1060" s="62"/>
      <c r="V1060" s="62"/>
      <c r="W1060" s="62"/>
      <c r="X1060" s="62"/>
      <c r="Y1060" s="62"/>
      <c r="Z1060" s="62"/>
      <c r="AA1060" s="62"/>
      <c r="AB1060" s="62"/>
      <c r="AC1060" s="62"/>
      <c r="AD1060" s="62"/>
      <c r="AE1060" s="62"/>
      <c r="AF1060" s="62"/>
      <c r="AG1060" s="62"/>
      <c r="AH1060" s="62"/>
      <c r="AI1060" s="62"/>
      <c r="AJ1060" s="62"/>
      <c r="AK1060" s="62"/>
      <c r="AL1060" s="62"/>
      <c r="AM1060" s="62"/>
      <c r="AN1060" s="62"/>
    </row>
    <row r="1061" spans="17:40" x14ac:dyDescent="0.4">
      <c r="Q1061" s="62"/>
      <c r="R1061" s="62"/>
      <c r="S1061" s="62"/>
      <c r="T1061" s="62"/>
      <c r="U1061" s="62"/>
      <c r="V1061" s="62"/>
      <c r="W1061" s="62"/>
      <c r="X1061" s="62"/>
      <c r="Y1061" s="62"/>
      <c r="Z1061" s="62"/>
      <c r="AA1061" s="62"/>
      <c r="AB1061" s="62"/>
      <c r="AC1061" s="62"/>
      <c r="AD1061" s="62"/>
      <c r="AE1061" s="62"/>
      <c r="AF1061" s="62"/>
      <c r="AG1061" s="62"/>
      <c r="AH1061" s="62"/>
      <c r="AI1061" s="62"/>
      <c r="AJ1061" s="62"/>
      <c r="AK1061" s="62"/>
      <c r="AL1061" s="62"/>
      <c r="AM1061" s="62"/>
      <c r="AN1061" s="62"/>
    </row>
    <row r="1062" spans="17:40" x14ac:dyDescent="0.4">
      <c r="Q1062" s="62"/>
      <c r="R1062" s="62"/>
      <c r="S1062" s="62"/>
      <c r="T1062" s="62"/>
      <c r="U1062" s="62"/>
      <c r="V1062" s="62"/>
      <c r="W1062" s="62"/>
      <c r="X1062" s="62"/>
      <c r="Y1062" s="62"/>
      <c r="Z1062" s="62"/>
      <c r="AA1062" s="62"/>
      <c r="AB1062" s="62"/>
      <c r="AC1062" s="62"/>
      <c r="AD1062" s="62"/>
      <c r="AE1062" s="62"/>
      <c r="AF1062" s="62"/>
      <c r="AG1062" s="62"/>
      <c r="AH1062" s="62"/>
      <c r="AI1062" s="62"/>
      <c r="AJ1062" s="62"/>
      <c r="AK1062" s="62"/>
      <c r="AL1062" s="62"/>
      <c r="AM1062" s="62"/>
      <c r="AN1062" s="62"/>
    </row>
    <row r="1063" spans="17:40" x14ac:dyDescent="0.4">
      <c r="Q1063" s="62"/>
      <c r="R1063" s="62"/>
      <c r="S1063" s="62"/>
      <c r="T1063" s="62"/>
      <c r="U1063" s="62"/>
      <c r="V1063" s="62"/>
      <c r="W1063" s="62"/>
      <c r="X1063" s="62"/>
      <c r="Y1063" s="62"/>
      <c r="Z1063" s="62"/>
      <c r="AA1063" s="62"/>
      <c r="AB1063" s="62"/>
      <c r="AC1063" s="62"/>
      <c r="AD1063" s="62"/>
      <c r="AE1063" s="62"/>
      <c r="AF1063" s="62"/>
      <c r="AG1063" s="62"/>
      <c r="AH1063" s="62"/>
      <c r="AI1063" s="62"/>
      <c r="AJ1063" s="62"/>
      <c r="AK1063" s="62"/>
      <c r="AL1063" s="62"/>
      <c r="AM1063" s="62"/>
      <c r="AN1063" s="62"/>
    </row>
    <row r="1064" spans="17:40" x14ac:dyDescent="0.4">
      <c r="Q1064" s="62"/>
      <c r="R1064" s="62"/>
      <c r="S1064" s="62"/>
      <c r="T1064" s="62"/>
      <c r="U1064" s="62"/>
      <c r="V1064" s="62"/>
      <c r="W1064" s="62"/>
      <c r="X1064" s="62"/>
      <c r="Y1064" s="62"/>
      <c r="Z1064" s="62"/>
      <c r="AA1064" s="62"/>
      <c r="AB1064" s="62"/>
      <c r="AC1064" s="62"/>
      <c r="AD1064" s="62"/>
      <c r="AE1064" s="62"/>
      <c r="AF1064" s="62"/>
      <c r="AG1064" s="62"/>
      <c r="AH1064" s="62"/>
      <c r="AI1064" s="62"/>
      <c r="AJ1064" s="62"/>
      <c r="AK1064" s="62"/>
      <c r="AL1064" s="62"/>
      <c r="AM1064" s="62"/>
      <c r="AN1064" s="62"/>
    </row>
    <row r="1065" spans="17:40" x14ac:dyDescent="0.4">
      <c r="Q1065" s="62"/>
      <c r="R1065" s="62"/>
      <c r="S1065" s="62"/>
      <c r="T1065" s="62"/>
      <c r="U1065" s="62"/>
      <c r="V1065" s="62"/>
      <c r="W1065" s="62"/>
      <c r="X1065" s="62"/>
      <c r="Y1065" s="62"/>
      <c r="Z1065" s="62"/>
      <c r="AA1065" s="62"/>
      <c r="AB1065" s="62"/>
      <c r="AC1065" s="62"/>
      <c r="AD1065" s="62"/>
      <c r="AE1065" s="62"/>
      <c r="AF1065" s="62"/>
      <c r="AG1065" s="62"/>
      <c r="AH1065" s="62"/>
      <c r="AI1065" s="62"/>
      <c r="AJ1065" s="62"/>
      <c r="AK1065" s="62"/>
      <c r="AL1065" s="62"/>
      <c r="AM1065" s="62"/>
      <c r="AN1065" s="62"/>
    </row>
    <row r="1066" spans="17:40" x14ac:dyDescent="0.4">
      <c r="Q1066" s="62"/>
      <c r="R1066" s="62"/>
      <c r="S1066" s="62"/>
      <c r="T1066" s="62"/>
      <c r="U1066" s="62"/>
      <c r="V1066" s="62"/>
      <c r="W1066" s="62"/>
      <c r="X1066" s="62"/>
      <c r="Y1066" s="62"/>
      <c r="Z1066" s="62"/>
      <c r="AA1066" s="62"/>
      <c r="AB1066" s="62"/>
      <c r="AC1066" s="62"/>
      <c r="AD1066" s="62"/>
      <c r="AE1066" s="62"/>
      <c r="AF1066" s="62"/>
      <c r="AG1066" s="62"/>
      <c r="AH1066" s="62"/>
      <c r="AI1066" s="62"/>
      <c r="AJ1066" s="62"/>
      <c r="AK1066" s="62"/>
      <c r="AL1066" s="62"/>
      <c r="AM1066" s="62"/>
      <c r="AN1066" s="62"/>
    </row>
    <row r="1067" spans="17:40" x14ac:dyDescent="0.4">
      <c r="Q1067" s="62"/>
      <c r="R1067" s="62"/>
      <c r="S1067" s="62"/>
      <c r="T1067" s="62"/>
      <c r="U1067" s="62"/>
      <c r="V1067" s="62"/>
      <c r="W1067" s="62"/>
      <c r="X1067" s="62"/>
      <c r="Y1067" s="62"/>
      <c r="Z1067" s="62"/>
      <c r="AA1067" s="62"/>
      <c r="AB1067" s="62"/>
      <c r="AC1067" s="62"/>
      <c r="AD1067" s="62"/>
      <c r="AE1067" s="62"/>
      <c r="AF1067" s="62"/>
      <c r="AG1067" s="62"/>
      <c r="AH1067" s="62"/>
      <c r="AI1067" s="62"/>
      <c r="AJ1067" s="62"/>
      <c r="AK1067" s="62"/>
      <c r="AL1067" s="62"/>
      <c r="AM1067" s="62"/>
      <c r="AN1067" s="62"/>
    </row>
    <row r="1068" spans="17:40" x14ac:dyDescent="0.4">
      <c r="Q1068" s="62"/>
      <c r="R1068" s="62"/>
      <c r="S1068" s="62"/>
      <c r="T1068" s="62"/>
      <c r="U1068" s="62"/>
      <c r="V1068" s="62"/>
      <c r="W1068" s="62"/>
      <c r="X1068" s="62"/>
      <c r="Y1068" s="62"/>
      <c r="Z1068" s="62"/>
      <c r="AA1068" s="62"/>
      <c r="AB1068" s="62"/>
      <c r="AC1068" s="62"/>
      <c r="AD1068" s="62"/>
      <c r="AE1068" s="62"/>
      <c r="AF1068" s="62"/>
      <c r="AG1068" s="62"/>
      <c r="AH1068" s="62"/>
      <c r="AI1068" s="62"/>
      <c r="AJ1068" s="62"/>
      <c r="AK1068" s="62"/>
      <c r="AL1068" s="62"/>
      <c r="AM1068" s="62"/>
      <c r="AN1068" s="62"/>
    </row>
    <row r="1069" spans="17:40" x14ac:dyDescent="0.4">
      <c r="Q1069" s="62"/>
      <c r="R1069" s="62"/>
      <c r="S1069" s="62"/>
      <c r="T1069" s="62"/>
      <c r="U1069" s="62"/>
      <c r="V1069" s="62"/>
      <c r="W1069" s="62"/>
      <c r="X1069" s="62"/>
      <c r="Y1069" s="62"/>
      <c r="Z1069" s="62"/>
      <c r="AA1069" s="62"/>
      <c r="AB1069" s="62"/>
      <c r="AC1069" s="62"/>
      <c r="AD1069" s="62"/>
      <c r="AE1069" s="62"/>
      <c r="AF1069" s="62"/>
      <c r="AG1069" s="62"/>
      <c r="AH1069" s="62"/>
      <c r="AI1069" s="62"/>
      <c r="AJ1069" s="62"/>
      <c r="AK1069" s="62"/>
      <c r="AL1069" s="62"/>
      <c r="AM1069" s="62"/>
      <c r="AN1069" s="62"/>
    </row>
    <row r="1070" spans="17:40" x14ac:dyDescent="0.4"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</row>
    <row r="1071" spans="17:40" x14ac:dyDescent="0.4"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</row>
    <row r="1072" spans="17:40" x14ac:dyDescent="0.4">
      <c r="Q1072" s="62"/>
      <c r="R1072" s="62"/>
      <c r="S1072" s="62"/>
      <c r="T1072" s="62"/>
      <c r="U1072" s="62"/>
      <c r="V1072" s="62"/>
      <c r="W1072" s="62"/>
      <c r="X1072" s="62"/>
      <c r="Y1072" s="62"/>
      <c r="Z1072" s="62"/>
      <c r="AA1072" s="62"/>
      <c r="AB1072" s="62"/>
      <c r="AC1072" s="62"/>
      <c r="AD1072" s="62"/>
      <c r="AE1072" s="62"/>
      <c r="AF1072" s="62"/>
      <c r="AG1072" s="62"/>
      <c r="AH1072" s="62"/>
      <c r="AI1072" s="62"/>
      <c r="AJ1072" s="62"/>
      <c r="AK1072" s="62"/>
      <c r="AL1072" s="62"/>
      <c r="AM1072" s="62"/>
      <c r="AN1072" s="62"/>
    </row>
    <row r="1073" spans="17:40" x14ac:dyDescent="0.4"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62"/>
      <c r="AL1073" s="62"/>
      <c r="AM1073" s="62"/>
      <c r="AN1073" s="62"/>
    </row>
    <row r="1074" spans="17:40" x14ac:dyDescent="0.4"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</row>
    <row r="1075" spans="17:40" x14ac:dyDescent="0.4"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</row>
    <row r="1076" spans="17:40" x14ac:dyDescent="0.4"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</row>
    <row r="1077" spans="17:40" x14ac:dyDescent="0.4"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</row>
    <row r="1078" spans="17:40" x14ac:dyDescent="0.4"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</row>
    <row r="1079" spans="17:40" x14ac:dyDescent="0.4"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</row>
    <row r="1080" spans="17:40" x14ac:dyDescent="0.4"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</row>
    <row r="1081" spans="17:40" x14ac:dyDescent="0.4"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</row>
    <row r="1082" spans="17:40" x14ac:dyDescent="0.4"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</row>
    <row r="1083" spans="17:40" x14ac:dyDescent="0.4"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</row>
    <row r="1084" spans="17:40" x14ac:dyDescent="0.4">
      <c r="Q1084" s="62"/>
      <c r="R1084" s="62"/>
      <c r="S1084" s="62"/>
      <c r="T1084" s="62"/>
      <c r="U1084" s="62"/>
      <c r="V1084" s="62"/>
      <c r="W1084" s="62"/>
      <c r="X1084" s="62"/>
      <c r="Y1084" s="62"/>
      <c r="Z1084" s="62"/>
      <c r="AA1084" s="62"/>
      <c r="AB1084" s="62"/>
      <c r="AC1084" s="62"/>
      <c r="AD1084" s="62"/>
      <c r="AE1084" s="62"/>
      <c r="AF1084" s="62"/>
      <c r="AG1084" s="62"/>
      <c r="AH1084" s="62"/>
      <c r="AI1084" s="62"/>
      <c r="AJ1084" s="62"/>
      <c r="AK1084" s="62"/>
      <c r="AL1084" s="62"/>
      <c r="AM1084" s="62"/>
      <c r="AN1084" s="62"/>
    </row>
    <row r="1085" spans="17:40" x14ac:dyDescent="0.4">
      <c r="Q1085" s="62"/>
      <c r="R1085" s="62"/>
      <c r="S1085" s="62"/>
      <c r="T1085" s="62"/>
      <c r="U1085" s="62"/>
      <c r="V1085" s="62"/>
      <c r="W1085" s="62"/>
      <c r="X1085" s="62"/>
      <c r="Y1085" s="62"/>
      <c r="Z1085" s="62"/>
      <c r="AA1085" s="62"/>
      <c r="AB1085" s="62"/>
      <c r="AC1085" s="62"/>
      <c r="AD1085" s="62"/>
      <c r="AE1085" s="62"/>
      <c r="AF1085" s="62"/>
      <c r="AG1085" s="62"/>
      <c r="AH1085" s="62"/>
      <c r="AI1085" s="62"/>
      <c r="AJ1085" s="62"/>
      <c r="AK1085" s="62"/>
      <c r="AL1085" s="62"/>
      <c r="AM1085" s="62"/>
      <c r="AN1085" s="62"/>
    </row>
    <row r="1086" spans="17:40" x14ac:dyDescent="0.4">
      <c r="Q1086" s="62"/>
      <c r="R1086" s="62"/>
      <c r="S1086" s="62"/>
      <c r="T1086" s="62"/>
      <c r="U1086" s="62"/>
      <c r="V1086" s="62"/>
      <c r="W1086" s="62"/>
      <c r="X1086" s="62"/>
      <c r="Y1086" s="62"/>
      <c r="Z1086" s="62"/>
      <c r="AA1086" s="62"/>
      <c r="AB1086" s="62"/>
      <c r="AC1086" s="62"/>
      <c r="AD1086" s="62"/>
      <c r="AE1086" s="62"/>
      <c r="AF1086" s="62"/>
      <c r="AG1086" s="62"/>
      <c r="AH1086" s="62"/>
      <c r="AI1086" s="62"/>
      <c r="AJ1086" s="62"/>
      <c r="AK1086" s="62"/>
      <c r="AL1086" s="62"/>
      <c r="AM1086" s="62"/>
      <c r="AN1086" s="62"/>
    </row>
    <row r="1087" spans="17:40" x14ac:dyDescent="0.4">
      <c r="Q1087" s="62"/>
      <c r="R1087" s="62"/>
      <c r="S1087" s="62"/>
      <c r="T1087" s="62"/>
      <c r="U1087" s="62"/>
      <c r="V1087" s="62"/>
      <c r="W1087" s="62"/>
      <c r="X1087" s="62"/>
      <c r="Y1087" s="62"/>
      <c r="Z1087" s="62"/>
      <c r="AA1087" s="62"/>
      <c r="AB1087" s="62"/>
      <c r="AC1087" s="62"/>
      <c r="AD1087" s="62"/>
      <c r="AE1087" s="62"/>
      <c r="AF1087" s="62"/>
      <c r="AG1087" s="62"/>
      <c r="AH1087" s="62"/>
      <c r="AI1087" s="62"/>
      <c r="AJ1087" s="62"/>
      <c r="AK1087" s="62"/>
      <c r="AL1087" s="62"/>
      <c r="AM1087" s="62"/>
      <c r="AN1087" s="62"/>
    </row>
    <row r="1088" spans="17:40" x14ac:dyDescent="0.4">
      <c r="Q1088" s="62"/>
      <c r="R1088" s="62"/>
      <c r="S1088" s="62"/>
      <c r="T1088" s="62"/>
      <c r="U1088" s="62"/>
      <c r="V1088" s="62"/>
      <c r="W1088" s="62"/>
      <c r="X1088" s="62"/>
      <c r="Y1088" s="62"/>
      <c r="Z1088" s="62"/>
      <c r="AA1088" s="62"/>
      <c r="AB1088" s="62"/>
      <c r="AC1088" s="62"/>
      <c r="AD1088" s="62"/>
      <c r="AE1088" s="62"/>
      <c r="AF1088" s="62"/>
      <c r="AG1088" s="62"/>
      <c r="AH1088" s="62"/>
      <c r="AI1088" s="62"/>
      <c r="AJ1088" s="62"/>
      <c r="AK1088" s="62"/>
      <c r="AL1088" s="62"/>
      <c r="AM1088" s="62"/>
      <c r="AN1088" s="62"/>
    </row>
    <row r="1089" spans="17:40" x14ac:dyDescent="0.4">
      <c r="Q1089" s="62"/>
      <c r="R1089" s="62"/>
      <c r="S1089" s="62"/>
      <c r="T1089" s="62"/>
      <c r="U1089" s="62"/>
      <c r="V1089" s="62"/>
      <c r="W1089" s="62"/>
      <c r="X1089" s="62"/>
      <c r="Y1089" s="62"/>
      <c r="Z1089" s="62"/>
      <c r="AA1089" s="62"/>
      <c r="AB1089" s="62"/>
      <c r="AC1089" s="62"/>
      <c r="AD1089" s="62"/>
      <c r="AE1089" s="62"/>
      <c r="AF1089" s="62"/>
      <c r="AG1089" s="62"/>
      <c r="AH1089" s="62"/>
      <c r="AI1089" s="62"/>
      <c r="AJ1089" s="62"/>
      <c r="AK1089" s="62"/>
      <c r="AL1089" s="62"/>
      <c r="AM1089" s="62"/>
      <c r="AN1089" s="62"/>
    </row>
    <row r="1090" spans="17:40" x14ac:dyDescent="0.4">
      <c r="Q1090" s="62"/>
      <c r="R1090" s="62"/>
      <c r="S1090" s="62"/>
      <c r="T1090" s="62"/>
      <c r="U1090" s="62"/>
      <c r="V1090" s="62"/>
      <c r="W1090" s="62"/>
      <c r="X1090" s="62"/>
      <c r="Y1090" s="62"/>
      <c r="Z1090" s="62"/>
      <c r="AA1090" s="62"/>
      <c r="AB1090" s="62"/>
      <c r="AC1090" s="62"/>
      <c r="AD1090" s="62"/>
      <c r="AE1090" s="62"/>
      <c r="AF1090" s="62"/>
      <c r="AG1090" s="62"/>
      <c r="AH1090" s="62"/>
      <c r="AI1090" s="62"/>
      <c r="AJ1090" s="62"/>
      <c r="AK1090" s="62"/>
      <c r="AL1090" s="62"/>
      <c r="AM1090" s="62"/>
      <c r="AN1090" s="62"/>
    </row>
    <row r="1091" spans="17:40" x14ac:dyDescent="0.4">
      <c r="Q1091" s="62"/>
      <c r="R1091" s="62"/>
      <c r="S1091" s="62"/>
      <c r="T1091" s="62"/>
      <c r="U1091" s="62"/>
      <c r="V1091" s="62"/>
      <c r="W1091" s="62"/>
      <c r="X1091" s="62"/>
      <c r="Y1091" s="62"/>
      <c r="Z1091" s="62"/>
      <c r="AA1091" s="62"/>
      <c r="AB1091" s="62"/>
      <c r="AC1091" s="62"/>
      <c r="AD1091" s="62"/>
      <c r="AE1091" s="62"/>
      <c r="AF1091" s="62"/>
      <c r="AG1091" s="62"/>
      <c r="AH1091" s="62"/>
      <c r="AI1091" s="62"/>
      <c r="AJ1091" s="62"/>
      <c r="AK1091" s="62"/>
      <c r="AL1091" s="62"/>
      <c r="AM1091" s="62"/>
      <c r="AN1091" s="62"/>
    </row>
    <row r="1092" spans="17:40" x14ac:dyDescent="0.4">
      <c r="Q1092" s="62"/>
      <c r="R1092" s="62"/>
      <c r="S1092" s="62"/>
      <c r="T1092" s="62"/>
      <c r="U1092" s="62"/>
      <c r="V1092" s="62"/>
      <c r="W1092" s="62"/>
      <c r="X1092" s="62"/>
      <c r="Y1092" s="62"/>
      <c r="Z1092" s="62"/>
      <c r="AA1092" s="62"/>
      <c r="AB1092" s="62"/>
      <c r="AC1092" s="62"/>
      <c r="AD1092" s="62"/>
      <c r="AE1092" s="62"/>
      <c r="AF1092" s="62"/>
      <c r="AG1092" s="62"/>
      <c r="AH1092" s="62"/>
      <c r="AI1092" s="62"/>
      <c r="AJ1092" s="62"/>
      <c r="AK1092" s="62"/>
      <c r="AL1092" s="62"/>
      <c r="AM1092" s="62"/>
      <c r="AN1092" s="62"/>
    </row>
    <row r="1093" spans="17:40" x14ac:dyDescent="0.4">
      <c r="Q1093" s="62"/>
      <c r="R1093" s="62"/>
      <c r="S1093" s="62"/>
      <c r="T1093" s="62"/>
      <c r="U1093" s="62"/>
      <c r="V1093" s="62"/>
      <c r="W1093" s="62"/>
      <c r="X1093" s="62"/>
      <c r="Y1093" s="62"/>
      <c r="Z1093" s="62"/>
      <c r="AA1093" s="62"/>
      <c r="AB1093" s="62"/>
      <c r="AC1093" s="62"/>
      <c r="AD1093" s="62"/>
      <c r="AE1093" s="62"/>
      <c r="AF1093" s="62"/>
      <c r="AG1093" s="62"/>
      <c r="AH1093" s="62"/>
      <c r="AI1093" s="62"/>
      <c r="AJ1093" s="62"/>
      <c r="AK1093" s="62"/>
      <c r="AL1093" s="62"/>
      <c r="AM1093" s="62"/>
      <c r="AN1093" s="62"/>
    </row>
    <row r="1094" spans="17:40" x14ac:dyDescent="0.4">
      <c r="Q1094" s="62"/>
      <c r="R1094" s="62"/>
      <c r="S1094" s="62"/>
      <c r="T1094" s="62"/>
      <c r="U1094" s="62"/>
      <c r="V1094" s="62"/>
      <c r="W1094" s="62"/>
      <c r="X1094" s="62"/>
      <c r="Y1094" s="62"/>
      <c r="Z1094" s="62"/>
      <c r="AA1094" s="62"/>
      <c r="AB1094" s="62"/>
      <c r="AC1094" s="62"/>
      <c r="AD1094" s="62"/>
      <c r="AE1094" s="62"/>
      <c r="AF1094" s="62"/>
      <c r="AG1094" s="62"/>
      <c r="AH1094" s="62"/>
      <c r="AI1094" s="62"/>
      <c r="AJ1094" s="62"/>
      <c r="AK1094" s="62"/>
      <c r="AL1094" s="62"/>
      <c r="AM1094" s="62"/>
      <c r="AN1094" s="62"/>
    </row>
    <row r="1095" spans="17:40" x14ac:dyDescent="0.4">
      <c r="Q1095" s="62"/>
      <c r="R1095" s="62"/>
      <c r="S1095" s="62"/>
      <c r="T1095" s="62"/>
      <c r="U1095" s="62"/>
      <c r="V1095" s="62"/>
      <c r="W1095" s="62"/>
      <c r="X1095" s="62"/>
      <c r="Y1095" s="62"/>
      <c r="Z1095" s="62"/>
      <c r="AA1095" s="62"/>
      <c r="AB1095" s="62"/>
      <c r="AC1095" s="62"/>
      <c r="AD1095" s="62"/>
      <c r="AE1095" s="62"/>
      <c r="AF1095" s="62"/>
      <c r="AG1095" s="62"/>
      <c r="AH1095" s="62"/>
      <c r="AI1095" s="62"/>
      <c r="AJ1095" s="62"/>
      <c r="AK1095" s="62"/>
      <c r="AL1095" s="62"/>
      <c r="AM1095" s="62"/>
      <c r="AN1095" s="62"/>
    </row>
    <row r="1096" spans="17:40" x14ac:dyDescent="0.4">
      <c r="Q1096" s="62"/>
      <c r="R1096" s="62"/>
      <c r="S1096" s="62"/>
      <c r="T1096" s="62"/>
      <c r="U1096" s="62"/>
      <c r="V1096" s="62"/>
      <c r="W1096" s="62"/>
      <c r="X1096" s="62"/>
      <c r="Y1096" s="62"/>
      <c r="Z1096" s="62"/>
      <c r="AA1096" s="62"/>
      <c r="AB1096" s="62"/>
      <c r="AC1096" s="62"/>
      <c r="AD1096" s="62"/>
      <c r="AE1096" s="62"/>
      <c r="AF1096" s="62"/>
      <c r="AG1096" s="62"/>
      <c r="AH1096" s="62"/>
      <c r="AI1096" s="62"/>
      <c r="AJ1096" s="62"/>
      <c r="AK1096" s="62"/>
      <c r="AL1096" s="62"/>
      <c r="AM1096" s="62"/>
      <c r="AN1096" s="62"/>
    </row>
    <row r="1097" spans="17:40" x14ac:dyDescent="0.4">
      <c r="Q1097" s="62"/>
      <c r="R1097" s="62"/>
      <c r="S1097" s="62"/>
      <c r="T1097" s="62"/>
      <c r="U1097" s="62"/>
      <c r="V1097" s="62"/>
      <c r="W1097" s="62"/>
      <c r="X1097" s="62"/>
      <c r="Y1097" s="62"/>
      <c r="Z1097" s="62"/>
      <c r="AA1097" s="62"/>
      <c r="AB1097" s="62"/>
      <c r="AC1097" s="62"/>
      <c r="AD1097" s="62"/>
      <c r="AE1097" s="62"/>
      <c r="AF1097" s="62"/>
      <c r="AG1097" s="62"/>
      <c r="AH1097" s="62"/>
      <c r="AI1097" s="62"/>
      <c r="AJ1097" s="62"/>
      <c r="AK1097" s="62"/>
      <c r="AL1097" s="62"/>
      <c r="AM1097" s="62"/>
      <c r="AN1097" s="62"/>
    </row>
    <row r="1098" spans="17:40" x14ac:dyDescent="0.4">
      <c r="Q1098" s="62"/>
      <c r="R1098" s="62"/>
      <c r="S1098" s="62"/>
      <c r="T1098" s="62"/>
      <c r="U1098" s="62"/>
      <c r="V1098" s="62"/>
      <c r="W1098" s="62"/>
      <c r="X1098" s="62"/>
      <c r="Y1098" s="62"/>
      <c r="Z1098" s="62"/>
      <c r="AA1098" s="62"/>
      <c r="AB1098" s="62"/>
      <c r="AC1098" s="62"/>
      <c r="AD1098" s="62"/>
      <c r="AE1098" s="62"/>
      <c r="AF1098" s="62"/>
      <c r="AG1098" s="62"/>
      <c r="AH1098" s="62"/>
      <c r="AI1098" s="62"/>
      <c r="AJ1098" s="62"/>
      <c r="AK1098" s="62"/>
      <c r="AL1098" s="62"/>
      <c r="AM1098" s="62"/>
      <c r="AN1098" s="62"/>
    </row>
    <row r="1099" spans="17:40" x14ac:dyDescent="0.4">
      <c r="Q1099" s="62"/>
      <c r="R1099" s="62"/>
      <c r="S1099" s="62"/>
      <c r="T1099" s="62"/>
      <c r="U1099" s="62"/>
      <c r="V1099" s="62"/>
      <c r="W1099" s="62"/>
      <c r="X1099" s="62"/>
      <c r="Y1099" s="62"/>
      <c r="Z1099" s="62"/>
      <c r="AA1099" s="62"/>
      <c r="AB1099" s="62"/>
      <c r="AC1099" s="62"/>
      <c r="AD1099" s="62"/>
      <c r="AE1099" s="62"/>
      <c r="AF1099" s="62"/>
      <c r="AG1099" s="62"/>
      <c r="AH1099" s="62"/>
      <c r="AI1099" s="62"/>
      <c r="AJ1099" s="62"/>
      <c r="AK1099" s="62"/>
      <c r="AL1099" s="62"/>
      <c r="AM1099" s="62"/>
      <c r="AN1099" s="62"/>
    </row>
    <row r="1100" spans="17:40" x14ac:dyDescent="0.4">
      <c r="Q1100" s="62"/>
      <c r="R1100" s="62"/>
      <c r="S1100" s="62"/>
      <c r="T1100" s="62"/>
      <c r="U1100" s="62"/>
      <c r="V1100" s="62"/>
      <c r="W1100" s="62"/>
      <c r="X1100" s="62"/>
      <c r="Y1100" s="62"/>
      <c r="Z1100" s="62"/>
      <c r="AA1100" s="62"/>
      <c r="AB1100" s="62"/>
      <c r="AC1100" s="62"/>
      <c r="AD1100" s="62"/>
      <c r="AE1100" s="62"/>
      <c r="AF1100" s="62"/>
      <c r="AG1100" s="62"/>
      <c r="AH1100" s="62"/>
      <c r="AI1100" s="62"/>
      <c r="AJ1100" s="62"/>
      <c r="AK1100" s="62"/>
      <c r="AL1100" s="62"/>
      <c r="AM1100" s="62"/>
      <c r="AN1100" s="62"/>
    </row>
    <row r="1101" spans="17:40" x14ac:dyDescent="0.4">
      <c r="Q1101" s="62"/>
      <c r="R1101" s="62"/>
      <c r="S1101" s="62"/>
      <c r="T1101" s="62"/>
      <c r="U1101" s="62"/>
      <c r="V1101" s="62"/>
      <c r="W1101" s="62"/>
      <c r="X1101" s="62"/>
      <c r="Y1101" s="62"/>
      <c r="Z1101" s="62"/>
      <c r="AA1101" s="62"/>
      <c r="AB1101" s="62"/>
      <c r="AC1101" s="62"/>
      <c r="AD1101" s="62"/>
      <c r="AE1101" s="62"/>
      <c r="AF1101" s="62"/>
      <c r="AG1101" s="62"/>
      <c r="AH1101" s="62"/>
      <c r="AI1101" s="62"/>
      <c r="AJ1101" s="62"/>
      <c r="AK1101" s="62"/>
      <c r="AL1101" s="62"/>
      <c r="AM1101" s="62"/>
      <c r="AN1101" s="62"/>
    </row>
    <row r="1102" spans="17:40" x14ac:dyDescent="0.4">
      <c r="Q1102" s="62"/>
      <c r="R1102" s="62"/>
      <c r="S1102" s="62"/>
      <c r="T1102" s="62"/>
      <c r="U1102" s="62"/>
      <c r="V1102" s="62"/>
      <c r="W1102" s="62"/>
      <c r="X1102" s="62"/>
      <c r="Y1102" s="62"/>
      <c r="Z1102" s="62"/>
      <c r="AA1102" s="62"/>
      <c r="AB1102" s="62"/>
      <c r="AC1102" s="62"/>
      <c r="AD1102" s="62"/>
      <c r="AE1102" s="62"/>
      <c r="AF1102" s="62"/>
      <c r="AG1102" s="62"/>
      <c r="AH1102" s="62"/>
      <c r="AI1102" s="62"/>
      <c r="AJ1102" s="62"/>
      <c r="AK1102" s="62"/>
      <c r="AL1102" s="62"/>
      <c r="AM1102" s="62"/>
      <c r="AN1102" s="62"/>
    </row>
    <row r="1103" spans="17:40" x14ac:dyDescent="0.4">
      <c r="Q1103" s="62"/>
      <c r="R1103" s="62"/>
      <c r="S1103" s="62"/>
      <c r="T1103" s="62"/>
      <c r="U1103" s="62"/>
      <c r="V1103" s="62"/>
      <c r="W1103" s="62"/>
      <c r="X1103" s="62"/>
      <c r="Y1103" s="62"/>
      <c r="Z1103" s="62"/>
      <c r="AA1103" s="62"/>
      <c r="AB1103" s="62"/>
      <c r="AC1103" s="62"/>
      <c r="AD1103" s="62"/>
      <c r="AE1103" s="62"/>
      <c r="AF1103" s="62"/>
      <c r="AG1103" s="62"/>
      <c r="AH1103" s="62"/>
      <c r="AI1103" s="62"/>
      <c r="AJ1103" s="62"/>
      <c r="AK1103" s="62"/>
      <c r="AL1103" s="62"/>
      <c r="AM1103" s="62"/>
      <c r="AN1103" s="62"/>
    </row>
    <row r="1104" spans="17:40" x14ac:dyDescent="0.4">
      <c r="Q1104" s="62"/>
      <c r="R1104" s="62"/>
      <c r="S1104" s="62"/>
      <c r="T1104" s="62"/>
      <c r="U1104" s="62"/>
      <c r="V1104" s="62"/>
      <c r="W1104" s="62"/>
      <c r="X1104" s="62"/>
      <c r="Y1104" s="62"/>
      <c r="Z1104" s="62"/>
      <c r="AA1104" s="62"/>
      <c r="AB1104" s="62"/>
      <c r="AC1104" s="62"/>
      <c r="AD1104" s="62"/>
      <c r="AE1104" s="62"/>
      <c r="AF1104" s="62"/>
      <c r="AG1104" s="62"/>
      <c r="AH1104" s="62"/>
      <c r="AI1104" s="62"/>
      <c r="AJ1104" s="62"/>
      <c r="AK1104" s="62"/>
      <c r="AL1104" s="62"/>
      <c r="AM1104" s="62"/>
      <c r="AN1104" s="62"/>
    </row>
    <row r="1105" spans="17:40" x14ac:dyDescent="0.4">
      <c r="Q1105" s="62"/>
      <c r="R1105" s="62"/>
      <c r="S1105" s="62"/>
      <c r="T1105" s="62"/>
      <c r="U1105" s="62"/>
      <c r="V1105" s="62"/>
      <c r="W1105" s="62"/>
      <c r="X1105" s="62"/>
      <c r="Y1105" s="62"/>
      <c r="Z1105" s="62"/>
      <c r="AA1105" s="62"/>
      <c r="AB1105" s="62"/>
      <c r="AC1105" s="62"/>
      <c r="AD1105" s="62"/>
      <c r="AE1105" s="62"/>
      <c r="AF1105" s="62"/>
      <c r="AG1105" s="62"/>
      <c r="AH1105" s="62"/>
      <c r="AI1105" s="62"/>
      <c r="AJ1105" s="62"/>
      <c r="AK1105" s="62"/>
      <c r="AL1105" s="62"/>
      <c r="AM1105" s="62"/>
      <c r="AN1105" s="62"/>
    </row>
    <row r="1106" spans="17:40" x14ac:dyDescent="0.4">
      <c r="Q1106" s="62"/>
      <c r="R1106" s="62"/>
      <c r="S1106" s="62"/>
      <c r="T1106" s="62"/>
      <c r="U1106" s="62"/>
      <c r="V1106" s="62"/>
      <c r="W1106" s="62"/>
      <c r="X1106" s="62"/>
      <c r="Y1106" s="62"/>
      <c r="Z1106" s="62"/>
      <c r="AA1106" s="62"/>
      <c r="AB1106" s="62"/>
      <c r="AC1106" s="62"/>
      <c r="AD1106" s="62"/>
      <c r="AE1106" s="62"/>
      <c r="AF1106" s="62"/>
      <c r="AG1106" s="62"/>
      <c r="AH1106" s="62"/>
      <c r="AI1106" s="62"/>
      <c r="AJ1106" s="62"/>
      <c r="AK1106" s="62"/>
      <c r="AL1106" s="62"/>
      <c r="AM1106" s="62"/>
      <c r="AN1106" s="62"/>
    </row>
    <row r="1107" spans="17:40" x14ac:dyDescent="0.4">
      <c r="Q1107" s="62"/>
      <c r="R1107" s="62"/>
      <c r="S1107" s="62"/>
      <c r="T1107" s="62"/>
      <c r="U1107" s="62"/>
      <c r="V1107" s="62"/>
      <c r="W1107" s="62"/>
      <c r="X1107" s="62"/>
      <c r="Y1107" s="62"/>
      <c r="Z1107" s="62"/>
      <c r="AA1107" s="62"/>
      <c r="AB1107" s="62"/>
      <c r="AC1107" s="62"/>
      <c r="AD1107" s="62"/>
      <c r="AE1107" s="62"/>
      <c r="AF1107" s="62"/>
      <c r="AG1107" s="62"/>
      <c r="AH1107" s="62"/>
      <c r="AI1107" s="62"/>
      <c r="AJ1107" s="62"/>
      <c r="AK1107" s="62"/>
      <c r="AL1107" s="62"/>
      <c r="AM1107" s="62"/>
      <c r="AN1107" s="62"/>
    </row>
    <row r="1108" spans="17:40" x14ac:dyDescent="0.4"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</row>
    <row r="1109" spans="17:40" x14ac:dyDescent="0.4"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</row>
    <row r="1110" spans="17:40" x14ac:dyDescent="0.4">
      <c r="Q1110" s="62"/>
      <c r="R1110" s="62"/>
      <c r="S1110" s="62"/>
      <c r="T1110" s="62"/>
      <c r="U1110" s="62"/>
      <c r="V1110" s="62"/>
      <c r="W1110" s="62"/>
      <c r="X1110" s="62"/>
      <c r="Y1110" s="62"/>
      <c r="Z1110" s="62"/>
      <c r="AA1110" s="62"/>
      <c r="AB1110" s="62"/>
      <c r="AC1110" s="62"/>
      <c r="AD1110" s="62"/>
      <c r="AE1110" s="62"/>
      <c r="AF1110" s="62"/>
      <c r="AG1110" s="62"/>
      <c r="AH1110" s="62"/>
      <c r="AI1110" s="62"/>
      <c r="AJ1110" s="62"/>
      <c r="AK1110" s="62"/>
      <c r="AL1110" s="62"/>
      <c r="AM1110" s="62"/>
      <c r="AN1110" s="62"/>
    </row>
    <row r="1111" spans="17:40" x14ac:dyDescent="0.4"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62"/>
      <c r="AL1111" s="62"/>
      <c r="AM1111" s="62"/>
      <c r="AN1111" s="62"/>
    </row>
    <row r="1112" spans="17:40" x14ac:dyDescent="0.4"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</row>
    <row r="1113" spans="17:40" x14ac:dyDescent="0.4"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</row>
    <row r="1114" spans="17:40" x14ac:dyDescent="0.4"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</row>
    <row r="1115" spans="17:40" x14ac:dyDescent="0.4"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</row>
    <row r="1116" spans="17:40" x14ac:dyDescent="0.4"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</row>
    <row r="1117" spans="17:40" x14ac:dyDescent="0.4"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</row>
    <row r="1118" spans="17:40" x14ac:dyDescent="0.4"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</row>
    <row r="1119" spans="17:40" x14ac:dyDescent="0.4"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</row>
    <row r="1120" spans="17:40" x14ac:dyDescent="0.4"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</row>
    <row r="1121" spans="17:40" x14ac:dyDescent="0.4"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</row>
    <row r="1122" spans="17:40" x14ac:dyDescent="0.4">
      <c r="Q1122" s="62"/>
      <c r="R1122" s="62"/>
      <c r="S1122" s="62"/>
      <c r="T1122" s="62"/>
      <c r="U1122" s="62"/>
      <c r="V1122" s="62"/>
      <c r="W1122" s="62"/>
      <c r="X1122" s="62"/>
      <c r="Y1122" s="62"/>
      <c r="Z1122" s="62"/>
      <c r="AA1122" s="62"/>
      <c r="AB1122" s="62"/>
      <c r="AC1122" s="62"/>
      <c r="AD1122" s="62"/>
      <c r="AE1122" s="62"/>
      <c r="AF1122" s="62"/>
      <c r="AG1122" s="62"/>
      <c r="AH1122" s="62"/>
      <c r="AI1122" s="62"/>
      <c r="AJ1122" s="62"/>
      <c r="AK1122" s="62"/>
      <c r="AL1122" s="62"/>
      <c r="AM1122" s="62"/>
      <c r="AN1122" s="62"/>
    </row>
    <row r="1123" spans="17:40" x14ac:dyDescent="0.4">
      <c r="Q1123" s="62"/>
      <c r="R1123" s="62"/>
      <c r="S1123" s="62"/>
      <c r="T1123" s="62"/>
      <c r="U1123" s="62"/>
      <c r="V1123" s="62"/>
      <c r="W1123" s="62"/>
      <c r="X1123" s="62"/>
      <c r="Y1123" s="62"/>
      <c r="Z1123" s="62"/>
      <c r="AA1123" s="62"/>
      <c r="AB1123" s="62"/>
      <c r="AC1123" s="62"/>
      <c r="AD1123" s="62"/>
      <c r="AE1123" s="62"/>
      <c r="AF1123" s="62"/>
      <c r="AG1123" s="62"/>
      <c r="AH1123" s="62"/>
      <c r="AI1123" s="62"/>
      <c r="AJ1123" s="62"/>
      <c r="AK1123" s="62"/>
      <c r="AL1123" s="62"/>
      <c r="AM1123" s="62"/>
      <c r="AN1123" s="62"/>
    </row>
    <row r="1124" spans="17:40" x14ac:dyDescent="0.4">
      <c r="Q1124" s="62"/>
      <c r="R1124" s="62"/>
      <c r="S1124" s="62"/>
      <c r="T1124" s="62"/>
      <c r="U1124" s="62"/>
      <c r="V1124" s="62"/>
      <c r="W1124" s="62"/>
      <c r="X1124" s="62"/>
      <c r="Y1124" s="62"/>
      <c r="Z1124" s="62"/>
      <c r="AA1124" s="62"/>
      <c r="AB1124" s="62"/>
      <c r="AC1124" s="62"/>
      <c r="AD1124" s="62"/>
      <c r="AE1124" s="62"/>
      <c r="AF1124" s="62"/>
      <c r="AG1124" s="62"/>
      <c r="AH1124" s="62"/>
      <c r="AI1124" s="62"/>
      <c r="AJ1124" s="62"/>
      <c r="AK1124" s="62"/>
      <c r="AL1124" s="62"/>
      <c r="AM1124" s="62"/>
      <c r="AN1124" s="62"/>
    </row>
    <row r="1125" spans="17:40" x14ac:dyDescent="0.4">
      <c r="Q1125" s="62"/>
      <c r="R1125" s="62"/>
      <c r="S1125" s="62"/>
      <c r="T1125" s="62"/>
      <c r="U1125" s="62"/>
      <c r="V1125" s="62"/>
      <c r="W1125" s="62"/>
      <c r="X1125" s="62"/>
      <c r="Y1125" s="62"/>
      <c r="Z1125" s="62"/>
      <c r="AA1125" s="62"/>
      <c r="AB1125" s="62"/>
      <c r="AC1125" s="62"/>
      <c r="AD1125" s="62"/>
      <c r="AE1125" s="62"/>
      <c r="AF1125" s="62"/>
      <c r="AG1125" s="62"/>
      <c r="AH1125" s="62"/>
      <c r="AI1125" s="62"/>
      <c r="AJ1125" s="62"/>
      <c r="AK1125" s="62"/>
      <c r="AL1125" s="62"/>
      <c r="AM1125" s="62"/>
      <c r="AN1125" s="62"/>
    </row>
    <row r="1126" spans="17:40" x14ac:dyDescent="0.4">
      <c r="Q1126" s="62"/>
      <c r="R1126" s="62"/>
      <c r="S1126" s="62"/>
      <c r="T1126" s="62"/>
      <c r="U1126" s="62"/>
      <c r="V1126" s="62"/>
      <c r="W1126" s="62"/>
      <c r="X1126" s="62"/>
      <c r="Y1126" s="62"/>
      <c r="Z1126" s="62"/>
      <c r="AA1126" s="62"/>
      <c r="AB1126" s="62"/>
      <c r="AC1126" s="62"/>
      <c r="AD1126" s="62"/>
      <c r="AE1126" s="62"/>
      <c r="AF1126" s="62"/>
      <c r="AG1126" s="62"/>
      <c r="AH1126" s="62"/>
      <c r="AI1126" s="62"/>
      <c r="AJ1126" s="62"/>
      <c r="AK1126" s="62"/>
      <c r="AL1126" s="62"/>
      <c r="AM1126" s="62"/>
      <c r="AN1126" s="62"/>
    </row>
    <row r="1127" spans="17:40" x14ac:dyDescent="0.4">
      <c r="Q1127" s="62"/>
      <c r="R1127" s="62"/>
      <c r="S1127" s="62"/>
      <c r="T1127" s="62"/>
      <c r="U1127" s="62"/>
      <c r="V1127" s="62"/>
      <c r="W1127" s="62"/>
      <c r="X1127" s="62"/>
      <c r="Y1127" s="62"/>
      <c r="Z1127" s="62"/>
      <c r="AA1127" s="62"/>
      <c r="AB1127" s="62"/>
      <c r="AC1127" s="62"/>
      <c r="AD1127" s="62"/>
      <c r="AE1127" s="62"/>
      <c r="AF1127" s="62"/>
      <c r="AG1127" s="62"/>
      <c r="AH1127" s="62"/>
      <c r="AI1127" s="62"/>
      <c r="AJ1127" s="62"/>
      <c r="AK1127" s="62"/>
      <c r="AL1127" s="62"/>
      <c r="AM1127" s="62"/>
      <c r="AN1127" s="62"/>
    </row>
    <row r="1128" spans="17:40" x14ac:dyDescent="0.4">
      <c r="Q1128" s="62"/>
      <c r="R1128" s="62"/>
      <c r="S1128" s="62"/>
      <c r="T1128" s="62"/>
      <c r="U1128" s="62"/>
      <c r="V1128" s="62"/>
      <c r="W1128" s="62"/>
      <c r="X1128" s="62"/>
      <c r="Y1128" s="62"/>
      <c r="Z1128" s="62"/>
      <c r="AA1128" s="62"/>
      <c r="AB1128" s="62"/>
      <c r="AC1128" s="62"/>
      <c r="AD1128" s="62"/>
      <c r="AE1128" s="62"/>
      <c r="AF1128" s="62"/>
      <c r="AG1128" s="62"/>
      <c r="AH1128" s="62"/>
      <c r="AI1128" s="62"/>
      <c r="AJ1128" s="62"/>
      <c r="AK1128" s="62"/>
      <c r="AL1128" s="62"/>
      <c r="AM1128" s="62"/>
      <c r="AN1128" s="62"/>
    </row>
    <row r="1129" spans="17:40" x14ac:dyDescent="0.4">
      <c r="Q1129" s="62"/>
      <c r="R1129" s="62"/>
      <c r="S1129" s="62"/>
      <c r="T1129" s="62"/>
      <c r="U1129" s="62"/>
      <c r="V1129" s="62"/>
      <c r="W1129" s="62"/>
      <c r="X1129" s="62"/>
      <c r="Y1129" s="62"/>
      <c r="Z1129" s="62"/>
      <c r="AA1129" s="62"/>
      <c r="AB1129" s="62"/>
      <c r="AC1129" s="62"/>
      <c r="AD1129" s="62"/>
      <c r="AE1129" s="62"/>
      <c r="AF1129" s="62"/>
      <c r="AG1129" s="62"/>
      <c r="AH1129" s="62"/>
      <c r="AI1129" s="62"/>
      <c r="AJ1129" s="62"/>
      <c r="AK1129" s="62"/>
      <c r="AL1129" s="62"/>
      <c r="AM1129" s="62"/>
      <c r="AN1129" s="62"/>
    </row>
    <row r="1130" spans="17:40" x14ac:dyDescent="0.4">
      <c r="Q1130" s="62"/>
      <c r="R1130" s="62"/>
      <c r="S1130" s="62"/>
      <c r="T1130" s="62"/>
      <c r="U1130" s="62"/>
      <c r="V1130" s="62"/>
      <c r="W1130" s="62"/>
      <c r="X1130" s="62"/>
      <c r="Y1130" s="62"/>
      <c r="Z1130" s="62"/>
      <c r="AA1130" s="62"/>
      <c r="AB1130" s="62"/>
      <c r="AC1130" s="62"/>
      <c r="AD1130" s="62"/>
      <c r="AE1130" s="62"/>
      <c r="AF1130" s="62"/>
      <c r="AG1130" s="62"/>
      <c r="AH1130" s="62"/>
      <c r="AI1130" s="62"/>
      <c r="AJ1130" s="62"/>
      <c r="AK1130" s="62"/>
      <c r="AL1130" s="62"/>
      <c r="AM1130" s="62"/>
      <c r="AN1130" s="62"/>
    </row>
    <row r="1131" spans="17:40" x14ac:dyDescent="0.4">
      <c r="Q1131" s="62"/>
      <c r="R1131" s="62"/>
      <c r="S1131" s="62"/>
      <c r="T1131" s="62"/>
      <c r="U1131" s="62"/>
      <c r="V1131" s="62"/>
      <c r="W1131" s="62"/>
      <c r="X1131" s="62"/>
      <c r="Y1131" s="62"/>
      <c r="Z1131" s="62"/>
      <c r="AA1131" s="62"/>
      <c r="AB1131" s="62"/>
      <c r="AC1131" s="62"/>
      <c r="AD1131" s="62"/>
      <c r="AE1131" s="62"/>
      <c r="AF1131" s="62"/>
      <c r="AG1131" s="62"/>
      <c r="AH1131" s="62"/>
      <c r="AI1131" s="62"/>
      <c r="AJ1131" s="62"/>
      <c r="AK1131" s="62"/>
      <c r="AL1131" s="62"/>
      <c r="AM1131" s="62"/>
      <c r="AN1131" s="62"/>
    </row>
    <row r="1132" spans="17:40" x14ac:dyDescent="0.4">
      <c r="Q1132" s="62"/>
      <c r="R1132" s="62"/>
      <c r="S1132" s="62"/>
      <c r="T1132" s="62"/>
      <c r="U1132" s="62"/>
      <c r="V1132" s="62"/>
      <c r="W1132" s="62"/>
      <c r="X1132" s="62"/>
      <c r="Y1132" s="62"/>
      <c r="Z1132" s="62"/>
      <c r="AA1132" s="62"/>
      <c r="AB1132" s="62"/>
      <c r="AC1132" s="62"/>
      <c r="AD1132" s="62"/>
      <c r="AE1132" s="62"/>
      <c r="AF1132" s="62"/>
      <c r="AG1132" s="62"/>
      <c r="AH1132" s="62"/>
      <c r="AI1132" s="62"/>
      <c r="AJ1132" s="62"/>
      <c r="AK1132" s="62"/>
      <c r="AL1132" s="62"/>
      <c r="AM1132" s="62"/>
      <c r="AN1132" s="62"/>
    </row>
    <row r="1133" spans="17:40" x14ac:dyDescent="0.4">
      <c r="Q1133" s="62"/>
      <c r="R1133" s="62"/>
      <c r="S1133" s="62"/>
      <c r="T1133" s="62"/>
      <c r="U1133" s="62"/>
      <c r="V1133" s="62"/>
      <c r="W1133" s="62"/>
      <c r="X1133" s="62"/>
      <c r="Y1133" s="62"/>
      <c r="Z1133" s="62"/>
      <c r="AA1133" s="62"/>
      <c r="AB1133" s="62"/>
      <c r="AC1133" s="62"/>
      <c r="AD1133" s="62"/>
      <c r="AE1133" s="62"/>
      <c r="AF1133" s="62"/>
      <c r="AG1133" s="62"/>
      <c r="AH1133" s="62"/>
      <c r="AI1133" s="62"/>
      <c r="AJ1133" s="62"/>
      <c r="AK1133" s="62"/>
      <c r="AL1133" s="62"/>
      <c r="AM1133" s="62"/>
      <c r="AN1133" s="62"/>
    </row>
    <row r="1134" spans="17:40" x14ac:dyDescent="0.4">
      <c r="Q1134" s="62"/>
      <c r="R1134" s="62"/>
      <c r="S1134" s="62"/>
      <c r="T1134" s="62"/>
      <c r="U1134" s="62"/>
      <c r="V1134" s="62"/>
      <c r="W1134" s="62"/>
      <c r="X1134" s="62"/>
      <c r="Y1134" s="62"/>
      <c r="Z1134" s="62"/>
      <c r="AA1134" s="62"/>
      <c r="AB1134" s="62"/>
      <c r="AC1134" s="62"/>
      <c r="AD1134" s="62"/>
      <c r="AE1134" s="62"/>
      <c r="AF1134" s="62"/>
      <c r="AG1134" s="62"/>
      <c r="AH1134" s="62"/>
      <c r="AI1134" s="62"/>
      <c r="AJ1134" s="62"/>
      <c r="AK1134" s="62"/>
      <c r="AL1134" s="62"/>
      <c r="AM1134" s="62"/>
      <c r="AN1134" s="62"/>
    </row>
    <row r="1135" spans="17:40" x14ac:dyDescent="0.4">
      <c r="Q1135" s="62"/>
      <c r="R1135" s="62"/>
      <c r="S1135" s="62"/>
      <c r="T1135" s="62"/>
      <c r="U1135" s="62"/>
      <c r="V1135" s="62"/>
      <c r="W1135" s="62"/>
      <c r="X1135" s="62"/>
      <c r="Y1135" s="62"/>
      <c r="Z1135" s="62"/>
      <c r="AA1135" s="62"/>
      <c r="AB1135" s="62"/>
      <c r="AC1135" s="62"/>
      <c r="AD1135" s="62"/>
      <c r="AE1135" s="62"/>
      <c r="AF1135" s="62"/>
      <c r="AG1135" s="62"/>
      <c r="AH1135" s="62"/>
      <c r="AI1135" s="62"/>
      <c r="AJ1135" s="62"/>
      <c r="AK1135" s="62"/>
      <c r="AL1135" s="62"/>
      <c r="AM1135" s="62"/>
      <c r="AN1135" s="62"/>
    </row>
    <row r="1136" spans="17:40" x14ac:dyDescent="0.4">
      <c r="Q1136" s="62"/>
      <c r="R1136" s="62"/>
      <c r="S1136" s="62"/>
      <c r="T1136" s="62"/>
      <c r="U1136" s="62"/>
      <c r="V1136" s="62"/>
      <c r="W1136" s="62"/>
      <c r="X1136" s="62"/>
      <c r="Y1136" s="62"/>
      <c r="Z1136" s="62"/>
      <c r="AA1136" s="62"/>
      <c r="AB1136" s="62"/>
      <c r="AC1136" s="62"/>
      <c r="AD1136" s="62"/>
      <c r="AE1136" s="62"/>
      <c r="AF1136" s="62"/>
      <c r="AG1136" s="62"/>
      <c r="AH1136" s="62"/>
      <c r="AI1136" s="62"/>
      <c r="AJ1136" s="62"/>
      <c r="AK1136" s="62"/>
      <c r="AL1136" s="62"/>
      <c r="AM1136" s="62"/>
      <c r="AN1136" s="62"/>
    </row>
    <row r="1137" spans="17:40" x14ac:dyDescent="0.4">
      <c r="Q1137" s="62"/>
      <c r="R1137" s="62"/>
      <c r="S1137" s="62"/>
      <c r="T1137" s="62"/>
      <c r="U1137" s="62"/>
      <c r="V1137" s="62"/>
      <c r="W1137" s="62"/>
      <c r="X1137" s="62"/>
      <c r="Y1137" s="62"/>
      <c r="Z1137" s="62"/>
      <c r="AA1137" s="62"/>
      <c r="AB1137" s="62"/>
      <c r="AC1137" s="62"/>
      <c r="AD1137" s="62"/>
      <c r="AE1137" s="62"/>
      <c r="AF1137" s="62"/>
      <c r="AG1137" s="62"/>
      <c r="AH1137" s="62"/>
      <c r="AI1137" s="62"/>
      <c r="AJ1137" s="62"/>
      <c r="AK1137" s="62"/>
      <c r="AL1137" s="62"/>
      <c r="AM1137" s="62"/>
      <c r="AN1137" s="62"/>
    </row>
    <row r="1138" spans="17:40" x14ac:dyDescent="0.4">
      <c r="Q1138" s="62"/>
      <c r="R1138" s="62"/>
      <c r="S1138" s="62"/>
      <c r="T1138" s="62"/>
      <c r="U1138" s="62"/>
      <c r="V1138" s="62"/>
      <c r="W1138" s="62"/>
      <c r="X1138" s="62"/>
      <c r="Y1138" s="62"/>
      <c r="Z1138" s="62"/>
      <c r="AA1138" s="62"/>
      <c r="AB1138" s="62"/>
      <c r="AC1138" s="62"/>
      <c r="AD1138" s="62"/>
      <c r="AE1138" s="62"/>
      <c r="AF1138" s="62"/>
      <c r="AG1138" s="62"/>
      <c r="AH1138" s="62"/>
      <c r="AI1138" s="62"/>
      <c r="AJ1138" s="62"/>
      <c r="AK1138" s="62"/>
      <c r="AL1138" s="62"/>
      <c r="AM1138" s="62"/>
      <c r="AN1138" s="62"/>
    </row>
    <row r="1139" spans="17:40" x14ac:dyDescent="0.4">
      <c r="Q1139" s="62"/>
      <c r="R1139" s="62"/>
      <c r="S1139" s="62"/>
      <c r="T1139" s="62"/>
      <c r="U1139" s="62"/>
      <c r="V1139" s="62"/>
      <c r="W1139" s="62"/>
      <c r="X1139" s="62"/>
      <c r="Y1139" s="62"/>
      <c r="Z1139" s="62"/>
      <c r="AA1139" s="62"/>
      <c r="AB1139" s="62"/>
      <c r="AC1139" s="62"/>
      <c r="AD1139" s="62"/>
      <c r="AE1139" s="62"/>
      <c r="AF1139" s="62"/>
      <c r="AG1139" s="62"/>
      <c r="AH1139" s="62"/>
      <c r="AI1139" s="62"/>
      <c r="AJ1139" s="62"/>
      <c r="AK1139" s="62"/>
      <c r="AL1139" s="62"/>
      <c r="AM1139" s="62"/>
      <c r="AN1139" s="62"/>
    </row>
    <row r="1140" spans="17:40" x14ac:dyDescent="0.4">
      <c r="Q1140" s="62"/>
      <c r="R1140" s="62"/>
      <c r="S1140" s="62"/>
      <c r="T1140" s="62"/>
      <c r="U1140" s="62"/>
      <c r="V1140" s="62"/>
      <c r="W1140" s="62"/>
      <c r="X1140" s="62"/>
      <c r="Y1140" s="62"/>
      <c r="Z1140" s="62"/>
      <c r="AA1140" s="62"/>
      <c r="AB1140" s="62"/>
      <c r="AC1140" s="62"/>
      <c r="AD1140" s="62"/>
      <c r="AE1140" s="62"/>
      <c r="AF1140" s="62"/>
      <c r="AG1140" s="62"/>
      <c r="AH1140" s="62"/>
      <c r="AI1140" s="62"/>
      <c r="AJ1140" s="62"/>
      <c r="AK1140" s="62"/>
      <c r="AL1140" s="62"/>
      <c r="AM1140" s="62"/>
      <c r="AN1140" s="62"/>
    </row>
    <row r="1141" spans="17:40" x14ac:dyDescent="0.4">
      <c r="Q1141" s="62"/>
      <c r="R1141" s="62"/>
      <c r="S1141" s="62"/>
      <c r="T1141" s="62"/>
      <c r="U1141" s="62"/>
      <c r="V1141" s="62"/>
      <c r="W1141" s="62"/>
      <c r="X1141" s="62"/>
      <c r="Y1141" s="62"/>
      <c r="Z1141" s="62"/>
      <c r="AA1141" s="62"/>
      <c r="AB1141" s="62"/>
      <c r="AC1141" s="62"/>
      <c r="AD1141" s="62"/>
      <c r="AE1141" s="62"/>
      <c r="AF1141" s="62"/>
      <c r="AG1141" s="62"/>
      <c r="AH1141" s="62"/>
      <c r="AI1141" s="62"/>
      <c r="AJ1141" s="62"/>
      <c r="AK1141" s="62"/>
      <c r="AL1141" s="62"/>
      <c r="AM1141" s="62"/>
      <c r="AN1141" s="62"/>
    </row>
    <row r="1142" spans="17:40" x14ac:dyDescent="0.4">
      <c r="Q1142" s="62"/>
      <c r="R1142" s="62"/>
      <c r="S1142" s="62"/>
      <c r="T1142" s="62"/>
      <c r="U1142" s="62"/>
      <c r="V1142" s="62"/>
      <c r="W1142" s="62"/>
      <c r="X1142" s="62"/>
      <c r="Y1142" s="62"/>
      <c r="Z1142" s="62"/>
      <c r="AA1142" s="62"/>
      <c r="AB1142" s="62"/>
      <c r="AC1142" s="62"/>
      <c r="AD1142" s="62"/>
      <c r="AE1142" s="62"/>
      <c r="AF1142" s="62"/>
      <c r="AG1142" s="62"/>
      <c r="AH1142" s="62"/>
      <c r="AI1142" s="62"/>
      <c r="AJ1142" s="62"/>
      <c r="AK1142" s="62"/>
      <c r="AL1142" s="62"/>
      <c r="AM1142" s="62"/>
      <c r="AN1142" s="62"/>
    </row>
    <row r="1143" spans="17:40" x14ac:dyDescent="0.4">
      <c r="Q1143" s="62"/>
      <c r="R1143" s="62"/>
      <c r="S1143" s="62"/>
      <c r="T1143" s="62"/>
      <c r="U1143" s="62"/>
      <c r="V1143" s="62"/>
      <c r="W1143" s="62"/>
      <c r="X1143" s="62"/>
      <c r="Y1143" s="62"/>
      <c r="Z1143" s="62"/>
      <c r="AA1143" s="62"/>
      <c r="AB1143" s="62"/>
      <c r="AC1143" s="62"/>
      <c r="AD1143" s="62"/>
      <c r="AE1143" s="62"/>
      <c r="AF1143" s="62"/>
      <c r="AG1143" s="62"/>
      <c r="AH1143" s="62"/>
      <c r="AI1143" s="62"/>
      <c r="AJ1143" s="62"/>
      <c r="AK1143" s="62"/>
      <c r="AL1143" s="62"/>
      <c r="AM1143" s="62"/>
      <c r="AN1143" s="62"/>
    </row>
    <row r="1144" spans="17:40" x14ac:dyDescent="0.4">
      <c r="Q1144" s="62"/>
      <c r="R1144" s="62"/>
      <c r="S1144" s="62"/>
      <c r="T1144" s="62"/>
      <c r="U1144" s="62"/>
      <c r="V1144" s="62"/>
      <c r="W1144" s="62"/>
      <c r="X1144" s="62"/>
      <c r="Y1144" s="62"/>
      <c r="Z1144" s="62"/>
      <c r="AA1144" s="62"/>
      <c r="AB1144" s="62"/>
      <c r="AC1144" s="62"/>
      <c r="AD1144" s="62"/>
      <c r="AE1144" s="62"/>
      <c r="AF1144" s="62"/>
      <c r="AG1144" s="62"/>
      <c r="AH1144" s="62"/>
      <c r="AI1144" s="62"/>
      <c r="AJ1144" s="62"/>
      <c r="AK1144" s="62"/>
      <c r="AL1144" s="62"/>
      <c r="AM1144" s="62"/>
      <c r="AN1144" s="62"/>
    </row>
    <row r="1145" spans="17:40" x14ac:dyDescent="0.4">
      <c r="Q1145" s="62"/>
      <c r="R1145" s="62"/>
      <c r="S1145" s="62"/>
      <c r="T1145" s="62"/>
      <c r="U1145" s="62"/>
      <c r="V1145" s="62"/>
      <c r="W1145" s="62"/>
      <c r="X1145" s="62"/>
      <c r="Y1145" s="62"/>
      <c r="Z1145" s="62"/>
      <c r="AA1145" s="62"/>
      <c r="AB1145" s="62"/>
      <c r="AC1145" s="62"/>
      <c r="AD1145" s="62"/>
      <c r="AE1145" s="62"/>
      <c r="AF1145" s="62"/>
      <c r="AG1145" s="62"/>
      <c r="AH1145" s="62"/>
      <c r="AI1145" s="62"/>
      <c r="AJ1145" s="62"/>
      <c r="AK1145" s="62"/>
      <c r="AL1145" s="62"/>
      <c r="AM1145" s="62"/>
      <c r="AN1145" s="62"/>
    </row>
    <row r="1146" spans="17:40" x14ac:dyDescent="0.4"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</row>
    <row r="1147" spans="17:40" x14ac:dyDescent="0.4"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</row>
    <row r="1148" spans="17:40" x14ac:dyDescent="0.4">
      <c r="Q1148" s="62"/>
      <c r="R1148" s="62"/>
      <c r="S1148" s="62"/>
      <c r="T1148" s="62"/>
      <c r="U1148" s="62"/>
      <c r="V1148" s="62"/>
      <c r="W1148" s="62"/>
      <c r="X1148" s="62"/>
      <c r="Y1148" s="62"/>
      <c r="Z1148" s="62"/>
      <c r="AA1148" s="62"/>
      <c r="AB1148" s="62"/>
      <c r="AC1148" s="62"/>
      <c r="AD1148" s="62"/>
      <c r="AE1148" s="62"/>
      <c r="AF1148" s="62"/>
      <c r="AG1148" s="62"/>
      <c r="AH1148" s="62"/>
      <c r="AI1148" s="62"/>
      <c r="AJ1148" s="62"/>
      <c r="AK1148" s="62"/>
      <c r="AL1148" s="62"/>
      <c r="AM1148" s="62"/>
      <c r="AN1148" s="62"/>
    </row>
    <row r="1149" spans="17:40" x14ac:dyDescent="0.4"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62"/>
      <c r="AL1149" s="62"/>
      <c r="AM1149" s="62"/>
      <c r="AN1149" s="62"/>
    </row>
    <row r="1150" spans="17:40" x14ac:dyDescent="0.4"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</row>
    <row r="1151" spans="17:40" x14ac:dyDescent="0.4"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</row>
    <row r="1152" spans="17:40" x14ac:dyDescent="0.4"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</row>
    <row r="1153" spans="17:40" x14ac:dyDescent="0.4"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</row>
    <row r="1154" spans="17:40" x14ac:dyDescent="0.4"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</row>
    <row r="1155" spans="17:40" x14ac:dyDescent="0.4"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</row>
    <row r="1156" spans="17:40" x14ac:dyDescent="0.4"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</row>
    <row r="1157" spans="17:40" x14ac:dyDescent="0.4"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</row>
    <row r="1158" spans="17:40" x14ac:dyDescent="0.4"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</row>
    <row r="1159" spans="17:40" x14ac:dyDescent="0.4"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</row>
    <row r="1160" spans="17:40" x14ac:dyDescent="0.4">
      <c r="Q1160" s="62"/>
      <c r="R1160" s="62"/>
      <c r="S1160" s="62"/>
      <c r="T1160" s="62"/>
      <c r="U1160" s="62"/>
      <c r="V1160" s="62"/>
      <c r="W1160" s="62"/>
      <c r="X1160" s="62"/>
      <c r="Y1160" s="62"/>
      <c r="Z1160" s="62"/>
      <c r="AA1160" s="62"/>
      <c r="AB1160" s="62"/>
      <c r="AC1160" s="62"/>
      <c r="AD1160" s="62"/>
      <c r="AE1160" s="62"/>
      <c r="AF1160" s="62"/>
      <c r="AG1160" s="62"/>
      <c r="AH1160" s="62"/>
      <c r="AI1160" s="62"/>
      <c r="AJ1160" s="62"/>
      <c r="AK1160" s="62"/>
      <c r="AL1160" s="62"/>
      <c r="AM1160" s="62"/>
      <c r="AN1160" s="62"/>
    </row>
    <row r="1161" spans="17:40" x14ac:dyDescent="0.4">
      <c r="Q1161" s="62"/>
      <c r="R1161" s="62"/>
      <c r="S1161" s="62"/>
      <c r="T1161" s="62"/>
      <c r="U1161" s="62"/>
      <c r="V1161" s="62"/>
      <c r="W1161" s="62"/>
      <c r="X1161" s="62"/>
      <c r="Y1161" s="62"/>
      <c r="Z1161" s="62"/>
      <c r="AA1161" s="62"/>
      <c r="AB1161" s="62"/>
      <c r="AC1161" s="62"/>
      <c r="AD1161" s="62"/>
      <c r="AE1161" s="62"/>
      <c r="AF1161" s="62"/>
      <c r="AG1161" s="62"/>
      <c r="AH1161" s="62"/>
      <c r="AI1161" s="62"/>
      <c r="AJ1161" s="62"/>
      <c r="AK1161" s="62"/>
      <c r="AL1161" s="62"/>
      <c r="AM1161" s="62"/>
      <c r="AN1161" s="62"/>
    </row>
    <row r="1162" spans="17:40" x14ac:dyDescent="0.4">
      <c r="Q1162" s="62"/>
      <c r="R1162" s="62"/>
      <c r="S1162" s="62"/>
      <c r="T1162" s="62"/>
      <c r="U1162" s="62"/>
      <c r="V1162" s="62"/>
      <c r="W1162" s="62"/>
      <c r="X1162" s="62"/>
      <c r="Y1162" s="62"/>
      <c r="Z1162" s="62"/>
      <c r="AA1162" s="62"/>
      <c r="AB1162" s="62"/>
      <c r="AC1162" s="62"/>
      <c r="AD1162" s="62"/>
      <c r="AE1162" s="62"/>
      <c r="AF1162" s="62"/>
      <c r="AG1162" s="62"/>
      <c r="AH1162" s="62"/>
      <c r="AI1162" s="62"/>
      <c r="AJ1162" s="62"/>
      <c r="AK1162" s="62"/>
      <c r="AL1162" s="62"/>
      <c r="AM1162" s="62"/>
      <c r="AN1162" s="62"/>
    </row>
    <row r="1163" spans="17:40" x14ac:dyDescent="0.4">
      <c r="Q1163" s="62"/>
      <c r="R1163" s="62"/>
      <c r="S1163" s="62"/>
      <c r="T1163" s="62"/>
      <c r="U1163" s="62"/>
      <c r="V1163" s="62"/>
      <c r="W1163" s="62"/>
      <c r="X1163" s="62"/>
      <c r="Y1163" s="62"/>
      <c r="Z1163" s="62"/>
      <c r="AA1163" s="62"/>
      <c r="AB1163" s="62"/>
      <c r="AC1163" s="62"/>
      <c r="AD1163" s="62"/>
      <c r="AE1163" s="62"/>
      <c r="AF1163" s="62"/>
      <c r="AG1163" s="62"/>
      <c r="AH1163" s="62"/>
      <c r="AI1163" s="62"/>
      <c r="AJ1163" s="62"/>
      <c r="AK1163" s="62"/>
      <c r="AL1163" s="62"/>
      <c r="AM1163" s="62"/>
      <c r="AN1163" s="62"/>
    </row>
    <row r="1164" spans="17:40" x14ac:dyDescent="0.4">
      <c r="Q1164" s="62"/>
      <c r="R1164" s="62"/>
      <c r="S1164" s="62"/>
      <c r="T1164" s="62"/>
      <c r="U1164" s="62"/>
      <c r="V1164" s="62"/>
      <c r="W1164" s="62"/>
      <c r="X1164" s="62"/>
      <c r="Y1164" s="62"/>
      <c r="Z1164" s="62"/>
      <c r="AA1164" s="62"/>
      <c r="AB1164" s="62"/>
      <c r="AC1164" s="62"/>
      <c r="AD1164" s="62"/>
      <c r="AE1164" s="62"/>
      <c r="AF1164" s="62"/>
      <c r="AG1164" s="62"/>
      <c r="AH1164" s="62"/>
      <c r="AI1164" s="62"/>
      <c r="AJ1164" s="62"/>
      <c r="AK1164" s="62"/>
      <c r="AL1164" s="62"/>
      <c r="AM1164" s="62"/>
      <c r="AN1164" s="62"/>
    </row>
    <row r="1165" spans="17:40" x14ac:dyDescent="0.4">
      <c r="Q1165" s="62"/>
      <c r="R1165" s="62"/>
      <c r="S1165" s="62"/>
      <c r="T1165" s="62"/>
      <c r="U1165" s="62"/>
      <c r="V1165" s="62"/>
      <c r="W1165" s="62"/>
      <c r="X1165" s="62"/>
      <c r="Y1165" s="62"/>
      <c r="Z1165" s="62"/>
      <c r="AA1165" s="62"/>
      <c r="AB1165" s="62"/>
      <c r="AC1165" s="62"/>
      <c r="AD1165" s="62"/>
      <c r="AE1165" s="62"/>
      <c r="AF1165" s="62"/>
      <c r="AG1165" s="62"/>
      <c r="AH1165" s="62"/>
      <c r="AI1165" s="62"/>
      <c r="AJ1165" s="62"/>
      <c r="AK1165" s="62"/>
      <c r="AL1165" s="62"/>
      <c r="AM1165" s="62"/>
      <c r="AN1165" s="62"/>
    </row>
    <row r="1166" spans="17:40" x14ac:dyDescent="0.4">
      <c r="Q1166" s="62"/>
      <c r="R1166" s="62"/>
      <c r="S1166" s="62"/>
      <c r="T1166" s="62"/>
      <c r="U1166" s="62"/>
      <c r="V1166" s="62"/>
      <c r="W1166" s="62"/>
      <c r="X1166" s="62"/>
      <c r="Y1166" s="62"/>
      <c r="Z1166" s="62"/>
      <c r="AA1166" s="62"/>
      <c r="AB1166" s="62"/>
      <c r="AC1166" s="62"/>
      <c r="AD1166" s="62"/>
      <c r="AE1166" s="62"/>
      <c r="AF1166" s="62"/>
      <c r="AG1166" s="62"/>
      <c r="AH1166" s="62"/>
      <c r="AI1166" s="62"/>
      <c r="AJ1166" s="62"/>
      <c r="AK1166" s="62"/>
      <c r="AL1166" s="62"/>
      <c r="AM1166" s="62"/>
      <c r="AN1166" s="62"/>
    </row>
    <row r="1167" spans="17:40" x14ac:dyDescent="0.4">
      <c r="Q1167" s="62"/>
      <c r="R1167" s="62"/>
      <c r="S1167" s="62"/>
      <c r="T1167" s="62"/>
      <c r="U1167" s="62"/>
      <c r="V1167" s="62"/>
      <c r="W1167" s="62"/>
      <c r="X1167" s="62"/>
      <c r="Y1167" s="62"/>
      <c r="Z1167" s="62"/>
      <c r="AA1167" s="62"/>
      <c r="AB1167" s="62"/>
      <c r="AC1167" s="62"/>
      <c r="AD1167" s="62"/>
      <c r="AE1167" s="62"/>
      <c r="AF1167" s="62"/>
      <c r="AG1167" s="62"/>
      <c r="AH1167" s="62"/>
      <c r="AI1167" s="62"/>
      <c r="AJ1167" s="62"/>
      <c r="AK1167" s="62"/>
      <c r="AL1167" s="62"/>
      <c r="AM1167" s="62"/>
      <c r="AN1167" s="62"/>
    </row>
    <row r="1168" spans="17:40" x14ac:dyDescent="0.4">
      <c r="Q1168" s="62"/>
      <c r="R1168" s="62"/>
      <c r="S1168" s="62"/>
      <c r="T1168" s="62"/>
      <c r="U1168" s="62"/>
      <c r="V1168" s="62"/>
      <c r="W1168" s="62"/>
      <c r="X1168" s="62"/>
      <c r="Y1168" s="62"/>
      <c r="Z1168" s="62"/>
      <c r="AA1168" s="62"/>
      <c r="AB1168" s="62"/>
      <c r="AC1168" s="62"/>
      <c r="AD1168" s="62"/>
      <c r="AE1168" s="62"/>
      <c r="AF1168" s="62"/>
      <c r="AG1168" s="62"/>
      <c r="AH1168" s="62"/>
      <c r="AI1168" s="62"/>
      <c r="AJ1168" s="62"/>
      <c r="AK1168" s="62"/>
      <c r="AL1168" s="62"/>
      <c r="AM1168" s="62"/>
      <c r="AN1168" s="62"/>
    </row>
    <row r="1169" spans="17:40" x14ac:dyDescent="0.4">
      <c r="Q1169" s="62"/>
      <c r="R1169" s="62"/>
      <c r="S1169" s="62"/>
      <c r="T1169" s="62"/>
      <c r="U1169" s="62"/>
      <c r="V1169" s="62"/>
      <c r="W1169" s="62"/>
      <c r="X1169" s="62"/>
      <c r="Y1169" s="62"/>
      <c r="Z1169" s="62"/>
      <c r="AA1169" s="62"/>
      <c r="AB1169" s="62"/>
      <c r="AC1169" s="62"/>
      <c r="AD1169" s="62"/>
      <c r="AE1169" s="62"/>
      <c r="AF1169" s="62"/>
      <c r="AG1169" s="62"/>
      <c r="AH1169" s="62"/>
      <c r="AI1169" s="62"/>
      <c r="AJ1169" s="62"/>
      <c r="AK1169" s="62"/>
      <c r="AL1169" s="62"/>
      <c r="AM1169" s="62"/>
      <c r="AN1169" s="62"/>
    </row>
    <row r="1170" spans="17:40" x14ac:dyDescent="0.4">
      <c r="Q1170" s="62"/>
      <c r="R1170" s="62"/>
      <c r="S1170" s="62"/>
      <c r="T1170" s="62"/>
      <c r="U1170" s="62"/>
      <c r="V1170" s="62"/>
      <c r="W1170" s="62"/>
      <c r="X1170" s="62"/>
      <c r="Y1170" s="62"/>
      <c r="Z1170" s="62"/>
      <c r="AA1170" s="62"/>
      <c r="AB1170" s="62"/>
      <c r="AC1170" s="62"/>
      <c r="AD1170" s="62"/>
      <c r="AE1170" s="62"/>
      <c r="AF1170" s="62"/>
      <c r="AG1170" s="62"/>
      <c r="AH1170" s="62"/>
      <c r="AI1170" s="62"/>
      <c r="AJ1170" s="62"/>
      <c r="AK1170" s="62"/>
      <c r="AL1170" s="62"/>
      <c r="AM1170" s="62"/>
      <c r="AN1170" s="62"/>
    </row>
    <row r="1171" spans="17:40" x14ac:dyDescent="0.4">
      <c r="Q1171" s="62"/>
      <c r="R1171" s="62"/>
      <c r="S1171" s="62"/>
      <c r="T1171" s="62"/>
      <c r="U1171" s="62"/>
      <c r="V1171" s="62"/>
      <c r="W1171" s="62"/>
      <c r="X1171" s="62"/>
      <c r="Y1171" s="62"/>
      <c r="Z1171" s="62"/>
      <c r="AA1171" s="62"/>
      <c r="AB1171" s="62"/>
      <c r="AC1171" s="62"/>
      <c r="AD1171" s="62"/>
      <c r="AE1171" s="62"/>
      <c r="AF1171" s="62"/>
      <c r="AG1171" s="62"/>
      <c r="AH1171" s="62"/>
      <c r="AI1171" s="62"/>
      <c r="AJ1171" s="62"/>
      <c r="AK1171" s="62"/>
      <c r="AL1171" s="62"/>
      <c r="AM1171" s="62"/>
      <c r="AN1171" s="62"/>
    </row>
    <row r="1172" spans="17:40" x14ac:dyDescent="0.4">
      <c r="Q1172" s="62"/>
      <c r="R1172" s="62"/>
      <c r="S1172" s="62"/>
      <c r="T1172" s="62"/>
      <c r="U1172" s="62"/>
      <c r="V1172" s="62"/>
      <c r="W1172" s="62"/>
      <c r="X1172" s="62"/>
      <c r="Y1172" s="62"/>
      <c r="Z1172" s="62"/>
      <c r="AA1172" s="62"/>
      <c r="AB1172" s="62"/>
      <c r="AC1172" s="62"/>
      <c r="AD1172" s="62"/>
      <c r="AE1172" s="62"/>
      <c r="AF1172" s="62"/>
      <c r="AG1172" s="62"/>
      <c r="AH1172" s="62"/>
      <c r="AI1172" s="62"/>
      <c r="AJ1172" s="62"/>
      <c r="AK1172" s="62"/>
      <c r="AL1172" s="62"/>
      <c r="AM1172" s="62"/>
      <c r="AN1172" s="62"/>
    </row>
    <row r="1173" spans="17:40" x14ac:dyDescent="0.4">
      <c r="Q1173" s="62"/>
      <c r="R1173" s="62"/>
      <c r="S1173" s="62"/>
      <c r="T1173" s="62"/>
      <c r="U1173" s="62"/>
      <c r="V1173" s="62"/>
      <c r="W1173" s="62"/>
      <c r="X1173" s="62"/>
      <c r="Y1173" s="62"/>
      <c r="Z1173" s="62"/>
      <c r="AA1173" s="62"/>
      <c r="AB1173" s="62"/>
      <c r="AC1173" s="62"/>
      <c r="AD1173" s="62"/>
      <c r="AE1173" s="62"/>
      <c r="AF1173" s="62"/>
      <c r="AG1173" s="62"/>
      <c r="AH1173" s="62"/>
      <c r="AI1173" s="62"/>
      <c r="AJ1173" s="62"/>
      <c r="AK1173" s="62"/>
      <c r="AL1173" s="62"/>
      <c r="AM1173" s="62"/>
      <c r="AN1173" s="62"/>
    </row>
    <row r="1174" spans="17:40" x14ac:dyDescent="0.4">
      <c r="Q1174" s="62"/>
      <c r="R1174" s="62"/>
      <c r="S1174" s="62"/>
      <c r="T1174" s="62"/>
      <c r="U1174" s="62"/>
      <c r="V1174" s="62"/>
      <c r="W1174" s="62"/>
      <c r="X1174" s="62"/>
      <c r="Y1174" s="62"/>
      <c r="Z1174" s="62"/>
      <c r="AA1174" s="62"/>
      <c r="AB1174" s="62"/>
      <c r="AC1174" s="62"/>
      <c r="AD1174" s="62"/>
      <c r="AE1174" s="62"/>
      <c r="AF1174" s="62"/>
      <c r="AG1174" s="62"/>
      <c r="AH1174" s="62"/>
      <c r="AI1174" s="62"/>
      <c r="AJ1174" s="62"/>
      <c r="AK1174" s="62"/>
      <c r="AL1174" s="62"/>
      <c r="AM1174" s="62"/>
      <c r="AN1174" s="62"/>
    </row>
    <row r="1175" spans="17:40" x14ac:dyDescent="0.4">
      <c r="Q1175" s="62"/>
      <c r="R1175" s="62"/>
      <c r="S1175" s="62"/>
      <c r="T1175" s="62"/>
      <c r="U1175" s="62"/>
      <c r="V1175" s="62"/>
      <c r="W1175" s="62"/>
      <c r="X1175" s="62"/>
      <c r="Y1175" s="62"/>
      <c r="Z1175" s="62"/>
      <c r="AA1175" s="62"/>
      <c r="AB1175" s="62"/>
      <c r="AC1175" s="62"/>
      <c r="AD1175" s="62"/>
      <c r="AE1175" s="62"/>
      <c r="AF1175" s="62"/>
      <c r="AG1175" s="62"/>
      <c r="AH1175" s="62"/>
      <c r="AI1175" s="62"/>
      <c r="AJ1175" s="62"/>
      <c r="AK1175" s="62"/>
      <c r="AL1175" s="62"/>
      <c r="AM1175" s="62"/>
      <c r="AN1175" s="62"/>
    </row>
    <row r="1176" spans="17:40" x14ac:dyDescent="0.4">
      <c r="Q1176" s="62"/>
      <c r="R1176" s="62"/>
      <c r="S1176" s="62"/>
      <c r="T1176" s="62"/>
      <c r="U1176" s="62"/>
      <c r="V1176" s="62"/>
      <c r="W1176" s="62"/>
      <c r="X1176" s="62"/>
      <c r="Y1176" s="62"/>
      <c r="Z1176" s="62"/>
      <c r="AA1176" s="62"/>
      <c r="AB1176" s="62"/>
      <c r="AC1176" s="62"/>
      <c r="AD1176" s="62"/>
      <c r="AE1176" s="62"/>
      <c r="AF1176" s="62"/>
      <c r="AG1176" s="62"/>
      <c r="AH1176" s="62"/>
      <c r="AI1176" s="62"/>
      <c r="AJ1176" s="62"/>
      <c r="AK1176" s="62"/>
      <c r="AL1176" s="62"/>
      <c r="AM1176" s="62"/>
      <c r="AN1176" s="62"/>
    </row>
    <row r="1177" spans="17:40" x14ac:dyDescent="0.4">
      <c r="Q1177" s="62"/>
      <c r="R1177" s="62"/>
      <c r="S1177" s="62"/>
      <c r="T1177" s="62"/>
      <c r="U1177" s="62"/>
      <c r="V1177" s="62"/>
      <c r="W1177" s="62"/>
      <c r="X1177" s="62"/>
      <c r="Y1177" s="62"/>
      <c r="Z1177" s="62"/>
      <c r="AA1177" s="62"/>
      <c r="AB1177" s="62"/>
      <c r="AC1177" s="62"/>
      <c r="AD1177" s="62"/>
      <c r="AE1177" s="62"/>
      <c r="AF1177" s="62"/>
      <c r="AG1177" s="62"/>
      <c r="AH1177" s="62"/>
      <c r="AI1177" s="62"/>
      <c r="AJ1177" s="62"/>
      <c r="AK1177" s="62"/>
      <c r="AL1177" s="62"/>
      <c r="AM1177" s="62"/>
      <c r="AN1177" s="62"/>
    </row>
    <row r="1178" spans="17:40" x14ac:dyDescent="0.4">
      <c r="Q1178" s="62"/>
      <c r="R1178" s="62"/>
      <c r="S1178" s="62"/>
      <c r="T1178" s="62"/>
      <c r="U1178" s="62"/>
      <c r="V1178" s="62"/>
      <c r="W1178" s="62"/>
      <c r="X1178" s="62"/>
      <c r="Y1178" s="62"/>
      <c r="Z1178" s="62"/>
      <c r="AA1178" s="62"/>
      <c r="AB1178" s="62"/>
      <c r="AC1178" s="62"/>
      <c r="AD1178" s="62"/>
      <c r="AE1178" s="62"/>
      <c r="AF1178" s="62"/>
      <c r="AG1178" s="62"/>
      <c r="AH1178" s="62"/>
      <c r="AI1178" s="62"/>
      <c r="AJ1178" s="62"/>
      <c r="AK1178" s="62"/>
      <c r="AL1178" s="62"/>
      <c r="AM1178" s="62"/>
      <c r="AN1178" s="62"/>
    </row>
    <row r="1179" spans="17:40" x14ac:dyDescent="0.4">
      <c r="Q1179" s="62"/>
      <c r="R1179" s="62"/>
      <c r="S1179" s="62"/>
      <c r="T1179" s="62"/>
      <c r="U1179" s="62"/>
      <c r="V1179" s="62"/>
      <c r="W1179" s="62"/>
      <c r="X1179" s="62"/>
      <c r="Y1179" s="62"/>
      <c r="Z1179" s="62"/>
      <c r="AA1179" s="62"/>
      <c r="AB1179" s="62"/>
      <c r="AC1179" s="62"/>
      <c r="AD1179" s="62"/>
      <c r="AE1179" s="62"/>
      <c r="AF1179" s="62"/>
      <c r="AG1179" s="62"/>
      <c r="AH1179" s="62"/>
      <c r="AI1179" s="62"/>
      <c r="AJ1179" s="62"/>
      <c r="AK1179" s="62"/>
      <c r="AL1179" s="62"/>
      <c r="AM1179" s="62"/>
      <c r="AN1179" s="62"/>
    </row>
    <row r="1180" spans="17:40" x14ac:dyDescent="0.4">
      <c r="Q1180" s="62"/>
      <c r="R1180" s="62"/>
      <c r="S1180" s="62"/>
      <c r="T1180" s="62"/>
      <c r="U1180" s="62"/>
      <c r="V1180" s="62"/>
      <c r="W1180" s="62"/>
      <c r="X1180" s="62"/>
      <c r="Y1180" s="62"/>
      <c r="Z1180" s="62"/>
      <c r="AA1180" s="62"/>
      <c r="AB1180" s="62"/>
      <c r="AC1180" s="62"/>
      <c r="AD1180" s="62"/>
      <c r="AE1180" s="62"/>
      <c r="AF1180" s="62"/>
      <c r="AG1180" s="62"/>
      <c r="AH1180" s="62"/>
      <c r="AI1180" s="62"/>
      <c r="AJ1180" s="62"/>
      <c r="AK1180" s="62"/>
      <c r="AL1180" s="62"/>
      <c r="AM1180" s="62"/>
      <c r="AN1180" s="62"/>
    </row>
    <row r="1181" spans="17:40" x14ac:dyDescent="0.4">
      <c r="Q1181" s="62"/>
      <c r="R1181" s="62"/>
      <c r="S1181" s="62"/>
      <c r="T1181" s="62"/>
      <c r="U1181" s="62"/>
      <c r="V1181" s="62"/>
      <c r="W1181" s="62"/>
      <c r="X1181" s="62"/>
      <c r="Y1181" s="62"/>
      <c r="Z1181" s="62"/>
      <c r="AA1181" s="62"/>
      <c r="AB1181" s="62"/>
      <c r="AC1181" s="62"/>
      <c r="AD1181" s="62"/>
      <c r="AE1181" s="62"/>
      <c r="AF1181" s="62"/>
      <c r="AG1181" s="62"/>
      <c r="AH1181" s="62"/>
      <c r="AI1181" s="62"/>
      <c r="AJ1181" s="62"/>
      <c r="AK1181" s="62"/>
      <c r="AL1181" s="62"/>
      <c r="AM1181" s="62"/>
      <c r="AN1181" s="62"/>
    </row>
    <row r="1182" spans="17:40" x14ac:dyDescent="0.4">
      <c r="Q1182" s="62"/>
      <c r="R1182" s="62"/>
      <c r="S1182" s="62"/>
      <c r="T1182" s="62"/>
      <c r="U1182" s="62"/>
      <c r="V1182" s="62"/>
      <c r="W1182" s="62"/>
      <c r="X1182" s="62"/>
      <c r="Y1182" s="62"/>
      <c r="Z1182" s="62"/>
      <c r="AA1182" s="62"/>
      <c r="AB1182" s="62"/>
      <c r="AC1182" s="62"/>
      <c r="AD1182" s="62"/>
      <c r="AE1182" s="62"/>
      <c r="AF1182" s="62"/>
      <c r="AG1182" s="62"/>
      <c r="AH1182" s="62"/>
      <c r="AI1182" s="62"/>
      <c r="AJ1182" s="62"/>
      <c r="AK1182" s="62"/>
      <c r="AL1182" s="62"/>
      <c r="AM1182" s="62"/>
      <c r="AN1182" s="62"/>
    </row>
    <row r="1183" spans="17:40" x14ac:dyDescent="0.4">
      <c r="Q1183" s="62"/>
      <c r="R1183" s="62"/>
      <c r="S1183" s="62"/>
      <c r="T1183" s="62"/>
      <c r="U1183" s="62"/>
      <c r="V1183" s="62"/>
      <c r="W1183" s="62"/>
      <c r="X1183" s="62"/>
      <c r="Y1183" s="62"/>
      <c r="Z1183" s="62"/>
      <c r="AA1183" s="62"/>
      <c r="AB1183" s="62"/>
      <c r="AC1183" s="62"/>
      <c r="AD1183" s="62"/>
      <c r="AE1183" s="62"/>
      <c r="AF1183" s="62"/>
      <c r="AG1183" s="62"/>
      <c r="AH1183" s="62"/>
      <c r="AI1183" s="62"/>
      <c r="AJ1183" s="62"/>
      <c r="AK1183" s="62"/>
      <c r="AL1183" s="62"/>
      <c r="AM1183" s="62"/>
      <c r="AN1183" s="62"/>
    </row>
    <row r="1184" spans="17:40" x14ac:dyDescent="0.4"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</row>
    <row r="1185" spans="17:40" x14ac:dyDescent="0.4"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</row>
    <row r="1186" spans="17:40" x14ac:dyDescent="0.4">
      <c r="Q1186" s="62"/>
      <c r="R1186" s="62"/>
      <c r="S1186" s="62"/>
      <c r="T1186" s="62"/>
      <c r="U1186" s="62"/>
      <c r="V1186" s="62"/>
      <c r="W1186" s="62"/>
      <c r="X1186" s="62"/>
      <c r="Y1186" s="62"/>
      <c r="Z1186" s="62"/>
      <c r="AA1186" s="62"/>
      <c r="AB1186" s="62"/>
      <c r="AC1186" s="62"/>
      <c r="AD1186" s="62"/>
      <c r="AE1186" s="62"/>
      <c r="AF1186" s="62"/>
      <c r="AG1186" s="62"/>
      <c r="AH1186" s="62"/>
      <c r="AI1186" s="62"/>
      <c r="AJ1186" s="62"/>
      <c r="AK1186" s="62"/>
      <c r="AL1186" s="62"/>
      <c r="AM1186" s="62"/>
      <c r="AN1186" s="62"/>
    </row>
    <row r="1187" spans="17:40" x14ac:dyDescent="0.4"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62"/>
      <c r="AL1187" s="62"/>
      <c r="AM1187" s="62"/>
      <c r="AN1187" s="62"/>
    </row>
    <row r="1188" spans="17:40" x14ac:dyDescent="0.4"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</row>
    <row r="1189" spans="17:40" x14ac:dyDescent="0.4"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</row>
    <row r="1190" spans="17:40" x14ac:dyDescent="0.4"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</row>
    <row r="1191" spans="17:40" x14ac:dyDescent="0.4"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</row>
    <row r="1192" spans="17:40" x14ac:dyDescent="0.4"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</row>
    <row r="1193" spans="17:40" x14ac:dyDescent="0.4"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</row>
    <row r="1194" spans="17:40" x14ac:dyDescent="0.4"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</row>
    <row r="1195" spans="17:40" x14ac:dyDescent="0.4"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</row>
    <row r="1196" spans="17:40" x14ac:dyDescent="0.4"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</row>
    <row r="1197" spans="17:40" x14ac:dyDescent="0.4"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</row>
    <row r="1198" spans="17:40" x14ac:dyDescent="0.4">
      <c r="Q1198" s="62"/>
      <c r="R1198" s="62"/>
      <c r="S1198" s="62"/>
      <c r="T1198" s="62"/>
      <c r="U1198" s="62"/>
      <c r="V1198" s="62"/>
      <c r="W1198" s="62"/>
      <c r="X1198" s="62"/>
      <c r="Y1198" s="62"/>
      <c r="Z1198" s="62"/>
      <c r="AA1198" s="62"/>
      <c r="AB1198" s="62"/>
      <c r="AC1198" s="62"/>
      <c r="AD1198" s="62"/>
      <c r="AE1198" s="62"/>
      <c r="AF1198" s="62"/>
      <c r="AG1198" s="62"/>
      <c r="AH1198" s="62"/>
      <c r="AI1198" s="62"/>
      <c r="AJ1198" s="62"/>
      <c r="AK1198" s="62"/>
      <c r="AL1198" s="62"/>
      <c r="AM1198" s="62"/>
      <c r="AN1198" s="62"/>
    </row>
    <row r="1199" spans="17:40" x14ac:dyDescent="0.4">
      <c r="Q1199" s="62"/>
      <c r="R1199" s="62"/>
      <c r="S1199" s="62"/>
      <c r="T1199" s="62"/>
      <c r="U1199" s="62"/>
      <c r="V1199" s="62"/>
      <c r="W1199" s="62"/>
      <c r="X1199" s="62"/>
      <c r="Y1199" s="62"/>
      <c r="Z1199" s="62"/>
      <c r="AA1199" s="62"/>
      <c r="AB1199" s="62"/>
      <c r="AC1199" s="62"/>
      <c r="AD1199" s="62"/>
      <c r="AE1199" s="62"/>
      <c r="AF1199" s="62"/>
      <c r="AG1199" s="62"/>
      <c r="AH1199" s="62"/>
      <c r="AI1199" s="62"/>
      <c r="AJ1199" s="62"/>
      <c r="AK1199" s="62"/>
      <c r="AL1199" s="62"/>
      <c r="AM1199" s="62"/>
      <c r="AN1199" s="62"/>
    </row>
    <row r="1200" spans="17:40" x14ac:dyDescent="0.4">
      <c r="Q1200" s="62"/>
      <c r="R1200" s="62"/>
      <c r="S1200" s="62"/>
      <c r="T1200" s="62"/>
      <c r="U1200" s="62"/>
      <c r="V1200" s="62"/>
      <c r="W1200" s="62"/>
      <c r="X1200" s="62"/>
      <c r="Y1200" s="62"/>
      <c r="Z1200" s="62"/>
      <c r="AA1200" s="62"/>
      <c r="AB1200" s="62"/>
      <c r="AC1200" s="62"/>
      <c r="AD1200" s="62"/>
      <c r="AE1200" s="62"/>
      <c r="AF1200" s="62"/>
      <c r="AG1200" s="62"/>
      <c r="AH1200" s="62"/>
      <c r="AI1200" s="62"/>
      <c r="AJ1200" s="62"/>
      <c r="AK1200" s="62"/>
      <c r="AL1200" s="62"/>
      <c r="AM1200" s="62"/>
      <c r="AN1200" s="62"/>
    </row>
    <row r="1201" spans="17:40" x14ac:dyDescent="0.4">
      <c r="Q1201" s="62"/>
      <c r="R1201" s="62"/>
      <c r="S1201" s="62"/>
      <c r="T1201" s="62"/>
      <c r="U1201" s="62"/>
      <c r="V1201" s="62"/>
      <c r="W1201" s="62"/>
      <c r="X1201" s="62"/>
      <c r="Y1201" s="62"/>
      <c r="Z1201" s="62"/>
      <c r="AA1201" s="62"/>
      <c r="AB1201" s="62"/>
      <c r="AC1201" s="62"/>
      <c r="AD1201" s="62"/>
      <c r="AE1201" s="62"/>
      <c r="AF1201" s="62"/>
      <c r="AG1201" s="62"/>
      <c r="AH1201" s="62"/>
      <c r="AI1201" s="62"/>
      <c r="AJ1201" s="62"/>
      <c r="AK1201" s="62"/>
      <c r="AL1201" s="62"/>
      <c r="AM1201" s="62"/>
      <c r="AN1201" s="62"/>
    </row>
    <row r="1202" spans="17:40" x14ac:dyDescent="0.4">
      <c r="Q1202" s="62"/>
      <c r="R1202" s="62"/>
      <c r="S1202" s="62"/>
      <c r="T1202" s="62"/>
      <c r="U1202" s="62"/>
      <c r="V1202" s="62"/>
      <c r="W1202" s="62"/>
      <c r="X1202" s="62"/>
      <c r="Y1202" s="62"/>
      <c r="Z1202" s="62"/>
      <c r="AA1202" s="62"/>
      <c r="AB1202" s="62"/>
      <c r="AC1202" s="62"/>
      <c r="AD1202" s="62"/>
      <c r="AE1202" s="62"/>
      <c r="AF1202" s="62"/>
      <c r="AG1202" s="62"/>
      <c r="AH1202" s="62"/>
      <c r="AI1202" s="62"/>
      <c r="AJ1202" s="62"/>
      <c r="AK1202" s="62"/>
      <c r="AL1202" s="62"/>
      <c r="AM1202" s="62"/>
      <c r="AN1202" s="62"/>
    </row>
    <row r="1203" spans="17:40" x14ac:dyDescent="0.4">
      <c r="Q1203" s="62"/>
      <c r="R1203" s="62"/>
      <c r="S1203" s="62"/>
      <c r="T1203" s="62"/>
      <c r="U1203" s="62"/>
      <c r="V1203" s="62"/>
      <c r="W1203" s="62"/>
      <c r="X1203" s="62"/>
      <c r="Y1203" s="62"/>
      <c r="Z1203" s="62"/>
      <c r="AA1203" s="62"/>
      <c r="AB1203" s="62"/>
      <c r="AC1203" s="62"/>
      <c r="AD1203" s="62"/>
      <c r="AE1203" s="62"/>
      <c r="AF1203" s="62"/>
      <c r="AG1203" s="62"/>
      <c r="AH1203" s="62"/>
      <c r="AI1203" s="62"/>
      <c r="AJ1203" s="62"/>
      <c r="AK1203" s="62"/>
      <c r="AL1203" s="62"/>
      <c r="AM1203" s="62"/>
      <c r="AN1203" s="62"/>
    </row>
    <row r="1204" spans="17:40" x14ac:dyDescent="0.4">
      <c r="Q1204" s="62"/>
      <c r="R1204" s="62"/>
      <c r="S1204" s="62"/>
      <c r="T1204" s="62"/>
      <c r="U1204" s="62"/>
      <c r="V1204" s="62"/>
      <c r="W1204" s="62"/>
      <c r="X1204" s="62"/>
      <c r="Y1204" s="62"/>
      <c r="Z1204" s="62"/>
      <c r="AA1204" s="62"/>
      <c r="AB1204" s="62"/>
      <c r="AC1204" s="62"/>
      <c r="AD1204" s="62"/>
      <c r="AE1204" s="62"/>
      <c r="AF1204" s="62"/>
      <c r="AG1204" s="62"/>
      <c r="AH1204" s="62"/>
      <c r="AI1204" s="62"/>
      <c r="AJ1204" s="62"/>
      <c r="AK1204" s="62"/>
      <c r="AL1204" s="62"/>
      <c r="AM1204" s="62"/>
      <c r="AN1204" s="62"/>
    </row>
    <row r="1205" spans="17:40" x14ac:dyDescent="0.4">
      <c r="Q1205" s="62"/>
      <c r="R1205" s="62"/>
      <c r="S1205" s="62"/>
      <c r="T1205" s="62"/>
      <c r="U1205" s="62"/>
      <c r="V1205" s="62"/>
      <c r="W1205" s="62"/>
      <c r="X1205" s="62"/>
      <c r="Y1205" s="62"/>
      <c r="Z1205" s="62"/>
      <c r="AA1205" s="62"/>
      <c r="AB1205" s="62"/>
      <c r="AC1205" s="62"/>
      <c r="AD1205" s="62"/>
      <c r="AE1205" s="62"/>
      <c r="AF1205" s="62"/>
      <c r="AG1205" s="62"/>
      <c r="AH1205" s="62"/>
      <c r="AI1205" s="62"/>
      <c r="AJ1205" s="62"/>
      <c r="AK1205" s="62"/>
      <c r="AL1205" s="62"/>
      <c r="AM1205" s="62"/>
      <c r="AN1205" s="62"/>
    </row>
    <row r="1206" spans="17:40" x14ac:dyDescent="0.4">
      <c r="Q1206" s="62"/>
      <c r="R1206" s="62"/>
      <c r="S1206" s="62"/>
      <c r="T1206" s="62"/>
      <c r="U1206" s="62"/>
      <c r="V1206" s="62"/>
      <c r="W1206" s="62"/>
      <c r="X1206" s="62"/>
      <c r="Y1206" s="62"/>
      <c r="Z1206" s="62"/>
      <c r="AA1206" s="62"/>
      <c r="AB1206" s="62"/>
      <c r="AC1206" s="62"/>
      <c r="AD1206" s="62"/>
      <c r="AE1206" s="62"/>
      <c r="AF1206" s="62"/>
      <c r="AG1206" s="62"/>
      <c r="AH1206" s="62"/>
      <c r="AI1206" s="62"/>
      <c r="AJ1206" s="62"/>
      <c r="AK1206" s="62"/>
      <c r="AL1206" s="62"/>
      <c r="AM1206" s="62"/>
      <c r="AN1206" s="62"/>
    </row>
    <row r="1207" spans="17:40" x14ac:dyDescent="0.4">
      <c r="Q1207" s="62"/>
      <c r="R1207" s="62"/>
      <c r="S1207" s="62"/>
      <c r="T1207" s="62"/>
      <c r="U1207" s="62"/>
      <c r="V1207" s="62"/>
      <c r="W1207" s="62"/>
      <c r="X1207" s="62"/>
      <c r="Y1207" s="62"/>
      <c r="Z1207" s="62"/>
      <c r="AA1207" s="62"/>
      <c r="AB1207" s="62"/>
      <c r="AC1207" s="62"/>
      <c r="AD1207" s="62"/>
      <c r="AE1207" s="62"/>
      <c r="AF1207" s="62"/>
      <c r="AG1207" s="62"/>
      <c r="AH1207" s="62"/>
      <c r="AI1207" s="62"/>
      <c r="AJ1207" s="62"/>
      <c r="AK1207" s="62"/>
      <c r="AL1207" s="62"/>
      <c r="AM1207" s="62"/>
      <c r="AN1207" s="62"/>
    </row>
    <row r="1208" spans="17:40" x14ac:dyDescent="0.4">
      <c r="Q1208" s="62"/>
      <c r="R1208" s="62"/>
      <c r="S1208" s="62"/>
      <c r="T1208" s="62"/>
      <c r="U1208" s="62"/>
      <c r="V1208" s="62"/>
      <c r="W1208" s="62"/>
      <c r="X1208" s="62"/>
      <c r="Y1208" s="62"/>
      <c r="Z1208" s="62"/>
      <c r="AA1208" s="62"/>
      <c r="AB1208" s="62"/>
      <c r="AC1208" s="62"/>
      <c r="AD1208" s="62"/>
      <c r="AE1208" s="62"/>
      <c r="AF1208" s="62"/>
      <c r="AG1208" s="62"/>
      <c r="AH1208" s="62"/>
      <c r="AI1208" s="62"/>
      <c r="AJ1208" s="62"/>
      <c r="AK1208" s="62"/>
      <c r="AL1208" s="62"/>
      <c r="AM1208" s="62"/>
      <c r="AN1208" s="62"/>
    </row>
    <row r="1209" spans="17:40" x14ac:dyDescent="0.4">
      <c r="Q1209" s="62"/>
      <c r="R1209" s="62"/>
      <c r="S1209" s="62"/>
      <c r="T1209" s="62"/>
      <c r="U1209" s="62"/>
      <c r="V1209" s="62"/>
      <c r="W1209" s="62"/>
      <c r="X1209" s="62"/>
      <c r="Y1209" s="62"/>
      <c r="Z1209" s="62"/>
      <c r="AA1209" s="62"/>
      <c r="AB1209" s="62"/>
      <c r="AC1209" s="62"/>
      <c r="AD1209" s="62"/>
      <c r="AE1209" s="62"/>
      <c r="AF1209" s="62"/>
      <c r="AG1209" s="62"/>
      <c r="AH1209" s="62"/>
      <c r="AI1209" s="62"/>
      <c r="AJ1209" s="62"/>
      <c r="AK1209" s="62"/>
      <c r="AL1209" s="62"/>
      <c r="AM1209" s="62"/>
      <c r="AN1209" s="62"/>
    </row>
    <row r="1210" spans="17:40" x14ac:dyDescent="0.4">
      <c r="Q1210" s="62"/>
      <c r="R1210" s="62"/>
      <c r="S1210" s="62"/>
      <c r="T1210" s="62"/>
      <c r="U1210" s="62"/>
      <c r="V1210" s="62"/>
      <c r="W1210" s="62"/>
      <c r="X1210" s="62"/>
      <c r="Y1210" s="62"/>
      <c r="Z1210" s="62"/>
      <c r="AA1210" s="62"/>
      <c r="AB1210" s="62"/>
      <c r="AC1210" s="62"/>
      <c r="AD1210" s="62"/>
      <c r="AE1210" s="62"/>
      <c r="AF1210" s="62"/>
      <c r="AG1210" s="62"/>
      <c r="AH1210" s="62"/>
      <c r="AI1210" s="62"/>
      <c r="AJ1210" s="62"/>
      <c r="AK1210" s="62"/>
      <c r="AL1210" s="62"/>
      <c r="AM1210" s="62"/>
      <c r="AN1210" s="62"/>
    </row>
    <row r="1211" spans="17:40" x14ac:dyDescent="0.4">
      <c r="Q1211" s="62"/>
      <c r="R1211" s="62"/>
      <c r="S1211" s="62"/>
      <c r="T1211" s="62"/>
      <c r="U1211" s="62"/>
      <c r="V1211" s="62"/>
      <c r="W1211" s="62"/>
      <c r="X1211" s="62"/>
      <c r="Y1211" s="62"/>
      <c r="Z1211" s="62"/>
      <c r="AA1211" s="62"/>
      <c r="AB1211" s="62"/>
      <c r="AC1211" s="62"/>
      <c r="AD1211" s="62"/>
      <c r="AE1211" s="62"/>
      <c r="AF1211" s="62"/>
      <c r="AG1211" s="62"/>
      <c r="AH1211" s="62"/>
      <c r="AI1211" s="62"/>
      <c r="AJ1211" s="62"/>
      <c r="AK1211" s="62"/>
      <c r="AL1211" s="62"/>
      <c r="AM1211" s="62"/>
      <c r="AN1211" s="62"/>
    </row>
    <row r="1212" spans="17:40" x14ac:dyDescent="0.4">
      <c r="Q1212" s="62"/>
      <c r="R1212" s="62"/>
      <c r="S1212" s="62"/>
      <c r="T1212" s="62"/>
      <c r="U1212" s="62"/>
      <c r="V1212" s="62"/>
      <c r="W1212" s="62"/>
      <c r="X1212" s="62"/>
      <c r="Y1212" s="62"/>
      <c r="Z1212" s="62"/>
      <c r="AA1212" s="62"/>
      <c r="AB1212" s="62"/>
      <c r="AC1212" s="62"/>
      <c r="AD1212" s="62"/>
      <c r="AE1212" s="62"/>
      <c r="AF1212" s="62"/>
      <c r="AG1212" s="62"/>
      <c r="AH1212" s="62"/>
      <c r="AI1212" s="62"/>
      <c r="AJ1212" s="62"/>
      <c r="AK1212" s="62"/>
      <c r="AL1212" s="62"/>
      <c r="AM1212" s="62"/>
      <c r="AN1212" s="62"/>
    </row>
    <row r="1213" spans="17:40" x14ac:dyDescent="0.4">
      <c r="Q1213" s="62"/>
      <c r="R1213" s="62"/>
      <c r="S1213" s="62"/>
      <c r="T1213" s="62"/>
      <c r="U1213" s="62"/>
      <c r="V1213" s="62"/>
      <c r="W1213" s="62"/>
      <c r="X1213" s="62"/>
      <c r="Y1213" s="62"/>
      <c r="Z1213" s="62"/>
      <c r="AA1213" s="62"/>
      <c r="AB1213" s="62"/>
      <c r="AC1213" s="62"/>
      <c r="AD1213" s="62"/>
      <c r="AE1213" s="62"/>
      <c r="AF1213" s="62"/>
      <c r="AG1213" s="62"/>
      <c r="AH1213" s="62"/>
      <c r="AI1213" s="62"/>
      <c r="AJ1213" s="62"/>
      <c r="AK1213" s="62"/>
      <c r="AL1213" s="62"/>
      <c r="AM1213" s="62"/>
      <c r="AN1213" s="62"/>
    </row>
    <row r="1214" spans="17:40" x14ac:dyDescent="0.4">
      <c r="Q1214" s="62"/>
      <c r="R1214" s="62"/>
      <c r="S1214" s="62"/>
      <c r="T1214" s="62"/>
      <c r="U1214" s="62"/>
      <c r="V1214" s="62"/>
      <c r="W1214" s="62"/>
      <c r="X1214" s="62"/>
      <c r="Y1214" s="62"/>
      <c r="Z1214" s="62"/>
      <c r="AA1214" s="62"/>
      <c r="AB1214" s="62"/>
      <c r="AC1214" s="62"/>
      <c r="AD1214" s="62"/>
      <c r="AE1214" s="62"/>
      <c r="AF1214" s="62"/>
      <c r="AG1214" s="62"/>
      <c r="AH1214" s="62"/>
      <c r="AI1214" s="62"/>
      <c r="AJ1214" s="62"/>
      <c r="AK1214" s="62"/>
      <c r="AL1214" s="62"/>
      <c r="AM1214" s="62"/>
      <c r="AN1214" s="62"/>
    </row>
    <row r="1215" spans="17:40" x14ac:dyDescent="0.4">
      <c r="Q1215" s="62"/>
      <c r="R1215" s="62"/>
      <c r="S1215" s="62"/>
      <c r="T1215" s="62"/>
      <c r="U1215" s="62"/>
      <c r="V1215" s="62"/>
      <c r="W1215" s="62"/>
      <c r="X1215" s="62"/>
      <c r="Y1215" s="62"/>
      <c r="Z1215" s="62"/>
      <c r="AA1215" s="62"/>
      <c r="AB1215" s="62"/>
      <c r="AC1215" s="62"/>
      <c r="AD1215" s="62"/>
      <c r="AE1215" s="62"/>
      <c r="AF1215" s="62"/>
      <c r="AG1215" s="62"/>
      <c r="AH1215" s="62"/>
      <c r="AI1215" s="62"/>
      <c r="AJ1215" s="62"/>
      <c r="AK1215" s="62"/>
      <c r="AL1215" s="62"/>
      <c r="AM1215" s="62"/>
      <c r="AN1215" s="62"/>
    </row>
    <row r="1216" spans="17:40" x14ac:dyDescent="0.4">
      <c r="Q1216" s="62"/>
      <c r="R1216" s="62"/>
      <c r="S1216" s="62"/>
      <c r="T1216" s="62"/>
      <c r="U1216" s="62"/>
      <c r="V1216" s="62"/>
      <c r="W1216" s="62"/>
      <c r="X1216" s="62"/>
      <c r="Y1216" s="62"/>
      <c r="Z1216" s="62"/>
      <c r="AA1216" s="62"/>
      <c r="AB1216" s="62"/>
      <c r="AC1216" s="62"/>
      <c r="AD1216" s="62"/>
      <c r="AE1216" s="62"/>
      <c r="AF1216" s="62"/>
      <c r="AG1216" s="62"/>
      <c r="AH1216" s="62"/>
      <c r="AI1216" s="62"/>
      <c r="AJ1216" s="62"/>
      <c r="AK1216" s="62"/>
      <c r="AL1216" s="62"/>
      <c r="AM1216" s="62"/>
      <c r="AN1216" s="62"/>
    </row>
    <row r="1217" spans="17:40" x14ac:dyDescent="0.4">
      <c r="Q1217" s="62"/>
      <c r="R1217" s="62"/>
      <c r="S1217" s="62"/>
      <c r="T1217" s="62"/>
      <c r="U1217" s="62"/>
      <c r="V1217" s="62"/>
      <c r="W1217" s="62"/>
      <c r="X1217" s="62"/>
      <c r="Y1217" s="62"/>
      <c r="Z1217" s="62"/>
      <c r="AA1217" s="62"/>
      <c r="AB1217" s="62"/>
      <c r="AC1217" s="62"/>
      <c r="AD1217" s="62"/>
      <c r="AE1217" s="62"/>
      <c r="AF1217" s="62"/>
      <c r="AG1217" s="62"/>
      <c r="AH1217" s="62"/>
      <c r="AI1217" s="62"/>
      <c r="AJ1217" s="62"/>
      <c r="AK1217" s="62"/>
      <c r="AL1217" s="62"/>
      <c r="AM1217" s="62"/>
      <c r="AN1217" s="62"/>
    </row>
    <row r="1218" spans="17:40" x14ac:dyDescent="0.4">
      <c r="Q1218" s="62"/>
      <c r="R1218" s="62"/>
      <c r="S1218" s="62"/>
      <c r="T1218" s="62"/>
      <c r="U1218" s="62"/>
      <c r="V1218" s="62"/>
      <c r="W1218" s="62"/>
      <c r="X1218" s="62"/>
      <c r="Y1218" s="62"/>
      <c r="Z1218" s="62"/>
      <c r="AA1218" s="62"/>
      <c r="AB1218" s="62"/>
      <c r="AC1218" s="62"/>
      <c r="AD1218" s="62"/>
      <c r="AE1218" s="62"/>
      <c r="AF1218" s="62"/>
      <c r="AG1218" s="62"/>
      <c r="AH1218" s="62"/>
      <c r="AI1218" s="62"/>
      <c r="AJ1218" s="62"/>
      <c r="AK1218" s="62"/>
      <c r="AL1218" s="62"/>
      <c r="AM1218" s="62"/>
      <c r="AN1218" s="62"/>
    </row>
    <row r="1219" spans="17:40" x14ac:dyDescent="0.4">
      <c r="Q1219" s="62"/>
      <c r="R1219" s="62"/>
      <c r="S1219" s="62"/>
      <c r="T1219" s="62"/>
      <c r="U1219" s="62"/>
      <c r="V1219" s="62"/>
      <c r="W1219" s="62"/>
      <c r="X1219" s="62"/>
      <c r="Y1219" s="62"/>
      <c r="Z1219" s="62"/>
      <c r="AA1219" s="62"/>
      <c r="AB1219" s="62"/>
      <c r="AC1219" s="62"/>
      <c r="AD1219" s="62"/>
      <c r="AE1219" s="62"/>
      <c r="AF1219" s="62"/>
      <c r="AG1219" s="62"/>
      <c r="AH1219" s="62"/>
      <c r="AI1219" s="62"/>
      <c r="AJ1219" s="62"/>
      <c r="AK1219" s="62"/>
      <c r="AL1219" s="62"/>
      <c r="AM1219" s="62"/>
      <c r="AN1219" s="62"/>
    </row>
    <row r="1220" spans="17:40" x14ac:dyDescent="0.4">
      <c r="Q1220" s="62"/>
      <c r="R1220" s="62"/>
      <c r="S1220" s="62"/>
      <c r="T1220" s="62"/>
      <c r="U1220" s="62"/>
      <c r="V1220" s="62"/>
      <c r="W1220" s="62"/>
      <c r="X1220" s="62"/>
      <c r="Y1220" s="62"/>
      <c r="Z1220" s="62"/>
      <c r="AA1220" s="62"/>
      <c r="AB1220" s="62"/>
      <c r="AC1220" s="62"/>
      <c r="AD1220" s="62"/>
      <c r="AE1220" s="62"/>
      <c r="AF1220" s="62"/>
      <c r="AG1220" s="62"/>
      <c r="AH1220" s="62"/>
      <c r="AI1220" s="62"/>
      <c r="AJ1220" s="62"/>
      <c r="AK1220" s="62"/>
      <c r="AL1220" s="62"/>
      <c r="AM1220" s="62"/>
      <c r="AN1220" s="62"/>
    </row>
    <row r="1221" spans="17:40" x14ac:dyDescent="0.4">
      <c r="Q1221" s="62"/>
      <c r="R1221" s="62"/>
      <c r="S1221" s="62"/>
      <c r="T1221" s="62"/>
      <c r="U1221" s="62"/>
      <c r="V1221" s="62"/>
      <c r="W1221" s="62"/>
      <c r="X1221" s="62"/>
      <c r="Y1221" s="62"/>
      <c r="Z1221" s="62"/>
      <c r="AA1221" s="62"/>
      <c r="AB1221" s="62"/>
      <c r="AC1221" s="62"/>
      <c r="AD1221" s="62"/>
      <c r="AE1221" s="62"/>
      <c r="AF1221" s="62"/>
      <c r="AG1221" s="62"/>
      <c r="AH1221" s="62"/>
      <c r="AI1221" s="62"/>
      <c r="AJ1221" s="62"/>
      <c r="AK1221" s="62"/>
      <c r="AL1221" s="62"/>
      <c r="AM1221" s="62"/>
      <c r="AN1221" s="62"/>
    </row>
    <row r="1222" spans="17:40" x14ac:dyDescent="0.4"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</row>
    <row r="1223" spans="17:40" x14ac:dyDescent="0.4"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</row>
    <row r="1224" spans="17:40" x14ac:dyDescent="0.4">
      <c r="Q1224" s="62"/>
      <c r="R1224" s="62"/>
      <c r="S1224" s="62"/>
      <c r="T1224" s="62"/>
      <c r="U1224" s="62"/>
      <c r="V1224" s="62"/>
      <c r="W1224" s="62"/>
      <c r="X1224" s="62"/>
      <c r="Y1224" s="62"/>
      <c r="Z1224" s="62"/>
      <c r="AA1224" s="62"/>
      <c r="AB1224" s="62"/>
      <c r="AC1224" s="62"/>
      <c r="AD1224" s="62"/>
      <c r="AE1224" s="62"/>
      <c r="AF1224" s="62"/>
      <c r="AG1224" s="62"/>
      <c r="AH1224" s="62"/>
      <c r="AI1224" s="62"/>
      <c r="AJ1224" s="62"/>
      <c r="AK1224" s="62"/>
      <c r="AL1224" s="62"/>
      <c r="AM1224" s="62"/>
      <c r="AN1224" s="62"/>
    </row>
    <row r="1225" spans="17:40" x14ac:dyDescent="0.4"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62"/>
      <c r="AL1225" s="62"/>
      <c r="AM1225" s="62"/>
      <c r="AN1225" s="62"/>
    </row>
    <row r="1226" spans="17:40" x14ac:dyDescent="0.4"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</row>
    <row r="1227" spans="17:40" x14ac:dyDescent="0.4"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</row>
    <row r="1228" spans="17:40" x14ac:dyDescent="0.4"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</row>
    <row r="1229" spans="17:40" x14ac:dyDescent="0.4"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</row>
    <row r="1230" spans="17:40" x14ac:dyDescent="0.4"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</row>
    <row r="1231" spans="17:40" x14ac:dyDescent="0.4"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</row>
    <row r="1232" spans="17:40" x14ac:dyDescent="0.4"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</row>
    <row r="1233" spans="17:40" x14ac:dyDescent="0.4"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</row>
    <row r="1234" spans="17:40" x14ac:dyDescent="0.4"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</row>
    <row r="1235" spans="17:40" x14ac:dyDescent="0.4"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</row>
    <row r="1236" spans="17:40" x14ac:dyDescent="0.4">
      <c r="Q1236" s="62"/>
      <c r="R1236" s="62"/>
      <c r="S1236" s="62"/>
      <c r="T1236" s="62"/>
      <c r="U1236" s="62"/>
      <c r="V1236" s="62"/>
      <c r="W1236" s="62"/>
      <c r="X1236" s="62"/>
      <c r="Y1236" s="62"/>
      <c r="Z1236" s="62"/>
      <c r="AA1236" s="62"/>
      <c r="AB1236" s="62"/>
      <c r="AC1236" s="62"/>
      <c r="AD1236" s="62"/>
      <c r="AE1236" s="62"/>
      <c r="AF1236" s="62"/>
      <c r="AG1236" s="62"/>
      <c r="AH1236" s="62"/>
      <c r="AI1236" s="62"/>
      <c r="AJ1236" s="62"/>
      <c r="AK1236" s="62"/>
      <c r="AL1236" s="62"/>
      <c r="AM1236" s="62"/>
      <c r="AN1236" s="62"/>
    </row>
    <row r="1237" spans="17:40" x14ac:dyDescent="0.4">
      <c r="Q1237" s="62"/>
      <c r="R1237" s="62"/>
      <c r="S1237" s="62"/>
      <c r="T1237" s="62"/>
      <c r="U1237" s="62"/>
      <c r="V1237" s="62"/>
      <c r="W1237" s="62"/>
      <c r="X1237" s="62"/>
      <c r="Y1237" s="62"/>
      <c r="Z1237" s="62"/>
      <c r="AA1237" s="62"/>
      <c r="AB1237" s="62"/>
      <c r="AC1237" s="62"/>
      <c r="AD1237" s="62"/>
      <c r="AE1237" s="62"/>
      <c r="AF1237" s="62"/>
      <c r="AG1237" s="62"/>
      <c r="AH1237" s="62"/>
      <c r="AI1237" s="62"/>
      <c r="AJ1237" s="62"/>
      <c r="AK1237" s="62"/>
      <c r="AL1237" s="62"/>
      <c r="AM1237" s="62"/>
      <c r="AN1237" s="62"/>
    </row>
    <row r="1238" spans="17:40" x14ac:dyDescent="0.4">
      <c r="Q1238" s="62"/>
      <c r="R1238" s="62"/>
      <c r="S1238" s="62"/>
      <c r="T1238" s="62"/>
      <c r="U1238" s="62"/>
      <c r="V1238" s="62"/>
      <c r="W1238" s="62"/>
      <c r="X1238" s="62"/>
      <c r="Y1238" s="62"/>
      <c r="Z1238" s="62"/>
      <c r="AA1238" s="62"/>
      <c r="AB1238" s="62"/>
      <c r="AC1238" s="62"/>
      <c r="AD1238" s="62"/>
      <c r="AE1238" s="62"/>
      <c r="AF1238" s="62"/>
      <c r="AG1238" s="62"/>
      <c r="AH1238" s="62"/>
      <c r="AI1238" s="62"/>
      <c r="AJ1238" s="62"/>
      <c r="AK1238" s="62"/>
      <c r="AL1238" s="62"/>
      <c r="AM1238" s="62"/>
      <c r="AN1238" s="62"/>
    </row>
    <row r="1239" spans="17:40" x14ac:dyDescent="0.4">
      <c r="Q1239" s="62"/>
      <c r="R1239" s="62"/>
      <c r="S1239" s="62"/>
      <c r="T1239" s="62"/>
      <c r="U1239" s="62"/>
      <c r="V1239" s="62"/>
      <c r="W1239" s="62"/>
      <c r="X1239" s="62"/>
      <c r="Y1239" s="62"/>
      <c r="Z1239" s="62"/>
      <c r="AA1239" s="62"/>
      <c r="AB1239" s="62"/>
      <c r="AC1239" s="62"/>
      <c r="AD1239" s="62"/>
      <c r="AE1239" s="62"/>
      <c r="AF1239" s="62"/>
      <c r="AG1239" s="62"/>
      <c r="AH1239" s="62"/>
      <c r="AI1239" s="62"/>
      <c r="AJ1239" s="62"/>
      <c r="AK1239" s="62"/>
      <c r="AL1239" s="62"/>
      <c r="AM1239" s="62"/>
      <c r="AN1239" s="62"/>
    </row>
    <row r="1240" spans="17:40" x14ac:dyDescent="0.4">
      <c r="Q1240" s="62"/>
      <c r="R1240" s="62"/>
      <c r="S1240" s="62"/>
      <c r="T1240" s="62"/>
      <c r="U1240" s="62"/>
      <c r="V1240" s="62"/>
      <c r="W1240" s="62"/>
      <c r="X1240" s="62"/>
      <c r="Y1240" s="62"/>
      <c r="Z1240" s="62"/>
      <c r="AA1240" s="62"/>
      <c r="AB1240" s="62"/>
      <c r="AC1240" s="62"/>
      <c r="AD1240" s="62"/>
      <c r="AE1240" s="62"/>
      <c r="AF1240" s="62"/>
      <c r="AG1240" s="62"/>
      <c r="AH1240" s="62"/>
      <c r="AI1240" s="62"/>
      <c r="AJ1240" s="62"/>
      <c r="AK1240" s="62"/>
      <c r="AL1240" s="62"/>
      <c r="AM1240" s="62"/>
      <c r="AN1240" s="62"/>
    </row>
    <row r="1241" spans="17:40" x14ac:dyDescent="0.4">
      <c r="Q1241" s="62"/>
      <c r="R1241" s="62"/>
      <c r="S1241" s="62"/>
      <c r="T1241" s="62"/>
      <c r="U1241" s="62"/>
      <c r="V1241" s="62"/>
      <c r="W1241" s="62"/>
      <c r="X1241" s="62"/>
      <c r="Y1241" s="62"/>
      <c r="Z1241" s="62"/>
      <c r="AA1241" s="62"/>
      <c r="AB1241" s="62"/>
      <c r="AC1241" s="62"/>
      <c r="AD1241" s="62"/>
      <c r="AE1241" s="62"/>
      <c r="AF1241" s="62"/>
      <c r="AG1241" s="62"/>
      <c r="AH1241" s="62"/>
      <c r="AI1241" s="62"/>
      <c r="AJ1241" s="62"/>
      <c r="AK1241" s="62"/>
      <c r="AL1241" s="62"/>
      <c r="AM1241" s="62"/>
      <c r="AN1241" s="62"/>
    </row>
    <row r="1242" spans="17:40" x14ac:dyDescent="0.4">
      <c r="Q1242" s="62"/>
      <c r="R1242" s="62"/>
      <c r="S1242" s="62"/>
      <c r="T1242" s="62"/>
      <c r="U1242" s="62"/>
      <c r="V1242" s="62"/>
      <c r="W1242" s="62"/>
      <c r="X1242" s="62"/>
      <c r="Y1242" s="62"/>
      <c r="Z1242" s="62"/>
      <c r="AA1242" s="62"/>
      <c r="AB1242" s="62"/>
      <c r="AC1242" s="62"/>
      <c r="AD1242" s="62"/>
      <c r="AE1242" s="62"/>
      <c r="AF1242" s="62"/>
      <c r="AG1242" s="62"/>
      <c r="AH1242" s="62"/>
      <c r="AI1242" s="62"/>
      <c r="AJ1242" s="62"/>
      <c r="AK1242" s="62"/>
      <c r="AL1242" s="62"/>
      <c r="AM1242" s="62"/>
      <c r="AN1242" s="62"/>
    </row>
    <row r="1243" spans="17:40" x14ac:dyDescent="0.4">
      <c r="Q1243" s="62"/>
      <c r="R1243" s="62"/>
      <c r="S1243" s="62"/>
      <c r="T1243" s="62"/>
      <c r="U1243" s="62"/>
      <c r="V1243" s="62"/>
      <c r="W1243" s="62"/>
      <c r="X1243" s="62"/>
      <c r="Y1243" s="62"/>
      <c r="Z1243" s="62"/>
      <c r="AA1243" s="62"/>
      <c r="AB1243" s="62"/>
      <c r="AC1243" s="62"/>
      <c r="AD1243" s="62"/>
      <c r="AE1243" s="62"/>
      <c r="AF1243" s="62"/>
      <c r="AG1243" s="62"/>
      <c r="AH1243" s="62"/>
      <c r="AI1243" s="62"/>
      <c r="AJ1243" s="62"/>
      <c r="AK1243" s="62"/>
      <c r="AL1243" s="62"/>
      <c r="AM1243" s="62"/>
      <c r="AN1243" s="62"/>
    </row>
    <row r="1244" spans="17:40" x14ac:dyDescent="0.4">
      <c r="Q1244" s="62"/>
      <c r="R1244" s="62"/>
      <c r="S1244" s="62"/>
      <c r="T1244" s="62"/>
      <c r="U1244" s="62"/>
      <c r="V1244" s="62"/>
      <c r="W1244" s="62"/>
      <c r="X1244" s="62"/>
      <c r="Y1244" s="62"/>
      <c r="Z1244" s="62"/>
      <c r="AA1244" s="62"/>
      <c r="AB1244" s="62"/>
      <c r="AC1244" s="62"/>
      <c r="AD1244" s="62"/>
      <c r="AE1244" s="62"/>
      <c r="AF1244" s="62"/>
      <c r="AG1244" s="62"/>
      <c r="AH1244" s="62"/>
      <c r="AI1244" s="62"/>
      <c r="AJ1244" s="62"/>
      <c r="AK1244" s="62"/>
      <c r="AL1244" s="62"/>
      <c r="AM1244" s="62"/>
      <c r="AN1244" s="62"/>
    </row>
    <row r="1245" spans="17:40" x14ac:dyDescent="0.4">
      <c r="Q1245" s="62"/>
      <c r="R1245" s="62"/>
      <c r="S1245" s="62"/>
      <c r="T1245" s="62"/>
      <c r="U1245" s="62"/>
      <c r="V1245" s="62"/>
      <c r="W1245" s="62"/>
      <c r="X1245" s="62"/>
      <c r="Y1245" s="62"/>
      <c r="Z1245" s="62"/>
      <c r="AA1245" s="62"/>
      <c r="AB1245" s="62"/>
      <c r="AC1245" s="62"/>
      <c r="AD1245" s="62"/>
      <c r="AE1245" s="62"/>
      <c r="AF1245" s="62"/>
      <c r="AG1245" s="62"/>
      <c r="AH1245" s="62"/>
      <c r="AI1245" s="62"/>
      <c r="AJ1245" s="62"/>
      <c r="AK1245" s="62"/>
      <c r="AL1245" s="62"/>
      <c r="AM1245" s="62"/>
      <c r="AN1245" s="62"/>
    </row>
    <row r="1246" spans="17:40" x14ac:dyDescent="0.4">
      <c r="Q1246" s="62"/>
      <c r="R1246" s="62"/>
      <c r="S1246" s="62"/>
      <c r="T1246" s="62"/>
      <c r="U1246" s="62"/>
      <c r="V1246" s="62"/>
      <c r="W1246" s="62"/>
      <c r="X1246" s="62"/>
      <c r="Y1246" s="62"/>
      <c r="Z1246" s="62"/>
      <c r="AA1246" s="62"/>
      <c r="AB1246" s="62"/>
      <c r="AC1246" s="62"/>
      <c r="AD1246" s="62"/>
      <c r="AE1246" s="62"/>
      <c r="AF1246" s="62"/>
      <c r="AG1246" s="62"/>
      <c r="AH1246" s="62"/>
      <c r="AI1246" s="62"/>
      <c r="AJ1246" s="62"/>
      <c r="AK1246" s="62"/>
      <c r="AL1246" s="62"/>
      <c r="AM1246" s="62"/>
      <c r="AN1246" s="62"/>
    </row>
    <row r="1247" spans="17:40" x14ac:dyDescent="0.4">
      <c r="Q1247" s="62"/>
      <c r="R1247" s="62"/>
      <c r="S1247" s="62"/>
      <c r="T1247" s="62"/>
      <c r="U1247" s="62"/>
      <c r="V1247" s="62"/>
      <c r="W1247" s="62"/>
      <c r="X1247" s="62"/>
      <c r="Y1247" s="62"/>
      <c r="Z1247" s="62"/>
      <c r="AA1247" s="62"/>
      <c r="AB1247" s="62"/>
      <c r="AC1247" s="62"/>
      <c r="AD1247" s="62"/>
      <c r="AE1247" s="62"/>
      <c r="AF1247" s="62"/>
      <c r="AG1247" s="62"/>
      <c r="AH1247" s="62"/>
      <c r="AI1247" s="62"/>
      <c r="AJ1247" s="62"/>
      <c r="AK1247" s="62"/>
      <c r="AL1247" s="62"/>
      <c r="AM1247" s="62"/>
      <c r="AN1247" s="62"/>
    </row>
    <row r="1248" spans="17:40" x14ac:dyDescent="0.4">
      <c r="Q1248" s="62"/>
      <c r="R1248" s="62"/>
      <c r="S1248" s="62"/>
      <c r="T1248" s="62"/>
      <c r="U1248" s="62"/>
      <c r="V1248" s="62"/>
      <c r="W1248" s="62"/>
      <c r="X1248" s="62"/>
      <c r="Y1248" s="62"/>
      <c r="Z1248" s="62"/>
      <c r="AA1248" s="62"/>
      <c r="AB1248" s="62"/>
      <c r="AC1248" s="62"/>
      <c r="AD1248" s="62"/>
      <c r="AE1248" s="62"/>
      <c r="AF1248" s="62"/>
      <c r="AG1248" s="62"/>
      <c r="AH1248" s="62"/>
      <c r="AI1248" s="62"/>
      <c r="AJ1248" s="62"/>
      <c r="AK1248" s="62"/>
      <c r="AL1248" s="62"/>
      <c r="AM1248" s="62"/>
      <c r="AN1248" s="62"/>
    </row>
    <row r="1249" spans="17:40" x14ac:dyDescent="0.4">
      <c r="Q1249" s="62"/>
      <c r="R1249" s="62"/>
      <c r="S1249" s="62"/>
      <c r="T1249" s="62"/>
      <c r="U1249" s="62"/>
      <c r="V1249" s="62"/>
      <c r="W1249" s="62"/>
      <c r="X1249" s="62"/>
      <c r="Y1249" s="62"/>
      <c r="Z1249" s="62"/>
      <c r="AA1249" s="62"/>
      <c r="AB1249" s="62"/>
      <c r="AC1249" s="62"/>
      <c r="AD1249" s="62"/>
      <c r="AE1249" s="62"/>
      <c r="AF1249" s="62"/>
      <c r="AG1249" s="62"/>
      <c r="AH1249" s="62"/>
      <c r="AI1249" s="62"/>
      <c r="AJ1249" s="62"/>
      <c r="AK1249" s="62"/>
      <c r="AL1249" s="62"/>
      <c r="AM1249" s="62"/>
      <c r="AN1249" s="62"/>
    </row>
    <row r="1250" spans="17:40" x14ac:dyDescent="0.4">
      <c r="Q1250" s="62"/>
      <c r="R1250" s="62"/>
      <c r="S1250" s="62"/>
      <c r="T1250" s="62"/>
      <c r="U1250" s="62"/>
      <c r="V1250" s="62"/>
      <c r="W1250" s="62"/>
      <c r="X1250" s="62"/>
      <c r="Y1250" s="62"/>
      <c r="Z1250" s="62"/>
      <c r="AA1250" s="62"/>
      <c r="AB1250" s="62"/>
      <c r="AC1250" s="62"/>
      <c r="AD1250" s="62"/>
      <c r="AE1250" s="62"/>
      <c r="AF1250" s="62"/>
      <c r="AG1250" s="62"/>
      <c r="AH1250" s="62"/>
      <c r="AI1250" s="62"/>
      <c r="AJ1250" s="62"/>
      <c r="AK1250" s="62"/>
      <c r="AL1250" s="62"/>
      <c r="AM1250" s="62"/>
      <c r="AN1250" s="62"/>
    </row>
    <row r="1251" spans="17:40" x14ac:dyDescent="0.4">
      <c r="Q1251" s="62"/>
      <c r="R1251" s="62"/>
      <c r="S1251" s="62"/>
      <c r="T1251" s="62"/>
      <c r="U1251" s="62"/>
      <c r="V1251" s="62"/>
      <c r="W1251" s="62"/>
      <c r="X1251" s="62"/>
      <c r="Y1251" s="62"/>
      <c r="Z1251" s="62"/>
      <c r="AA1251" s="62"/>
      <c r="AB1251" s="62"/>
      <c r="AC1251" s="62"/>
      <c r="AD1251" s="62"/>
      <c r="AE1251" s="62"/>
      <c r="AF1251" s="62"/>
      <c r="AG1251" s="62"/>
      <c r="AH1251" s="62"/>
      <c r="AI1251" s="62"/>
      <c r="AJ1251" s="62"/>
      <c r="AK1251" s="62"/>
      <c r="AL1251" s="62"/>
      <c r="AM1251" s="62"/>
      <c r="AN1251" s="62"/>
    </row>
    <row r="1252" spans="17:40" x14ac:dyDescent="0.4">
      <c r="Q1252" s="62"/>
      <c r="R1252" s="62"/>
      <c r="S1252" s="62"/>
      <c r="T1252" s="62"/>
      <c r="U1252" s="62"/>
      <c r="V1252" s="62"/>
      <c r="W1252" s="62"/>
      <c r="X1252" s="62"/>
      <c r="Y1252" s="62"/>
      <c r="Z1252" s="62"/>
      <c r="AA1252" s="62"/>
      <c r="AB1252" s="62"/>
      <c r="AC1252" s="62"/>
      <c r="AD1252" s="62"/>
      <c r="AE1252" s="62"/>
      <c r="AF1252" s="62"/>
      <c r="AG1252" s="62"/>
      <c r="AH1252" s="62"/>
      <c r="AI1252" s="62"/>
      <c r="AJ1252" s="62"/>
      <c r="AK1252" s="62"/>
      <c r="AL1252" s="62"/>
      <c r="AM1252" s="62"/>
      <c r="AN1252" s="62"/>
    </row>
    <row r="1253" spans="17:40" x14ac:dyDescent="0.4">
      <c r="Q1253" s="62"/>
      <c r="R1253" s="62"/>
      <c r="S1253" s="62"/>
      <c r="T1253" s="62"/>
      <c r="U1253" s="62"/>
      <c r="V1253" s="62"/>
      <c r="W1253" s="62"/>
      <c r="X1253" s="62"/>
      <c r="Y1253" s="62"/>
      <c r="Z1253" s="62"/>
      <c r="AA1253" s="62"/>
      <c r="AB1253" s="62"/>
      <c r="AC1253" s="62"/>
      <c r="AD1253" s="62"/>
      <c r="AE1253" s="62"/>
      <c r="AF1253" s="62"/>
      <c r="AG1253" s="62"/>
      <c r="AH1253" s="62"/>
      <c r="AI1253" s="62"/>
      <c r="AJ1253" s="62"/>
      <c r="AK1253" s="62"/>
      <c r="AL1253" s="62"/>
      <c r="AM1253" s="62"/>
      <c r="AN1253" s="62"/>
    </row>
    <row r="1254" spans="17:40" x14ac:dyDescent="0.4">
      <c r="Q1254" s="62"/>
      <c r="R1254" s="62"/>
      <c r="S1254" s="62"/>
      <c r="T1254" s="62"/>
      <c r="U1254" s="62"/>
      <c r="V1254" s="62"/>
      <c r="W1254" s="62"/>
      <c r="X1254" s="62"/>
      <c r="Y1254" s="62"/>
      <c r="Z1254" s="62"/>
      <c r="AA1254" s="62"/>
      <c r="AB1254" s="62"/>
      <c r="AC1254" s="62"/>
      <c r="AD1254" s="62"/>
      <c r="AE1254" s="62"/>
      <c r="AF1254" s="62"/>
      <c r="AG1254" s="62"/>
      <c r="AH1254" s="62"/>
      <c r="AI1254" s="62"/>
      <c r="AJ1254" s="62"/>
      <c r="AK1254" s="62"/>
      <c r="AL1254" s="62"/>
      <c r="AM1254" s="62"/>
      <c r="AN1254" s="62"/>
    </row>
    <row r="1255" spans="17:40" x14ac:dyDescent="0.4">
      <c r="Q1255" s="62"/>
      <c r="R1255" s="62"/>
      <c r="S1255" s="62"/>
      <c r="T1255" s="62"/>
      <c r="U1255" s="62"/>
      <c r="V1255" s="62"/>
      <c r="W1255" s="62"/>
      <c r="X1255" s="62"/>
      <c r="Y1255" s="62"/>
      <c r="Z1255" s="62"/>
      <c r="AA1255" s="62"/>
      <c r="AB1255" s="62"/>
      <c r="AC1255" s="62"/>
      <c r="AD1255" s="62"/>
      <c r="AE1255" s="62"/>
      <c r="AF1255" s="62"/>
      <c r="AG1255" s="62"/>
      <c r="AH1255" s="62"/>
      <c r="AI1255" s="62"/>
      <c r="AJ1255" s="62"/>
      <c r="AK1255" s="62"/>
      <c r="AL1255" s="62"/>
      <c r="AM1255" s="62"/>
      <c r="AN1255" s="62"/>
    </row>
    <row r="1256" spans="17:40" x14ac:dyDescent="0.4">
      <c r="Q1256" s="62"/>
      <c r="R1256" s="62"/>
      <c r="S1256" s="62"/>
      <c r="T1256" s="62"/>
      <c r="U1256" s="62"/>
      <c r="V1256" s="62"/>
      <c r="W1256" s="62"/>
      <c r="X1256" s="62"/>
      <c r="Y1256" s="62"/>
      <c r="Z1256" s="62"/>
      <c r="AA1256" s="62"/>
      <c r="AB1256" s="62"/>
      <c r="AC1256" s="62"/>
      <c r="AD1256" s="62"/>
      <c r="AE1256" s="62"/>
      <c r="AF1256" s="62"/>
      <c r="AG1256" s="62"/>
      <c r="AH1256" s="62"/>
      <c r="AI1256" s="62"/>
      <c r="AJ1256" s="62"/>
      <c r="AK1256" s="62"/>
      <c r="AL1256" s="62"/>
      <c r="AM1256" s="62"/>
      <c r="AN1256" s="62"/>
    </row>
    <row r="1257" spans="17:40" x14ac:dyDescent="0.4">
      <c r="Q1257" s="62"/>
      <c r="R1257" s="62"/>
      <c r="S1257" s="62"/>
      <c r="T1257" s="62"/>
      <c r="U1257" s="62"/>
      <c r="V1257" s="62"/>
      <c r="W1257" s="62"/>
      <c r="X1257" s="62"/>
      <c r="Y1257" s="62"/>
      <c r="Z1257" s="62"/>
      <c r="AA1257" s="62"/>
      <c r="AB1257" s="62"/>
      <c r="AC1257" s="62"/>
      <c r="AD1257" s="62"/>
      <c r="AE1257" s="62"/>
      <c r="AF1257" s="62"/>
      <c r="AG1257" s="62"/>
      <c r="AH1257" s="62"/>
      <c r="AI1257" s="62"/>
      <c r="AJ1257" s="62"/>
      <c r="AK1257" s="62"/>
      <c r="AL1257" s="62"/>
      <c r="AM1257" s="62"/>
      <c r="AN1257" s="62"/>
    </row>
    <row r="1258" spans="17:40" x14ac:dyDescent="0.4">
      <c r="Q1258" s="62"/>
      <c r="R1258" s="62"/>
      <c r="S1258" s="62"/>
      <c r="T1258" s="62"/>
      <c r="U1258" s="62"/>
      <c r="V1258" s="62"/>
      <c r="W1258" s="62"/>
      <c r="X1258" s="62"/>
      <c r="Y1258" s="62"/>
      <c r="Z1258" s="62"/>
      <c r="AA1258" s="62"/>
      <c r="AB1258" s="62"/>
      <c r="AC1258" s="62"/>
      <c r="AD1258" s="62"/>
      <c r="AE1258" s="62"/>
      <c r="AF1258" s="62"/>
      <c r="AG1258" s="62"/>
      <c r="AH1258" s="62"/>
      <c r="AI1258" s="62"/>
      <c r="AJ1258" s="62"/>
      <c r="AK1258" s="62"/>
      <c r="AL1258" s="62"/>
      <c r="AM1258" s="62"/>
      <c r="AN1258" s="62"/>
    </row>
    <row r="1259" spans="17:40" x14ac:dyDescent="0.4">
      <c r="Q1259" s="62"/>
      <c r="R1259" s="62"/>
      <c r="S1259" s="62"/>
      <c r="T1259" s="62"/>
      <c r="U1259" s="62"/>
      <c r="V1259" s="62"/>
      <c r="W1259" s="62"/>
      <c r="X1259" s="62"/>
      <c r="Y1259" s="62"/>
      <c r="Z1259" s="62"/>
      <c r="AA1259" s="62"/>
      <c r="AB1259" s="62"/>
      <c r="AC1259" s="62"/>
      <c r="AD1259" s="62"/>
      <c r="AE1259" s="62"/>
      <c r="AF1259" s="62"/>
      <c r="AG1259" s="62"/>
      <c r="AH1259" s="62"/>
      <c r="AI1259" s="62"/>
      <c r="AJ1259" s="62"/>
      <c r="AK1259" s="62"/>
      <c r="AL1259" s="62"/>
      <c r="AM1259" s="62"/>
      <c r="AN1259" s="62"/>
    </row>
    <row r="1260" spans="17:40" x14ac:dyDescent="0.4"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</row>
    <row r="1261" spans="17:40" x14ac:dyDescent="0.4"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</row>
    <row r="1262" spans="17:40" x14ac:dyDescent="0.4">
      <c r="Q1262" s="62"/>
      <c r="R1262" s="62"/>
      <c r="S1262" s="62"/>
      <c r="T1262" s="62"/>
      <c r="U1262" s="62"/>
      <c r="V1262" s="62"/>
      <c r="W1262" s="62"/>
      <c r="X1262" s="62"/>
      <c r="Y1262" s="62"/>
      <c r="Z1262" s="62"/>
      <c r="AA1262" s="62"/>
      <c r="AB1262" s="62"/>
      <c r="AC1262" s="62"/>
      <c r="AD1262" s="62"/>
      <c r="AE1262" s="62"/>
      <c r="AF1262" s="62"/>
      <c r="AG1262" s="62"/>
      <c r="AH1262" s="62"/>
      <c r="AI1262" s="62"/>
      <c r="AJ1262" s="62"/>
      <c r="AK1262" s="62"/>
      <c r="AL1262" s="62"/>
      <c r="AM1262" s="62"/>
      <c r="AN1262" s="62"/>
    </row>
    <row r="1263" spans="17:40" x14ac:dyDescent="0.4"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62"/>
      <c r="AL1263" s="62"/>
      <c r="AM1263" s="62"/>
      <c r="AN1263" s="62"/>
    </row>
    <row r="1264" spans="17:40" x14ac:dyDescent="0.4"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</row>
    <row r="1265" spans="17:40" x14ac:dyDescent="0.4"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</row>
    <row r="1266" spans="17:40" x14ac:dyDescent="0.4"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</row>
    <row r="1267" spans="17:40" x14ac:dyDescent="0.4"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</row>
    <row r="1268" spans="17:40" x14ac:dyDescent="0.4"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</row>
    <row r="1269" spans="17:40" x14ac:dyDescent="0.4"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</row>
    <row r="1270" spans="17:40" x14ac:dyDescent="0.4"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</row>
    <row r="1271" spans="17:40" x14ac:dyDescent="0.4"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</row>
    <row r="1272" spans="17:40" x14ac:dyDescent="0.4"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</row>
    <row r="1273" spans="17:40" x14ac:dyDescent="0.4"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</row>
    <row r="1274" spans="17:40" x14ac:dyDescent="0.4">
      <c r="Q1274" s="62"/>
      <c r="R1274" s="62"/>
      <c r="S1274" s="62"/>
      <c r="T1274" s="62"/>
      <c r="U1274" s="62"/>
      <c r="V1274" s="62"/>
      <c r="W1274" s="62"/>
      <c r="X1274" s="62"/>
      <c r="Y1274" s="62"/>
      <c r="Z1274" s="62"/>
      <c r="AA1274" s="62"/>
      <c r="AB1274" s="62"/>
      <c r="AC1274" s="62"/>
      <c r="AD1274" s="62"/>
      <c r="AE1274" s="62"/>
      <c r="AF1274" s="62"/>
      <c r="AG1274" s="62"/>
      <c r="AH1274" s="62"/>
      <c r="AI1274" s="62"/>
      <c r="AJ1274" s="62"/>
      <c r="AK1274" s="62"/>
      <c r="AL1274" s="62"/>
      <c r="AM1274" s="62"/>
      <c r="AN1274" s="62"/>
    </row>
    <row r="1275" spans="17:40" x14ac:dyDescent="0.4">
      <c r="Q1275" s="62"/>
      <c r="R1275" s="62"/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</row>
    <row r="1276" spans="17:40" x14ac:dyDescent="0.4">
      <c r="Q1276" s="62"/>
      <c r="R1276" s="62"/>
      <c r="S1276" s="62"/>
      <c r="T1276" s="62"/>
      <c r="U1276" s="62"/>
      <c r="V1276" s="62"/>
      <c r="W1276" s="62"/>
      <c r="X1276" s="62"/>
      <c r="Y1276" s="62"/>
      <c r="Z1276" s="62"/>
      <c r="AA1276" s="62"/>
      <c r="AB1276" s="62"/>
      <c r="AC1276" s="62"/>
      <c r="AD1276" s="62"/>
      <c r="AE1276" s="62"/>
      <c r="AF1276" s="62"/>
      <c r="AG1276" s="62"/>
      <c r="AH1276" s="62"/>
      <c r="AI1276" s="62"/>
      <c r="AJ1276" s="62"/>
      <c r="AK1276" s="62"/>
      <c r="AL1276" s="62"/>
      <c r="AM1276" s="62"/>
      <c r="AN1276" s="62"/>
    </row>
    <row r="1277" spans="17:40" x14ac:dyDescent="0.4">
      <c r="Q1277" s="62"/>
      <c r="R1277" s="62"/>
      <c r="S1277" s="62"/>
      <c r="T1277" s="62"/>
      <c r="U1277" s="62"/>
      <c r="V1277" s="62"/>
      <c r="W1277" s="62"/>
      <c r="X1277" s="62"/>
      <c r="Y1277" s="62"/>
      <c r="Z1277" s="62"/>
      <c r="AA1277" s="62"/>
      <c r="AB1277" s="62"/>
      <c r="AC1277" s="62"/>
      <c r="AD1277" s="62"/>
      <c r="AE1277" s="62"/>
      <c r="AF1277" s="62"/>
      <c r="AG1277" s="62"/>
      <c r="AH1277" s="62"/>
      <c r="AI1277" s="62"/>
      <c r="AJ1277" s="62"/>
      <c r="AK1277" s="62"/>
      <c r="AL1277" s="62"/>
      <c r="AM1277" s="62"/>
      <c r="AN1277" s="62"/>
    </row>
    <row r="1278" spans="17:40" x14ac:dyDescent="0.4">
      <c r="Q1278" s="62"/>
      <c r="R1278" s="62"/>
      <c r="S1278" s="62"/>
      <c r="T1278" s="62"/>
      <c r="U1278" s="62"/>
      <c r="V1278" s="62"/>
      <c r="W1278" s="62"/>
      <c r="X1278" s="62"/>
      <c r="Y1278" s="62"/>
      <c r="Z1278" s="62"/>
      <c r="AA1278" s="62"/>
      <c r="AB1278" s="62"/>
      <c r="AC1278" s="62"/>
      <c r="AD1278" s="62"/>
      <c r="AE1278" s="62"/>
      <c r="AF1278" s="62"/>
      <c r="AG1278" s="62"/>
      <c r="AH1278" s="62"/>
      <c r="AI1278" s="62"/>
      <c r="AJ1278" s="62"/>
      <c r="AK1278" s="62"/>
      <c r="AL1278" s="62"/>
      <c r="AM1278" s="62"/>
      <c r="AN1278" s="62"/>
    </row>
    <row r="1279" spans="17:40" x14ac:dyDescent="0.4">
      <c r="Q1279" s="62"/>
      <c r="R1279" s="62"/>
      <c r="S1279" s="62"/>
      <c r="T1279" s="62"/>
      <c r="U1279" s="62"/>
      <c r="V1279" s="62"/>
      <c r="W1279" s="62"/>
      <c r="X1279" s="62"/>
      <c r="Y1279" s="62"/>
      <c r="Z1279" s="62"/>
      <c r="AA1279" s="62"/>
      <c r="AB1279" s="62"/>
      <c r="AC1279" s="62"/>
      <c r="AD1279" s="62"/>
      <c r="AE1279" s="62"/>
      <c r="AF1279" s="62"/>
      <c r="AG1279" s="62"/>
      <c r="AH1279" s="62"/>
      <c r="AI1279" s="62"/>
      <c r="AJ1279" s="62"/>
      <c r="AK1279" s="62"/>
      <c r="AL1279" s="62"/>
      <c r="AM1279" s="62"/>
      <c r="AN1279" s="62"/>
    </row>
    <row r="1280" spans="17:40" x14ac:dyDescent="0.4">
      <c r="Q1280" s="62"/>
      <c r="R1280" s="62"/>
      <c r="S1280" s="62"/>
      <c r="T1280" s="62"/>
      <c r="U1280" s="62"/>
      <c r="V1280" s="62"/>
      <c r="W1280" s="62"/>
      <c r="X1280" s="62"/>
      <c r="Y1280" s="62"/>
      <c r="Z1280" s="62"/>
      <c r="AA1280" s="62"/>
      <c r="AB1280" s="62"/>
      <c r="AC1280" s="62"/>
      <c r="AD1280" s="62"/>
      <c r="AE1280" s="62"/>
      <c r="AF1280" s="62"/>
      <c r="AG1280" s="62"/>
      <c r="AH1280" s="62"/>
      <c r="AI1280" s="62"/>
      <c r="AJ1280" s="62"/>
      <c r="AK1280" s="62"/>
      <c r="AL1280" s="62"/>
      <c r="AM1280" s="62"/>
      <c r="AN1280" s="62"/>
    </row>
    <row r="1281" spans="17:40" x14ac:dyDescent="0.4">
      <c r="Q1281" s="62"/>
      <c r="R1281" s="62"/>
      <c r="S1281" s="62"/>
      <c r="T1281" s="62"/>
      <c r="U1281" s="62"/>
      <c r="V1281" s="62"/>
      <c r="W1281" s="62"/>
      <c r="X1281" s="62"/>
      <c r="Y1281" s="62"/>
      <c r="Z1281" s="62"/>
      <c r="AA1281" s="62"/>
      <c r="AB1281" s="62"/>
      <c r="AC1281" s="62"/>
      <c r="AD1281" s="62"/>
      <c r="AE1281" s="62"/>
      <c r="AF1281" s="62"/>
      <c r="AG1281" s="62"/>
      <c r="AH1281" s="62"/>
      <c r="AI1281" s="62"/>
      <c r="AJ1281" s="62"/>
      <c r="AK1281" s="62"/>
      <c r="AL1281" s="62"/>
      <c r="AM1281" s="62"/>
      <c r="AN1281" s="62"/>
    </row>
    <row r="1282" spans="17:40" x14ac:dyDescent="0.4">
      <c r="Q1282" s="62"/>
      <c r="R1282" s="62"/>
      <c r="S1282" s="62"/>
      <c r="T1282" s="62"/>
      <c r="U1282" s="62"/>
      <c r="V1282" s="62"/>
      <c r="W1282" s="62"/>
      <c r="X1282" s="62"/>
      <c r="Y1282" s="62"/>
      <c r="Z1282" s="62"/>
      <c r="AA1282" s="62"/>
      <c r="AB1282" s="62"/>
      <c r="AC1282" s="62"/>
      <c r="AD1282" s="62"/>
      <c r="AE1282" s="62"/>
      <c r="AF1282" s="62"/>
      <c r="AG1282" s="62"/>
      <c r="AH1282" s="62"/>
      <c r="AI1282" s="62"/>
      <c r="AJ1282" s="62"/>
      <c r="AK1282" s="62"/>
      <c r="AL1282" s="62"/>
      <c r="AM1282" s="62"/>
      <c r="AN1282" s="62"/>
    </row>
    <row r="1283" spans="17:40" x14ac:dyDescent="0.4">
      <c r="Q1283" s="62"/>
      <c r="R1283" s="62"/>
      <c r="S1283" s="62"/>
      <c r="T1283" s="62"/>
      <c r="U1283" s="62"/>
      <c r="V1283" s="62"/>
      <c r="W1283" s="62"/>
      <c r="X1283" s="62"/>
      <c r="Y1283" s="62"/>
      <c r="Z1283" s="62"/>
      <c r="AA1283" s="62"/>
      <c r="AB1283" s="62"/>
      <c r="AC1283" s="62"/>
      <c r="AD1283" s="62"/>
      <c r="AE1283" s="62"/>
      <c r="AF1283" s="62"/>
      <c r="AG1283" s="62"/>
      <c r="AH1283" s="62"/>
      <c r="AI1283" s="62"/>
      <c r="AJ1283" s="62"/>
      <c r="AK1283" s="62"/>
      <c r="AL1283" s="62"/>
      <c r="AM1283" s="62"/>
      <c r="AN1283" s="62"/>
    </row>
    <row r="1284" spans="17:40" x14ac:dyDescent="0.4">
      <c r="Q1284" s="62"/>
      <c r="R1284" s="62"/>
      <c r="S1284" s="62"/>
      <c r="T1284" s="62"/>
      <c r="U1284" s="62"/>
      <c r="V1284" s="62"/>
      <c r="W1284" s="62"/>
      <c r="X1284" s="62"/>
      <c r="Y1284" s="62"/>
      <c r="Z1284" s="62"/>
      <c r="AA1284" s="62"/>
      <c r="AB1284" s="62"/>
      <c r="AC1284" s="62"/>
      <c r="AD1284" s="62"/>
      <c r="AE1284" s="62"/>
      <c r="AF1284" s="62"/>
      <c r="AG1284" s="62"/>
      <c r="AH1284" s="62"/>
      <c r="AI1284" s="62"/>
      <c r="AJ1284" s="62"/>
      <c r="AK1284" s="62"/>
      <c r="AL1284" s="62"/>
      <c r="AM1284" s="62"/>
      <c r="AN1284" s="62"/>
    </row>
    <row r="1285" spans="17:40" x14ac:dyDescent="0.4">
      <c r="Q1285" s="62"/>
      <c r="R1285" s="62"/>
      <c r="S1285" s="62"/>
      <c r="T1285" s="62"/>
      <c r="U1285" s="62"/>
      <c r="V1285" s="62"/>
      <c r="W1285" s="62"/>
      <c r="X1285" s="62"/>
      <c r="Y1285" s="62"/>
      <c r="Z1285" s="62"/>
      <c r="AA1285" s="62"/>
      <c r="AB1285" s="62"/>
      <c r="AC1285" s="62"/>
      <c r="AD1285" s="62"/>
      <c r="AE1285" s="62"/>
      <c r="AF1285" s="62"/>
      <c r="AG1285" s="62"/>
      <c r="AH1285" s="62"/>
      <c r="AI1285" s="62"/>
      <c r="AJ1285" s="62"/>
      <c r="AK1285" s="62"/>
      <c r="AL1285" s="62"/>
      <c r="AM1285" s="62"/>
      <c r="AN1285" s="62"/>
    </row>
    <row r="1286" spans="17:40" x14ac:dyDescent="0.4">
      <c r="Q1286" s="62"/>
      <c r="R1286" s="62"/>
      <c r="S1286" s="62"/>
      <c r="T1286" s="62"/>
      <c r="U1286" s="62"/>
      <c r="V1286" s="62"/>
      <c r="W1286" s="62"/>
      <c r="X1286" s="62"/>
      <c r="Y1286" s="62"/>
      <c r="Z1286" s="62"/>
      <c r="AA1286" s="62"/>
      <c r="AB1286" s="62"/>
      <c r="AC1286" s="62"/>
      <c r="AD1286" s="62"/>
      <c r="AE1286" s="62"/>
      <c r="AF1286" s="62"/>
      <c r="AG1286" s="62"/>
      <c r="AH1286" s="62"/>
      <c r="AI1286" s="62"/>
      <c r="AJ1286" s="62"/>
      <c r="AK1286" s="62"/>
      <c r="AL1286" s="62"/>
      <c r="AM1286" s="62"/>
      <c r="AN1286" s="62"/>
    </row>
    <row r="1287" spans="17:40" x14ac:dyDescent="0.4">
      <c r="Q1287" s="62"/>
      <c r="R1287" s="62"/>
      <c r="S1287" s="62"/>
      <c r="T1287" s="62"/>
      <c r="U1287" s="62"/>
      <c r="V1287" s="62"/>
      <c r="W1287" s="62"/>
      <c r="X1287" s="62"/>
      <c r="Y1287" s="62"/>
      <c r="Z1287" s="62"/>
      <c r="AA1287" s="62"/>
      <c r="AB1287" s="62"/>
      <c r="AC1287" s="62"/>
      <c r="AD1287" s="62"/>
      <c r="AE1287" s="62"/>
      <c r="AF1287" s="62"/>
      <c r="AG1287" s="62"/>
      <c r="AH1287" s="62"/>
      <c r="AI1287" s="62"/>
      <c r="AJ1287" s="62"/>
      <c r="AK1287" s="62"/>
      <c r="AL1287" s="62"/>
      <c r="AM1287" s="62"/>
      <c r="AN1287" s="62"/>
    </row>
    <row r="1288" spans="17:40" x14ac:dyDescent="0.4">
      <c r="Q1288" s="62"/>
      <c r="R1288" s="62"/>
      <c r="S1288" s="62"/>
      <c r="T1288" s="62"/>
      <c r="U1288" s="62"/>
      <c r="V1288" s="62"/>
      <c r="W1288" s="62"/>
      <c r="X1288" s="62"/>
      <c r="Y1288" s="62"/>
      <c r="Z1288" s="62"/>
      <c r="AA1288" s="62"/>
      <c r="AB1288" s="62"/>
      <c r="AC1288" s="62"/>
      <c r="AD1288" s="62"/>
      <c r="AE1288" s="62"/>
      <c r="AF1288" s="62"/>
      <c r="AG1288" s="62"/>
      <c r="AH1288" s="62"/>
      <c r="AI1288" s="62"/>
      <c r="AJ1288" s="62"/>
      <c r="AK1288" s="62"/>
      <c r="AL1288" s="62"/>
      <c r="AM1288" s="62"/>
      <c r="AN1288" s="62"/>
    </row>
    <row r="1289" spans="17:40" x14ac:dyDescent="0.4">
      <c r="Q1289" s="62"/>
      <c r="R1289" s="62"/>
      <c r="S1289" s="62"/>
      <c r="T1289" s="62"/>
      <c r="U1289" s="62"/>
      <c r="V1289" s="62"/>
      <c r="W1289" s="62"/>
      <c r="X1289" s="62"/>
      <c r="Y1289" s="62"/>
      <c r="Z1289" s="62"/>
      <c r="AA1289" s="62"/>
      <c r="AB1289" s="62"/>
      <c r="AC1289" s="62"/>
      <c r="AD1289" s="62"/>
      <c r="AE1289" s="62"/>
      <c r="AF1289" s="62"/>
      <c r="AG1289" s="62"/>
      <c r="AH1289" s="62"/>
      <c r="AI1289" s="62"/>
      <c r="AJ1289" s="62"/>
      <c r="AK1289" s="62"/>
      <c r="AL1289" s="62"/>
      <c r="AM1289" s="62"/>
      <c r="AN1289" s="62"/>
    </row>
    <row r="1290" spans="17:40" x14ac:dyDescent="0.4">
      <c r="Q1290" s="62"/>
      <c r="R1290" s="62"/>
      <c r="S1290" s="62"/>
      <c r="T1290" s="62"/>
      <c r="U1290" s="62"/>
      <c r="V1290" s="62"/>
      <c r="W1290" s="62"/>
      <c r="X1290" s="62"/>
      <c r="Y1290" s="62"/>
      <c r="Z1290" s="62"/>
      <c r="AA1290" s="62"/>
      <c r="AB1290" s="62"/>
      <c r="AC1290" s="62"/>
      <c r="AD1290" s="62"/>
      <c r="AE1290" s="62"/>
      <c r="AF1290" s="62"/>
      <c r="AG1290" s="62"/>
      <c r="AH1290" s="62"/>
      <c r="AI1290" s="62"/>
      <c r="AJ1290" s="62"/>
      <c r="AK1290" s="62"/>
      <c r="AL1290" s="62"/>
      <c r="AM1290" s="62"/>
      <c r="AN1290" s="62"/>
    </row>
    <row r="1291" spans="17:40" x14ac:dyDescent="0.4">
      <c r="Q1291" s="62"/>
      <c r="R1291" s="62"/>
      <c r="S1291" s="62"/>
      <c r="T1291" s="62"/>
      <c r="U1291" s="62"/>
      <c r="V1291" s="62"/>
      <c r="W1291" s="62"/>
      <c r="X1291" s="62"/>
      <c r="Y1291" s="62"/>
      <c r="Z1291" s="62"/>
      <c r="AA1291" s="62"/>
      <c r="AB1291" s="62"/>
      <c r="AC1291" s="62"/>
      <c r="AD1291" s="62"/>
      <c r="AE1291" s="62"/>
      <c r="AF1291" s="62"/>
      <c r="AG1291" s="62"/>
      <c r="AH1291" s="62"/>
      <c r="AI1291" s="62"/>
      <c r="AJ1291" s="62"/>
      <c r="AK1291" s="62"/>
      <c r="AL1291" s="62"/>
      <c r="AM1291" s="62"/>
      <c r="AN1291" s="62"/>
    </row>
    <row r="1292" spans="17:40" x14ac:dyDescent="0.4">
      <c r="Q1292" s="62"/>
      <c r="R1292" s="62"/>
      <c r="S1292" s="62"/>
      <c r="T1292" s="62"/>
      <c r="U1292" s="62"/>
      <c r="V1292" s="62"/>
      <c r="W1292" s="62"/>
      <c r="X1292" s="62"/>
      <c r="Y1292" s="62"/>
      <c r="Z1292" s="62"/>
      <c r="AA1292" s="62"/>
      <c r="AB1292" s="62"/>
      <c r="AC1292" s="62"/>
      <c r="AD1292" s="62"/>
      <c r="AE1292" s="62"/>
      <c r="AF1292" s="62"/>
      <c r="AG1292" s="62"/>
      <c r="AH1292" s="62"/>
      <c r="AI1292" s="62"/>
      <c r="AJ1292" s="62"/>
      <c r="AK1292" s="62"/>
      <c r="AL1292" s="62"/>
      <c r="AM1292" s="62"/>
      <c r="AN1292" s="62"/>
    </row>
    <row r="1293" spans="17:40" x14ac:dyDescent="0.4">
      <c r="Q1293" s="62"/>
      <c r="R1293" s="62"/>
      <c r="S1293" s="62"/>
      <c r="T1293" s="62"/>
      <c r="U1293" s="62"/>
      <c r="V1293" s="62"/>
      <c r="W1293" s="62"/>
      <c r="X1293" s="62"/>
      <c r="Y1293" s="62"/>
      <c r="Z1293" s="62"/>
      <c r="AA1293" s="62"/>
      <c r="AB1293" s="62"/>
      <c r="AC1293" s="62"/>
      <c r="AD1293" s="62"/>
      <c r="AE1293" s="62"/>
      <c r="AF1293" s="62"/>
      <c r="AG1293" s="62"/>
      <c r="AH1293" s="62"/>
      <c r="AI1293" s="62"/>
      <c r="AJ1293" s="62"/>
      <c r="AK1293" s="62"/>
      <c r="AL1293" s="62"/>
      <c r="AM1293" s="62"/>
      <c r="AN1293" s="62"/>
    </row>
    <row r="1294" spans="17:40" x14ac:dyDescent="0.4">
      <c r="Q1294" s="62"/>
      <c r="R1294" s="62"/>
      <c r="S1294" s="62"/>
      <c r="T1294" s="62"/>
      <c r="U1294" s="62"/>
      <c r="V1294" s="62"/>
      <c r="W1294" s="62"/>
      <c r="X1294" s="62"/>
      <c r="Y1294" s="62"/>
      <c r="Z1294" s="62"/>
      <c r="AA1294" s="62"/>
      <c r="AB1294" s="62"/>
      <c r="AC1294" s="62"/>
      <c r="AD1294" s="62"/>
      <c r="AE1294" s="62"/>
      <c r="AF1294" s="62"/>
      <c r="AG1294" s="62"/>
      <c r="AH1294" s="62"/>
      <c r="AI1294" s="62"/>
      <c r="AJ1294" s="62"/>
      <c r="AK1294" s="62"/>
      <c r="AL1294" s="62"/>
      <c r="AM1294" s="62"/>
      <c r="AN1294" s="62"/>
    </row>
    <row r="1295" spans="17:40" x14ac:dyDescent="0.4">
      <c r="Q1295" s="62"/>
      <c r="R1295" s="62"/>
      <c r="S1295" s="62"/>
      <c r="T1295" s="62"/>
      <c r="U1295" s="62"/>
      <c r="V1295" s="62"/>
      <c r="W1295" s="62"/>
      <c r="X1295" s="62"/>
      <c r="Y1295" s="62"/>
      <c r="Z1295" s="62"/>
      <c r="AA1295" s="62"/>
      <c r="AB1295" s="62"/>
      <c r="AC1295" s="62"/>
      <c r="AD1295" s="62"/>
      <c r="AE1295" s="62"/>
      <c r="AF1295" s="62"/>
      <c r="AG1295" s="62"/>
      <c r="AH1295" s="62"/>
      <c r="AI1295" s="62"/>
      <c r="AJ1295" s="62"/>
      <c r="AK1295" s="62"/>
      <c r="AL1295" s="62"/>
      <c r="AM1295" s="62"/>
      <c r="AN1295" s="62"/>
    </row>
    <row r="1296" spans="17:40" x14ac:dyDescent="0.4">
      <c r="Q1296" s="62"/>
      <c r="R1296" s="62"/>
      <c r="S1296" s="62"/>
      <c r="T1296" s="62"/>
      <c r="U1296" s="62"/>
      <c r="V1296" s="62"/>
      <c r="W1296" s="62"/>
      <c r="X1296" s="62"/>
      <c r="Y1296" s="62"/>
      <c r="Z1296" s="62"/>
      <c r="AA1296" s="62"/>
      <c r="AB1296" s="62"/>
      <c r="AC1296" s="62"/>
      <c r="AD1296" s="62"/>
      <c r="AE1296" s="62"/>
      <c r="AF1296" s="62"/>
      <c r="AG1296" s="62"/>
      <c r="AH1296" s="62"/>
      <c r="AI1296" s="62"/>
      <c r="AJ1296" s="62"/>
      <c r="AK1296" s="62"/>
      <c r="AL1296" s="62"/>
      <c r="AM1296" s="62"/>
      <c r="AN1296" s="62"/>
    </row>
    <row r="1297" spans="17:40" x14ac:dyDescent="0.4">
      <c r="Q1297" s="62"/>
      <c r="R1297" s="62"/>
      <c r="S1297" s="62"/>
      <c r="T1297" s="62"/>
      <c r="U1297" s="62"/>
      <c r="V1297" s="62"/>
      <c r="W1297" s="62"/>
      <c r="X1297" s="62"/>
      <c r="Y1297" s="62"/>
      <c r="Z1297" s="62"/>
      <c r="AA1297" s="62"/>
      <c r="AB1297" s="62"/>
      <c r="AC1297" s="62"/>
      <c r="AD1297" s="62"/>
      <c r="AE1297" s="62"/>
      <c r="AF1297" s="62"/>
      <c r="AG1297" s="62"/>
      <c r="AH1297" s="62"/>
      <c r="AI1297" s="62"/>
      <c r="AJ1297" s="62"/>
      <c r="AK1297" s="62"/>
      <c r="AL1297" s="62"/>
      <c r="AM1297" s="62"/>
      <c r="AN1297" s="62"/>
    </row>
    <row r="1298" spans="17:40" x14ac:dyDescent="0.4"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</row>
    <row r="1299" spans="17:40" x14ac:dyDescent="0.4"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</row>
    <row r="1300" spans="17:40" x14ac:dyDescent="0.4">
      <c r="Q1300" s="62"/>
      <c r="R1300" s="62"/>
      <c r="S1300" s="62"/>
      <c r="T1300" s="62"/>
      <c r="U1300" s="62"/>
      <c r="V1300" s="62"/>
      <c r="W1300" s="62"/>
      <c r="X1300" s="62"/>
      <c r="Y1300" s="62"/>
      <c r="Z1300" s="62"/>
      <c r="AA1300" s="62"/>
      <c r="AB1300" s="62"/>
      <c r="AC1300" s="62"/>
      <c r="AD1300" s="62"/>
      <c r="AE1300" s="62"/>
      <c r="AF1300" s="62"/>
      <c r="AG1300" s="62"/>
      <c r="AH1300" s="62"/>
      <c r="AI1300" s="62"/>
      <c r="AJ1300" s="62"/>
      <c r="AK1300" s="62"/>
      <c r="AL1300" s="62"/>
      <c r="AM1300" s="62"/>
      <c r="AN1300" s="62"/>
    </row>
    <row r="1301" spans="17:40" x14ac:dyDescent="0.4"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62"/>
      <c r="AL1301" s="62"/>
      <c r="AM1301" s="62"/>
      <c r="AN1301" s="62"/>
    </row>
    <row r="1302" spans="17:40" x14ac:dyDescent="0.4"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</row>
    <row r="1303" spans="17:40" x14ac:dyDescent="0.4"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</row>
    <row r="1304" spans="17:40" x14ac:dyDescent="0.4"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</row>
    <row r="1305" spans="17:40" x14ac:dyDescent="0.4"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</row>
    <row r="1306" spans="17:40" x14ac:dyDescent="0.4"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</row>
    <row r="1307" spans="17:40" x14ac:dyDescent="0.4"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</row>
    <row r="1308" spans="17:40" x14ac:dyDescent="0.4"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</row>
    <row r="1309" spans="17:40" x14ac:dyDescent="0.4"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</row>
    <row r="1310" spans="17:40" x14ac:dyDescent="0.4"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</row>
    <row r="1311" spans="17:40" x14ac:dyDescent="0.4"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</row>
    <row r="1312" spans="17:40" x14ac:dyDescent="0.4">
      <c r="Q1312" s="62"/>
      <c r="R1312" s="62"/>
      <c r="S1312" s="62"/>
      <c r="T1312" s="62"/>
      <c r="U1312" s="62"/>
      <c r="V1312" s="62"/>
      <c r="W1312" s="62"/>
      <c r="X1312" s="62"/>
      <c r="Y1312" s="62"/>
      <c r="Z1312" s="62"/>
      <c r="AA1312" s="62"/>
      <c r="AB1312" s="62"/>
      <c r="AC1312" s="62"/>
      <c r="AD1312" s="62"/>
      <c r="AE1312" s="62"/>
      <c r="AF1312" s="62"/>
      <c r="AG1312" s="62"/>
      <c r="AH1312" s="62"/>
      <c r="AI1312" s="62"/>
      <c r="AJ1312" s="62"/>
      <c r="AK1312" s="62"/>
      <c r="AL1312" s="62"/>
      <c r="AM1312" s="62"/>
      <c r="AN1312" s="62"/>
    </row>
    <row r="1313" spans="17:40" x14ac:dyDescent="0.4">
      <c r="Q1313" s="62"/>
      <c r="R1313" s="62"/>
      <c r="S1313" s="62"/>
      <c r="T1313" s="62"/>
      <c r="U1313" s="62"/>
      <c r="V1313" s="62"/>
      <c r="W1313" s="62"/>
      <c r="X1313" s="62"/>
      <c r="Y1313" s="62"/>
      <c r="Z1313" s="62"/>
      <c r="AA1313" s="62"/>
      <c r="AB1313" s="62"/>
      <c r="AC1313" s="62"/>
      <c r="AD1313" s="62"/>
      <c r="AE1313" s="62"/>
      <c r="AF1313" s="62"/>
      <c r="AG1313" s="62"/>
      <c r="AH1313" s="62"/>
      <c r="AI1313" s="62"/>
      <c r="AJ1313" s="62"/>
      <c r="AK1313" s="62"/>
      <c r="AL1313" s="62"/>
      <c r="AM1313" s="62"/>
      <c r="AN1313" s="62"/>
    </row>
    <row r="1314" spans="17:40" x14ac:dyDescent="0.4">
      <c r="Q1314" s="62"/>
      <c r="R1314" s="62"/>
      <c r="S1314" s="62"/>
      <c r="T1314" s="62"/>
      <c r="U1314" s="62"/>
      <c r="V1314" s="62"/>
      <c r="W1314" s="62"/>
      <c r="X1314" s="62"/>
      <c r="Y1314" s="62"/>
      <c r="Z1314" s="62"/>
      <c r="AA1314" s="62"/>
      <c r="AB1314" s="62"/>
      <c r="AC1314" s="62"/>
      <c r="AD1314" s="62"/>
      <c r="AE1314" s="62"/>
      <c r="AF1314" s="62"/>
      <c r="AG1314" s="62"/>
      <c r="AH1314" s="62"/>
      <c r="AI1314" s="62"/>
      <c r="AJ1314" s="62"/>
      <c r="AK1314" s="62"/>
      <c r="AL1314" s="62"/>
      <c r="AM1314" s="62"/>
      <c r="AN1314" s="62"/>
    </row>
    <row r="1315" spans="17:40" x14ac:dyDescent="0.4">
      <c r="Q1315" s="62"/>
      <c r="R1315" s="62"/>
      <c r="S1315" s="62"/>
      <c r="T1315" s="62"/>
      <c r="U1315" s="62"/>
      <c r="V1315" s="62"/>
      <c r="W1315" s="62"/>
      <c r="X1315" s="62"/>
      <c r="Y1315" s="62"/>
      <c r="Z1315" s="62"/>
      <c r="AA1315" s="62"/>
      <c r="AB1315" s="62"/>
      <c r="AC1315" s="62"/>
      <c r="AD1315" s="62"/>
      <c r="AE1315" s="62"/>
      <c r="AF1315" s="62"/>
      <c r="AG1315" s="62"/>
      <c r="AH1315" s="62"/>
      <c r="AI1315" s="62"/>
      <c r="AJ1315" s="62"/>
      <c r="AK1315" s="62"/>
      <c r="AL1315" s="62"/>
      <c r="AM1315" s="62"/>
      <c r="AN1315" s="62"/>
    </row>
    <row r="1316" spans="17:40" x14ac:dyDescent="0.4">
      <c r="Q1316" s="62"/>
      <c r="R1316" s="62"/>
      <c r="S1316" s="62"/>
      <c r="T1316" s="62"/>
      <c r="U1316" s="62"/>
      <c r="V1316" s="62"/>
      <c r="W1316" s="62"/>
      <c r="X1316" s="62"/>
      <c r="Y1316" s="62"/>
      <c r="Z1316" s="62"/>
      <c r="AA1316" s="62"/>
      <c r="AB1316" s="62"/>
      <c r="AC1316" s="62"/>
      <c r="AD1316" s="62"/>
      <c r="AE1316" s="62"/>
      <c r="AF1316" s="62"/>
      <c r="AG1316" s="62"/>
      <c r="AH1316" s="62"/>
      <c r="AI1316" s="62"/>
      <c r="AJ1316" s="62"/>
      <c r="AK1316" s="62"/>
      <c r="AL1316" s="62"/>
      <c r="AM1316" s="62"/>
      <c r="AN1316" s="62"/>
    </row>
    <row r="1317" spans="17:40" x14ac:dyDescent="0.4">
      <c r="Q1317" s="62"/>
      <c r="R1317" s="62"/>
      <c r="S1317" s="62"/>
      <c r="T1317" s="62"/>
      <c r="U1317" s="62"/>
      <c r="V1317" s="62"/>
      <c r="W1317" s="62"/>
      <c r="X1317" s="62"/>
      <c r="Y1317" s="62"/>
      <c r="Z1317" s="62"/>
      <c r="AA1317" s="62"/>
      <c r="AB1317" s="62"/>
      <c r="AC1317" s="62"/>
      <c r="AD1317" s="62"/>
      <c r="AE1317" s="62"/>
      <c r="AF1317" s="62"/>
      <c r="AG1317" s="62"/>
      <c r="AH1317" s="62"/>
      <c r="AI1317" s="62"/>
      <c r="AJ1317" s="62"/>
      <c r="AK1317" s="62"/>
      <c r="AL1317" s="62"/>
      <c r="AM1317" s="62"/>
      <c r="AN1317" s="62"/>
    </row>
    <row r="1318" spans="17:40" x14ac:dyDescent="0.4">
      <c r="Q1318" s="62"/>
      <c r="R1318" s="62"/>
      <c r="S1318" s="62"/>
      <c r="T1318" s="62"/>
      <c r="U1318" s="62"/>
      <c r="V1318" s="62"/>
      <c r="W1318" s="62"/>
      <c r="X1318" s="62"/>
      <c r="Y1318" s="62"/>
      <c r="Z1318" s="62"/>
      <c r="AA1318" s="62"/>
      <c r="AB1318" s="62"/>
      <c r="AC1318" s="62"/>
      <c r="AD1318" s="62"/>
      <c r="AE1318" s="62"/>
      <c r="AF1318" s="62"/>
      <c r="AG1318" s="62"/>
      <c r="AH1318" s="62"/>
      <c r="AI1318" s="62"/>
      <c r="AJ1318" s="62"/>
      <c r="AK1318" s="62"/>
      <c r="AL1318" s="62"/>
      <c r="AM1318" s="62"/>
      <c r="AN1318" s="62"/>
    </row>
    <row r="1319" spans="17:40" x14ac:dyDescent="0.4">
      <c r="Q1319" s="62"/>
      <c r="R1319" s="62"/>
      <c r="S1319" s="62"/>
      <c r="T1319" s="62"/>
      <c r="U1319" s="62"/>
      <c r="V1319" s="62"/>
      <c r="W1319" s="62"/>
      <c r="X1319" s="62"/>
      <c r="Y1319" s="62"/>
      <c r="Z1319" s="62"/>
      <c r="AA1319" s="62"/>
      <c r="AB1319" s="62"/>
      <c r="AC1319" s="62"/>
      <c r="AD1319" s="62"/>
      <c r="AE1319" s="62"/>
      <c r="AF1319" s="62"/>
      <c r="AG1319" s="62"/>
      <c r="AH1319" s="62"/>
      <c r="AI1319" s="62"/>
      <c r="AJ1319" s="62"/>
      <c r="AK1319" s="62"/>
      <c r="AL1319" s="62"/>
      <c r="AM1319" s="62"/>
      <c r="AN1319" s="62"/>
    </row>
    <row r="1320" spans="17:40" x14ac:dyDescent="0.4">
      <c r="Q1320" s="62"/>
      <c r="R1320" s="62"/>
      <c r="S1320" s="62"/>
      <c r="T1320" s="62"/>
      <c r="U1320" s="62"/>
      <c r="V1320" s="62"/>
      <c r="W1320" s="62"/>
      <c r="X1320" s="62"/>
      <c r="Y1320" s="62"/>
      <c r="Z1320" s="62"/>
      <c r="AA1320" s="62"/>
      <c r="AB1320" s="62"/>
      <c r="AC1320" s="62"/>
      <c r="AD1320" s="62"/>
      <c r="AE1320" s="62"/>
      <c r="AF1320" s="62"/>
      <c r="AG1320" s="62"/>
      <c r="AH1320" s="62"/>
      <c r="AI1320" s="62"/>
      <c r="AJ1320" s="62"/>
      <c r="AK1320" s="62"/>
      <c r="AL1320" s="62"/>
      <c r="AM1320" s="62"/>
      <c r="AN1320" s="62"/>
    </row>
    <row r="1321" spans="17:40" x14ac:dyDescent="0.4">
      <c r="Q1321" s="62"/>
      <c r="R1321" s="62"/>
      <c r="S1321" s="62"/>
      <c r="T1321" s="62"/>
      <c r="U1321" s="62"/>
      <c r="V1321" s="62"/>
      <c r="W1321" s="62"/>
      <c r="X1321" s="62"/>
      <c r="Y1321" s="62"/>
      <c r="Z1321" s="62"/>
      <c r="AA1321" s="62"/>
      <c r="AB1321" s="62"/>
      <c r="AC1321" s="62"/>
      <c r="AD1321" s="62"/>
      <c r="AE1321" s="62"/>
      <c r="AF1321" s="62"/>
      <c r="AG1321" s="62"/>
      <c r="AH1321" s="62"/>
      <c r="AI1321" s="62"/>
      <c r="AJ1321" s="62"/>
      <c r="AK1321" s="62"/>
      <c r="AL1321" s="62"/>
      <c r="AM1321" s="62"/>
      <c r="AN1321" s="62"/>
    </row>
    <row r="1322" spans="17:40" x14ac:dyDescent="0.4">
      <c r="Q1322" s="62"/>
      <c r="R1322" s="62"/>
      <c r="S1322" s="62"/>
      <c r="T1322" s="62"/>
      <c r="U1322" s="62"/>
      <c r="V1322" s="62"/>
      <c r="W1322" s="62"/>
      <c r="X1322" s="62"/>
      <c r="Y1322" s="62"/>
      <c r="Z1322" s="62"/>
      <c r="AA1322" s="62"/>
      <c r="AB1322" s="62"/>
      <c r="AC1322" s="62"/>
      <c r="AD1322" s="62"/>
      <c r="AE1322" s="62"/>
      <c r="AF1322" s="62"/>
      <c r="AG1322" s="62"/>
      <c r="AH1322" s="62"/>
      <c r="AI1322" s="62"/>
      <c r="AJ1322" s="62"/>
      <c r="AK1322" s="62"/>
      <c r="AL1322" s="62"/>
      <c r="AM1322" s="62"/>
      <c r="AN1322" s="62"/>
    </row>
    <row r="1323" spans="17:40" x14ac:dyDescent="0.4">
      <c r="Q1323" s="62"/>
      <c r="R1323" s="62"/>
      <c r="S1323" s="62"/>
      <c r="T1323" s="62"/>
      <c r="U1323" s="62"/>
      <c r="V1323" s="62"/>
      <c r="W1323" s="62"/>
      <c r="X1323" s="62"/>
      <c r="Y1323" s="62"/>
      <c r="Z1323" s="62"/>
      <c r="AA1323" s="62"/>
      <c r="AB1323" s="62"/>
      <c r="AC1323" s="62"/>
      <c r="AD1323" s="62"/>
      <c r="AE1323" s="62"/>
      <c r="AF1323" s="62"/>
      <c r="AG1323" s="62"/>
      <c r="AH1323" s="62"/>
      <c r="AI1323" s="62"/>
      <c r="AJ1323" s="62"/>
      <c r="AK1323" s="62"/>
      <c r="AL1323" s="62"/>
      <c r="AM1323" s="62"/>
      <c r="AN1323" s="62"/>
    </row>
    <row r="1324" spans="17:40" x14ac:dyDescent="0.4">
      <c r="Q1324" s="62"/>
      <c r="R1324" s="62"/>
      <c r="S1324" s="62"/>
      <c r="T1324" s="62"/>
      <c r="U1324" s="62"/>
      <c r="V1324" s="62"/>
      <c r="W1324" s="62"/>
      <c r="X1324" s="62"/>
      <c r="Y1324" s="62"/>
      <c r="Z1324" s="62"/>
      <c r="AA1324" s="62"/>
      <c r="AB1324" s="62"/>
      <c r="AC1324" s="62"/>
      <c r="AD1324" s="62"/>
      <c r="AE1324" s="62"/>
      <c r="AF1324" s="62"/>
      <c r="AG1324" s="62"/>
      <c r="AH1324" s="62"/>
      <c r="AI1324" s="62"/>
      <c r="AJ1324" s="62"/>
      <c r="AK1324" s="62"/>
      <c r="AL1324" s="62"/>
      <c r="AM1324" s="62"/>
      <c r="AN1324" s="62"/>
    </row>
    <row r="1325" spans="17:40" x14ac:dyDescent="0.4">
      <c r="Q1325" s="62"/>
      <c r="R1325" s="62"/>
      <c r="S1325" s="62"/>
      <c r="T1325" s="62"/>
      <c r="U1325" s="62"/>
      <c r="V1325" s="62"/>
      <c r="W1325" s="62"/>
      <c r="X1325" s="62"/>
      <c r="Y1325" s="62"/>
      <c r="Z1325" s="62"/>
      <c r="AA1325" s="62"/>
      <c r="AB1325" s="62"/>
      <c r="AC1325" s="62"/>
      <c r="AD1325" s="62"/>
      <c r="AE1325" s="62"/>
      <c r="AF1325" s="62"/>
      <c r="AG1325" s="62"/>
      <c r="AH1325" s="62"/>
      <c r="AI1325" s="62"/>
      <c r="AJ1325" s="62"/>
      <c r="AK1325" s="62"/>
      <c r="AL1325" s="62"/>
      <c r="AM1325" s="62"/>
      <c r="AN1325" s="62"/>
    </row>
    <row r="1326" spans="17:40" x14ac:dyDescent="0.4">
      <c r="Q1326" s="62"/>
      <c r="R1326" s="62"/>
      <c r="S1326" s="62"/>
      <c r="T1326" s="62"/>
      <c r="U1326" s="62"/>
      <c r="V1326" s="62"/>
      <c r="W1326" s="62"/>
      <c r="X1326" s="62"/>
      <c r="Y1326" s="62"/>
      <c r="Z1326" s="62"/>
      <c r="AA1326" s="62"/>
      <c r="AB1326" s="62"/>
      <c r="AC1326" s="62"/>
      <c r="AD1326" s="62"/>
      <c r="AE1326" s="62"/>
      <c r="AF1326" s="62"/>
      <c r="AG1326" s="62"/>
      <c r="AH1326" s="62"/>
      <c r="AI1326" s="62"/>
      <c r="AJ1326" s="62"/>
      <c r="AK1326" s="62"/>
      <c r="AL1326" s="62"/>
      <c r="AM1326" s="62"/>
      <c r="AN1326" s="62"/>
    </row>
    <row r="1327" spans="17:40" x14ac:dyDescent="0.4">
      <c r="Q1327" s="62"/>
      <c r="R1327" s="62"/>
      <c r="S1327" s="62"/>
      <c r="T1327" s="62"/>
      <c r="U1327" s="62"/>
      <c r="V1327" s="62"/>
      <c r="W1327" s="62"/>
      <c r="X1327" s="62"/>
      <c r="Y1327" s="62"/>
      <c r="Z1327" s="62"/>
      <c r="AA1327" s="62"/>
      <c r="AB1327" s="62"/>
      <c r="AC1327" s="62"/>
      <c r="AD1327" s="62"/>
      <c r="AE1327" s="62"/>
      <c r="AF1327" s="62"/>
      <c r="AG1327" s="62"/>
      <c r="AH1327" s="62"/>
      <c r="AI1327" s="62"/>
      <c r="AJ1327" s="62"/>
      <c r="AK1327" s="62"/>
      <c r="AL1327" s="62"/>
      <c r="AM1327" s="62"/>
      <c r="AN1327" s="62"/>
    </row>
    <row r="1328" spans="17:40" x14ac:dyDescent="0.4">
      <c r="Q1328" s="62"/>
      <c r="R1328" s="62"/>
      <c r="S1328" s="62"/>
      <c r="T1328" s="62"/>
      <c r="U1328" s="62"/>
      <c r="V1328" s="62"/>
      <c r="W1328" s="62"/>
      <c r="X1328" s="62"/>
      <c r="Y1328" s="62"/>
      <c r="Z1328" s="62"/>
      <c r="AA1328" s="62"/>
      <c r="AB1328" s="62"/>
      <c r="AC1328" s="62"/>
      <c r="AD1328" s="62"/>
      <c r="AE1328" s="62"/>
      <c r="AF1328" s="62"/>
      <c r="AG1328" s="62"/>
      <c r="AH1328" s="62"/>
      <c r="AI1328" s="62"/>
      <c r="AJ1328" s="62"/>
      <c r="AK1328" s="62"/>
      <c r="AL1328" s="62"/>
      <c r="AM1328" s="62"/>
      <c r="AN1328" s="62"/>
    </row>
    <row r="1329" spans="17:40" x14ac:dyDescent="0.4"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  <c r="AK1329" s="62"/>
      <c r="AL1329" s="62"/>
      <c r="AM1329" s="62"/>
      <c r="AN1329" s="62"/>
    </row>
    <row r="1330" spans="17:40" x14ac:dyDescent="0.4">
      <c r="Q1330" s="62"/>
      <c r="R1330" s="62"/>
      <c r="S1330" s="62"/>
      <c r="T1330" s="62"/>
      <c r="U1330" s="62"/>
      <c r="V1330" s="62"/>
      <c r="W1330" s="62"/>
      <c r="X1330" s="62"/>
      <c r="Y1330" s="62"/>
      <c r="Z1330" s="62"/>
      <c r="AA1330" s="62"/>
      <c r="AB1330" s="62"/>
      <c r="AC1330" s="62"/>
      <c r="AD1330" s="62"/>
      <c r="AE1330" s="62"/>
      <c r="AF1330" s="62"/>
      <c r="AG1330" s="62"/>
      <c r="AH1330" s="62"/>
      <c r="AI1330" s="62"/>
      <c r="AJ1330" s="62"/>
      <c r="AK1330" s="62"/>
      <c r="AL1330" s="62"/>
      <c r="AM1330" s="62"/>
      <c r="AN1330" s="62"/>
    </row>
    <row r="1331" spans="17:40" x14ac:dyDescent="0.4">
      <c r="Q1331" s="62"/>
      <c r="R1331" s="62"/>
      <c r="S1331" s="62"/>
      <c r="T1331" s="62"/>
      <c r="U1331" s="62"/>
      <c r="V1331" s="62"/>
      <c r="W1331" s="62"/>
      <c r="X1331" s="62"/>
      <c r="Y1331" s="62"/>
      <c r="Z1331" s="62"/>
      <c r="AA1331" s="62"/>
      <c r="AB1331" s="62"/>
      <c r="AC1331" s="62"/>
      <c r="AD1331" s="62"/>
      <c r="AE1331" s="62"/>
      <c r="AF1331" s="62"/>
      <c r="AG1331" s="62"/>
      <c r="AH1331" s="62"/>
      <c r="AI1331" s="62"/>
      <c r="AJ1331" s="62"/>
      <c r="AK1331" s="62"/>
      <c r="AL1331" s="62"/>
      <c r="AM1331" s="62"/>
      <c r="AN1331" s="62"/>
    </row>
    <row r="1332" spans="17:40" x14ac:dyDescent="0.4">
      <c r="Q1332" s="62"/>
      <c r="R1332" s="62"/>
      <c r="S1332" s="62"/>
      <c r="T1332" s="62"/>
      <c r="U1332" s="62"/>
      <c r="V1332" s="62"/>
      <c r="W1332" s="62"/>
      <c r="X1332" s="62"/>
      <c r="Y1332" s="62"/>
      <c r="Z1332" s="62"/>
      <c r="AA1332" s="62"/>
      <c r="AB1332" s="62"/>
      <c r="AC1332" s="62"/>
      <c r="AD1332" s="62"/>
      <c r="AE1332" s="62"/>
      <c r="AF1332" s="62"/>
      <c r="AG1332" s="62"/>
      <c r="AH1332" s="62"/>
      <c r="AI1332" s="62"/>
      <c r="AJ1332" s="62"/>
      <c r="AK1332" s="62"/>
      <c r="AL1332" s="62"/>
      <c r="AM1332" s="62"/>
      <c r="AN1332" s="62"/>
    </row>
    <row r="1333" spans="17:40" x14ac:dyDescent="0.4">
      <c r="Q1333" s="62"/>
      <c r="R1333" s="62"/>
      <c r="S1333" s="62"/>
      <c r="T1333" s="62"/>
      <c r="U1333" s="62"/>
      <c r="V1333" s="62"/>
      <c r="W1333" s="62"/>
      <c r="X1333" s="62"/>
      <c r="Y1333" s="62"/>
      <c r="Z1333" s="62"/>
      <c r="AA1333" s="62"/>
      <c r="AB1333" s="62"/>
      <c r="AC1333" s="62"/>
      <c r="AD1333" s="62"/>
      <c r="AE1333" s="62"/>
      <c r="AF1333" s="62"/>
      <c r="AG1333" s="62"/>
      <c r="AH1333" s="62"/>
      <c r="AI1333" s="62"/>
      <c r="AJ1333" s="62"/>
      <c r="AK1333" s="62"/>
      <c r="AL1333" s="62"/>
      <c r="AM1333" s="62"/>
      <c r="AN1333" s="62"/>
    </row>
    <row r="1334" spans="17:40" x14ac:dyDescent="0.4">
      <c r="Q1334" s="62"/>
      <c r="R1334" s="62"/>
      <c r="S1334" s="62"/>
      <c r="T1334" s="62"/>
      <c r="U1334" s="62"/>
      <c r="V1334" s="62"/>
      <c r="W1334" s="62"/>
      <c r="X1334" s="62"/>
      <c r="Y1334" s="62"/>
      <c r="Z1334" s="62"/>
      <c r="AA1334" s="62"/>
      <c r="AB1334" s="62"/>
      <c r="AC1334" s="62"/>
      <c r="AD1334" s="62"/>
      <c r="AE1334" s="62"/>
      <c r="AF1334" s="62"/>
      <c r="AG1334" s="62"/>
      <c r="AH1334" s="62"/>
      <c r="AI1334" s="62"/>
      <c r="AJ1334" s="62"/>
      <c r="AK1334" s="62"/>
      <c r="AL1334" s="62"/>
      <c r="AM1334" s="62"/>
      <c r="AN1334" s="62"/>
    </row>
    <row r="1335" spans="17:40" x14ac:dyDescent="0.4">
      <c r="Q1335" s="62"/>
      <c r="R1335" s="62"/>
      <c r="S1335" s="62"/>
      <c r="T1335" s="62"/>
      <c r="U1335" s="62"/>
      <c r="V1335" s="62"/>
      <c r="W1335" s="62"/>
      <c r="X1335" s="62"/>
      <c r="Y1335" s="62"/>
      <c r="Z1335" s="62"/>
      <c r="AA1335" s="62"/>
      <c r="AB1335" s="62"/>
      <c r="AC1335" s="62"/>
      <c r="AD1335" s="62"/>
      <c r="AE1335" s="62"/>
      <c r="AF1335" s="62"/>
      <c r="AG1335" s="62"/>
      <c r="AH1335" s="62"/>
      <c r="AI1335" s="62"/>
      <c r="AJ1335" s="62"/>
      <c r="AK1335" s="62"/>
      <c r="AL1335" s="62"/>
      <c r="AM1335" s="62"/>
      <c r="AN1335" s="62"/>
    </row>
    <row r="1336" spans="17:40" x14ac:dyDescent="0.4"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</row>
    <row r="1337" spans="17:40" x14ac:dyDescent="0.4"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</row>
    <row r="1338" spans="17:40" x14ac:dyDescent="0.4">
      <c r="Q1338" s="62"/>
      <c r="R1338" s="62"/>
      <c r="S1338" s="62"/>
      <c r="T1338" s="62"/>
      <c r="U1338" s="62"/>
      <c r="V1338" s="62"/>
      <c r="W1338" s="62"/>
      <c r="X1338" s="62"/>
      <c r="Y1338" s="62"/>
      <c r="Z1338" s="62"/>
      <c r="AA1338" s="62"/>
      <c r="AB1338" s="62"/>
      <c r="AC1338" s="62"/>
      <c r="AD1338" s="62"/>
      <c r="AE1338" s="62"/>
      <c r="AF1338" s="62"/>
      <c r="AG1338" s="62"/>
      <c r="AH1338" s="62"/>
      <c r="AI1338" s="62"/>
      <c r="AJ1338" s="62"/>
      <c r="AK1338" s="62"/>
      <c r="AL1338" s="62"/>
      <c r="AM1338" s="62"/>
      <c r="AN1338" s="62"/>
    </row>
    <row r="1339" spans="17:40" x14ac:dyDescent="0.4"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62"/>
      <c r="AL1339" s="62"/>
      <c r="AM1339" s="62"/>
      <c r="AN1339" s="62"/>
    </row>
    <row r="1340" spans="17:40" x14ac:dyDescent="0.4"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</row>
    <row r="1341" spans="17:40" x14ac:dyDescent="0.4"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</row>
    <row r="1342" spans="17:40" x14ac:dyDescent="0.4"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</row>
    <row r="1343" spans="17:40" x14ac:dyDescent="0.4"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</row>
    <row r="1344" spans="17:40" x14ac:dyDescent="0.4"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</row>
    <row r="1345" spans="17:40" x14ac:dyDescent="0.4"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</row>
    <row r="1346" spans="17:40" x14ac:dyDescent="0.4"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</row>
    <row r="1347" spans="17:40" x14ac:dyDescent="0.4"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</row>
    <row r="1348" spans="17:40" x14ac:dyDescent="0.4"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</row>
    <row r="1349" spans="17:40" x14ac:dyDescent="0.4"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</row>
    <row r="1350" spans="17:40" x14ac:dyDescent="0.4">
      <c r="Q1350" s="62"/>
      <c r="R1350" s="62"/>
      <c r="S1350" s="62"/>
      <c r="T1350" s="62"/>
      <c r="U1350" s="62"/>
      <c r="V1350" s="62"/>
      <c r="W1350" s="62"/>
      <c r="X1350" s="62"/>
      <c r="Y1350" s="62"/>
      <c r="Z1350" s="62"/>
      <c r="AA1350" s="62"/>
      <c r="AB1350" s="62"/>
      <c r="AC1350" s="62"/>
      <c r="AD1350" s="62"/>
      <c r="AE1350" s="62"/>
      <c r="AF1350" s="62"/>
      <c r="AG1350" s="62"/>
      <c r="AH1350" s="62"/>
      <c r="AI1350" s="62"/>
      <c r="AJ1350" s="62"/>
      <c r="AK1350" s="62"/>
      <c r="AL1350" s="62"/>
      <c r="AM1350" s="62"/>
      <c r="AN1350" s="62"/>
    </row>
    <row r="1351" spans="17:40" x14ac:dyDescent="0.4">
      <c r="Q1351" s="62"/>
      <c r="R1351" s="62"/>
      <c r="S1351" s="62"/>
      <c r="T1351" s="62"/>
      <c r="U1351" s="62"/>
      <c r="V1351" s="62"/>
      <c r="W1351" s="62"/>
      <c r="X1351" s="62"/>
      <c r="Y1351" s="62"/>
      <c r="Z1351" s="62"/>
      <c r="AA1351" s="62"/>
      <c r="AB1351" s="62"/>
      <c r="AC1351" s="62"/>
      <c r="AD1351" s="62"/>
      <c r="AE1351" s="62"/>
      <c r="AF1351" s="62"/>
      <c r="AG1351" s="62"/>
      <c r="AH1351" s="62"/>
      <c r="AI1351" s="62"/>
      <c r="AJ1351" s="62"/>
      <c r="AK1351" s="62"/>
      <c r="AL1351" s="62"/>
      <c r="AM1351" s="62"/>
      <c r="AN1351" s="62"/>
    </row>
    <row r="1352" spans="17:40" x14ac:dyDescent="0.4">
      <c r="Q1352" s="62"/>
      <c r="R1352" s="62"/>
      <c r="S1352" s="62"/>
      <c r="T1352" s="62"/>
      <c r="U1352" s="62"/>
      <c r="V1352" s="62"/>
      <c r="W1352" s="62"/>
      <c r="X1352" s="62"/>
      <c r="Y1352" s="62"/>
      <c r="Z1352" s="62"/>
      <c r="AA1352" s="62"/>
      <c r="AB1352" s="62"/>
      <c r="AC1352" s="62"/>
      <c r="AD1352" s="62"/>
      <c r="AE1352" s="62"/>
      <c r="AF1352" s="62"/>
      <c r="AG1352" s="62"/>
      <c r="AH1352" s="62"/>
      <c r="AI1352" s="62"/>
      <c r="AJ1352" s="62"/>
      <c r="AK1352" s="62"/>
      <c r="AL1352" s="62"/>
      <c r="AM1352" s="62"/>
      <c r="AN1352" s="62"/>
    </row>
    <row r="1353" spans="17:40" x14ac:dyDescent="0.4">
      <c r="Q1353" s="62"/>
      <c r="R1353" s="62"/>
      <c r="S1353" s="62"/>
      <c r="T1353" s="62"/>
      <c r="U1353" s="62"/>
      <c r="V1353" s="62"/>
      <c r="W1353" s="62"/>
      <c r="X1353" s="62"/>
      <c r="Y1353" s="62"/>
      <c r="Z1353" s="62"/>
      <c r="AA1353" s="62"/>
      <c r="AB1353" s="62"/>
      <c r="AC1353" s="62"/>
      <c r="AD1353" s="62"/>
      <c r="AE1353" s="62"/>
      <c r="AF1353" s="62"/>
      <c r="AG1353" s="62"/>
      <c r="AH1353" s="62"/>
      <c r="AI1353" s="62"/>
      <c r="AJ1353" s="62"/>
      <c r="AK1353" s="62"/>
      <c r="AL1353" s="62"/>
      <c r="AM1353" s="62"/>
      <c r="AN1353" s="62"/>
    </row>
    <row r="1354" spans="17:40" x14ac:dyDescent="0.4">
      <c r="Q1354" s="62"/>
      <c r="R1354" s="62"/>
      <c r="S1354" s="62"/>
      <c r="T1354" s="62"/>
      <c r="U1354" s="62"/>
      <c r="V1354" s="62"/>
      <c r="W1354" s="62"/>
      <c r="X1354" s="62"/>
      <c r="Y1354" s="62"/>
      <c r="Z1354" s="62"/>
      <c r="AA1354" s="62"/>
      <c r="AB1354" s="62"/>
      <c r="AC1354" s="62"/>
      <c r="AD1354" s="62"/>
      <c r="AE1354" s="62"/>
      <c r="AF1354" s="62"/>
      <c r="AG1354" s="62"/>
      <c r="AH1354" s="62"/>
      <c r="AI1354" s="62"/>
      <c r="AJ1354" s="62"/>
      <c r="AK1354" s="62"/>
      <c r="AL1354" s="62"/>
      <c r="AM1354" s="62"/>
      <c r="AN1354" s="62"/>
    </row>
    <row r="1355" spans="17:40" x14ac:dyDescent="0.4">
      <c r="Q1355" s="62"/>
      <c r="R1355" s="62"/>
      <c r="S1355" s="62"/>
      <c r="T1355" s="62"/>
      <c r="U1355" s="62"/>
      <c r="V1355" s="62"/>
      <c r="W1355" s="62"/>
      <c r="X1355" s="62"/>
      <c r="Y1355" s="62"/>
      <c r="Z1355" s="62"/>
      <c r="AA1355" s="62"/>
      <c r="AB1355" s="62"/>
      <c r="AC1355" s="62"/>
      <c r="AD1355" s="62"/>
      <c r="AE1355" s="62"/>
      <c r="AF1355" s="62"/>
      <c r="AG1355" s="62"/>
      <c r="AH1355" s="62"/>
      <c r="AI1355" s="62"/>
      <c r="AJ1355" s="62"/>
      <c r="AK1355" s="62"/>
      <c r="AL1355" s="62"/>
      <c r="AM1355" s="62"/>
      <c r="AN1355" s="62"/>
    </row>
    <row r="1356" spans="17:40" x14ac:dyDescent="0.4">
      <c r="Q1356" s="62"/>
      <c r="R1356" s="62"/>
      <c r="S1356" s="62"/>
      <c r="T1356" s="62"/>
      <c r="U1356" s="62"/>
      <c r="V1356" s="62"/>
      <c r="W1356" s="62"/>
      <c r="X1356" s="62"/>
      <c r="Y1356" s="62"/>
      <c r="Z1356" s="62"/>
      <c r="AA1356" s="62"/>
      <c r="AB1356" s="62"/>
      <c r="AC1356" s="62"/>
      <c r="AD1356" s="62"/>
      <c r="AE1356" s="62"/>
      <c r="AF1356" s="62"/>
      <c r="AG1356" s="62"/>
      <c r="AH1356" s="62"/>
      <c r="AI1356" s="62"/>
      <c r="AJ1356" s="62"/>
      <c r="AK1356" s="62"/>
      <c r="AL1356" s="62"/>
      <c r="AM1356" s="62"/>
      <c r="AN1356" s="62"/>
    </row>
    <row r="1357" spans="17:40" x14ac:dyDescent="0.4">
      <c r="Q1357" s="62"/>
      <c r="R1357" s="62"/>
      <c r="S1357" s="62"/>
      <c r="T1357" s="62"/>
      <c r="U1357" s="62"/>
      <c r="V1357" s="62"/>
      <c r="W1357" s="62"/>
      <c r="X1357" s="62"/>
      <c r="Y1357" s="62"/>
      <c r="Z1357" s="62"/>
      <c r="AA1357" s="62"/>
      <c r="AB1357" s="62"/>
      <c r="AC1357" s="62"/>
      <c r="AD1357" s="62"/>
      <c r="AE1357" s="62"/>
      <c r="AF1357" s="62"/>
      <c r="AG1357" s="62"/>
      <c r="AH1357" s="62"/>
      <c r="AI1357" s="62"/>
      <c r="AJ1357" s="62"/>
      <c r="AK1357" s="62"/>
      <c r="AL1357" s="62"/>
      <c r="AM1357" s="62"/>
      <c r="AN1357" s="62"/>
    </row>
    <row r="1358" spans="17:40" x14ac:dyDescent="0.4">
      <c r="Q1358" s="62"/>
      <c r="R1358" s="62"/>
      <c r="S1358" s="62"/>
      <c r="T1358" s="62"/>
      <c r="U1358" s="62"/>
      <c r="V1358" s="62"/>
      <c r="W1358" s="62"/>
      <c r="X1358" s="62"/>
      <c r="Y1358" s="62"/>
      <c r="Z1358" s="62"/>
      <c r="AA1358" s="62"/>
      <c r="AB1358" s="62"/>
      <c r="AC1358" s="62"/>
      <c r="AD1358" s="62"/>
      <c r="AE1358" s="62"/>
      <c r="AF1358" s="62"/>
      <c r="AG1358" s="62"/>
      <c r="AH1358" s="62"/>
      <c r="AI1358" s="62"/>
      <c r="AJ1358" s="62"/>
      <c r="AK1358" s="62"/>
      <c r="AL1358" s="62"/>
      <c r="AM1358" s="62"/>
      <c r="AN1358" s="62"/>
    </row>
    <row r="1359" spans="17:40" x14ac:dyDescent="0.4">
      <c r="Q1359" s="62"/>
      <c r="R1359" s="62"/>
      <c r="S1359" s="62"/>
      <c r="T1359" s="62"/>
      <c r="U1359" s="62"/>
      <c r="V1359" s="62"/>
      <c r="W1359" s="62"/>
      <c r="X1359" s="62"/>
      <c r="Y1359" s="62"/>
      <c r="Z1359" s="62"/>
      <c r="AA1359" s="62"/>
      <c r="AB1359" s="62"/>
      <c r="AC1359" s="62"/>
      <c r="AD1359" s="62"/>
      <c r="AE1359" s="62"/>
      <c r="AF1359" s="62"/>
      <c r="AG1359" s="62"/>
      <c r="AH1359" s="62"/>
      <c r="AI1359" s="62"/>
      <c r="AJ1359" s="62"/>
      <c r="AK1359" s="62"/>
      <c r="AL1359" s="62"/>
      <c r="AM1359" s="62"/>
      <c r="AN1359" s="62"/>
    </row>
    <row r="1360" spans="17:40" x14ac:dyDescent="0.4">
      <c r="Q1360" s="62"/>
      <c r="R1360" s="62"/>
      <c r="S1360" s="62"/>
      <c r="T1360" s="62"/>
      <c r="U1360" s="62"/>
      <c r="V1360" s="62"/>
      <c r="W1360" s="62"/>
      <c r="X1360" s="62"/>
      <c r="Y1360" s="62"/>
      <c r="Z1360" s="62"/>
      <c r="AA1360" s="62"/>
      <c r="AB1360" s="62"/>
      <c r="AC1360" s="62"/>
      <c r="AD1360" s="62"/>
      <c r="AE1360" s="62"/>
      <c r="AF1360" s="62"/>
      <c r="AG1360" s="62"/>
      <c r="AH1360" s="62"/>
      <c r="AI1360" s="62"/>
      <c r="AJ1360" s="62"/>
      <c r="AK1360" s="62"/>
      <c r="AL1360" s="62"/>
      <c r="AM1360" s="62"/>
      <c r="AN1360" s="62"/>
    </row>
    <row r="1361" spans="17:40" x14ac:dyDescent="0.4">
      <c r="Q1361" s="62"/>
      <c r="R1361" s="62"/>
      <c r="S1361" s="62"/>
      <c r="T1361" s="62"/>
      <c r="U1361" s="62"/>
      <c r="V1361" s="62"/>
      <c r="W1361" s="62"/>
      <c r="X1361" s="62"/>
      <c r="Y1361" s="62"/>
      <c r="Z1361" s="62"/>
      <c r="AA1361" s="62"/>
      <c r="AB1361" s="62"/>
      <c r="AC1361" s="62"/>
      <c r="AD1361" s="62"/>
      <c r="AE1361" s="62"/>
      <c r="AF1361" s="62"/>
      <c r="AG1361" s="62"/>
      <c r="AH1361" s="62"/>
      <c r="AI1361" s="62"/>
      <c r="AJ1361" s="62"/>
      <c r="AK1361" s="62"/>
      <c r="AL1361" s="62"/>
      <c r="AM1361" s="62"/>
      <c r="AN1361" s="62"/>
    </row>
    <row r="1362" spans="17:40" x14ac:dyDescent="0.4">
      <c r="Q1362" s="62"/>
      <c r="R1362" s="62"/>
      <c r="S1362" s="62"/>
      <c r="T1362" s="62"/>
      <c r="U1362" s="62"/>
      <c r="V1362" s="62"/>
      <c r="W1362" s="62"/>
      <c r="X1362" s="62"/>
      <c r="Y1362" s="62"/>
      <c r="Z1362" s="62"/>
      <c r="AA1362" s="62"/>
      <c r="AB1362" s="62"/>
      <c r="AC1362" s="62"/>
      <c r="AD1362" s="62"/>
      <c r="AE1362" s="62"/>
      <c r="AF1362" s="62"/>
      <c r="AG1362" s="62"/>
      <c r="AH1362" s="62"/>
      <c r="AI1362" s="62"/>
      <c r="AJ1362" s="62"/>
      <c r="AK1362" s="62"/>
      <c r="AL1362" s="62"/>
      <c r="AM1362" s="62"/>
      <c r="AN1362" s="62"/>
    </row>
    <row r="1363" spans="17:40" x14ac:dyDescent="0.4">
      <c r="Q1363" s="62"/>
      <c r="R1363" s="62"/>
      <c r="S1363" s="62"/>
      <c r="T1363" s="62"/>
      <c r="U1363" s="62"/>
      <c r="V1363" s="62"/>
      <c r="W1363" s="62"/>
      <c r="X1363" s="62"/>
      <c r="Y1363" s="62"/>
      <c r="Z1363" s="62"/>
      <c r="AA1363" s="62"/>
      <c r="AB1363" s="62"/>
      <c r="AC1363" s="62"/>
      <c r="AD1363" s="62"/>
      <c r="AE1363" s="62"/>
      <c r="AF1363" s="62"/>
      <c r="AG1363" s="62"/>
      <c r="AH1363" s="62"/>
      <c r="AI1363" s="62"/>
      <c r="AJ1363" s="62"/>
      <c r="AK1363" s="62"/>
      <c r="AL1363" s="62"/>
      <c r="AM1363" s="62"/>
      <c r="AN1363" s="62"/>
    </row>
    <row r="1364" spans="17:40" x14ac:dyDescent="0.4">
      <c r="Q1364" s="62"/>
      <c r="R1364" s="62"/>
      <c r="S1364" s="62"/>
      <c r="T1364" s="62"/>
      <c r="U1364" s="62"/>
      <c r="V1364" s="62"/>
      <c r="W1364" s="62"/>
      <c r="X1364" s="62"/>
      <c r="Y1364" s="62"/>
      <c r="Z1364" s="62"/>
      <c r="AA1364" s="62"/>
      <c r="AB1364" s="62"/>
      <c r="AC1364" s="62"/>
      <c r="AD1364" s="62"/>
      <c r="AE1364" s="62"/>
      <c r="AF1364" s="62"/>
      <c r="AG1364" s="62"/>
      <c r="AH1364" s="62"/>
      <c r="AI1364" s="62"/>
      <c r="AJ1364" s="62"/>
      <c r="AK1364" s="62"/>
      <c r="AL1364" s="62"/>
      <c r="AM1364" s="62"/>
      <c r="AN1364" s="62"/>
    </row>
    <row r="1365" spans="17:40" x14ac:dyDescent="0.4">
      <c r="Q1365" s="62"/>
      <c r="R1365" s="62"/>
      <c r="S1365" s="62"/>
      <c r="T1365" s="62"/>
      <c r="U1365" s="62"/>
      <c r="V1365" s="62"/>
      <c r="W1365" s="62"/>
      <c r="X1365" s="62"/>
      <c r="Y1365" s="62"/>
      <c r="Z1365" s="62"/>
      <c r="AA1365" s="62"/>
      <c r="AB1365" s="62"/>
      <c r="AC1365" s="62"/>
      <c r="AD1365" s="62"/>
      <c r="AE1365" s="62"/>
      <c r="AF1365" s="62"/>
      <c r="AG1365" s="62"/>
      <c r="AH1365" s="62"/>
      <c r="AI1365" s="62"/>
      <c r="AJ1365" s="62"/>
      <c r="AK1365" s="62"/>
      <c r="AL1365" s="62"/>
      <c r="AM1365" s="62"/>
      <c r="AN1365" s="62"/>
    </row>
    <row r="1366" spans="17:40" x14ac:dyDescent="0.4">
      <c r="Q1366" s="62"/>
      <c r="R1366" s="62"/>
      <c r="S1366" s="62"/>
      <c r="T1366" s="62"/>
      <c r="U1366" s="62"/>
      <c r="V1366" s="62"/>
      <c r="W1366" s="62"/>
      <c r="X1366" s="62"/>
      <c r="Y1366" s="62"/>
      <c r="Z1366" s="62"/>
      <c r="AA1366" s="62"/>
      <c r="AB1366" s="62"/>
      <c r="AC1366" s="62"/>
      <c r="AD1366" s="62"/>
      <c r="AE1366" s="62"/>
      <c r="AF1366" s="62"/>
      <c r="AG1366" s="62"/>
      <c r="AH1366" s="62"/>
      <c r="AI1366" s="62"/>
      <c r="AJ1366" s="62"/>
      <c r="AK1366" s="62"/>
      <c r="AL1366" s="62"/>
      <c r="AM1366" s="62"/>
      <c r="AN1366" s="62"/>
    </row>
    <row r="1367" spans="17:40" x14ac:dyDescent="0.4">
      <c r="Q1367" s="62"/>
      <c r="R1367" s="62"/>
      <c r="S1367" s="62"/>
      <c r="T1367" s="62"/>
      <c r="U1367" s="62"/>
      <c r="V1367" s="62"/>
      <c r="W1367" s="62"/>
      <c r="X1367" s="62"/>
      <c r="Y1367" s="62"/>
      <c r="Z1367" s="62"/>
      <c r="AA1367" s="62"/>
      <c r="AB1367" s="62"/>
      <c r="AC1367" s="62"/>
      <c r="AD1367" s="62"/>
      <c r="AE1367" s="62"/>
      <c r="AF1367" s="62"/>
      <c r="AG1367" s="62"/>
      <c r="AH1367" s="62"/>
      <c r="AI1367" s="62"/>
      <c r="AJ1367" s="62"/>
      <c r="AK1367" s="62"/>
      <c r="AL1367" s="62"/>
      <c r="AM1367" s="62"/>
      <c r="AN1367" s="62"/>
    </row>
    <row r="1368" spans="17:40" x14ac:dyDescent="0.4">
      <c r="Q1368" s="62"/>
      <c r="R1368" s="62"/>
      <c r="S1368" s="62"/>
      <c r="T1368" s="62"/>
      <c r="U1368" s="62"/>
      <c r="V1368" s="62"/>
      <c r="W1368" s="62"/>
      <c r="X1368" s="62"/>
      <c r="Y1368" s="62"/>
      <c r="Z1368" s="62"/>
      <c r="AA1368" s="62"/>
      <c r="AB1368" s="62"/>
      <c r="AC1368" s="62"/>
      <c r="AD1368" s="62"/>
      <c r="AE1368" s="62"/>
      <c r="AF1368" s="62"/>
      <c r="AG1368" s="62"/>
      <c r="AH1368" s="62"/>
      <c r="AI1368" s="62"/>
      <c r="AJ1368" s="62"/>
      <c r="AK1368" s="62"/>
      <c r="AL1368" s="62"/>
      <c r="AM1368" s="62"/>
      <c r="AN1368" s="62"/>
    </row>
    <row r="1369" spans="17:40" x14ac:dyDescent="0.4">
      <c r="Q1369" s="62"/>
      <c r="R1369" s="62"/>
      <c r="S1369" s="62"/>
      <c r="T1369" s="62"/>
      <c r="U1369" s="62"/>
      <c r="V1369" s="62"/>
      <c r="W1369" s="62"/>
      <c r="X1369" s="62"/>
      <c r="Y1369" s="62"/>
      <c r="Z1369" s="62"/>
      <c r="AA1369" s="62"/>
      <c r="AB1369" s="62"/>
      <c r="AC1369" s="62"/>
      <c r="AD1369" s="62"/>
      <c r="AE1369" s="62"/>
      <c r="AF1369" s="62"/>
      <c r="AG1369" s="62"/>
      <c r="AH1369" s="62"/>
      <c r="AI1369" s="62"/>
      <c r="AJ1369" s="62"/>
      <c r="AK1369" s="62"/>
      <c r="AL1369" s="62"/>
      <c r="AM1369" s="62"/>
      <c r="AN1369" s="62"/>
    </row>
    <row r="1370" spans="17:40" x14ac:dyDescent="0.4">
      <c r="Q1370" s="62"/>
      <c r="R1370" s="62"/>
      <c r="S1370" s="62"/>
      <c r="T1370" s="62"/>
      <c r="U1370" s="62"/>
      <c r="V1370" s="62"/>
      <c r="W1370" s="62"/>
      <c r="X1370" s="62"/>
      <c r="Y1370" s="62"/>
      <c r="Z1370" s="62"/>
      <c r="AA1370" s="62"/>
      <c r="AB1370" s="62"/>
      <c r="AC1370" s="62"/>
      <c r="AD1370" s="62"/>
      <c r="AE1370" s="62"/>
      <c r="AF1370" s="62"/>
      <c r="AG1370" s="62"/>
      <c r="AH1370" s="62"/>
      <c r="AI1370" s="62"/>
      <c r="AJ1370" s="62"/>
      <c r="AK1370" s="62"/>
      <c r="AL1370" s="62"/>
      <c r="AM1370" s="62"/>
      <c r="AN1370" s="62"/>
    </row>
    <row r="1371" spans="17:40" x14ac:dyDescent="0.4">
      <c r="Q1371" s="62"/>
      <c r="R1371" s="62"/>
      <c r="S1371" s="62"/>
      <c r="T1371" s="62"/>
      <c r="U1371" s="62"/>
      <c r="V1371" s="62"/>
      <c r="W1371" s="62"/>
      <c r="X1371" s="62"/>
      <c r="Y1371" s="62"/>
      <c r="Z1371" s="62"/>
      <c r="AA1371" s="62"/>
      <c r="AB1371" s="62"/>
      <c r="AC1371" s="62"/>
      <c r="AD1371" s="62"/>
      <c r="AE1371" s="62"/>
      <c r="AF1371" s="62"/>
      <c r="AG1371" s="62"/>
      <c r="AH1371" s="62"/>
      <c r="AI1371" s="62"/>
      <c r="AJ1371" s="62"/>
      <c r="AK1371" s="62"/>
      <c r="AL1371" s="62"/>
      <c r="AM1371" s="62"/>
      <c r="AN1371" s="62"/>
    </row>
    <row r="1372" spans="17:40" x14ac:dyDescent="0.4">
      <c r="Q1372" s="62"/>
      <c r="R1372" s="62"/>
      <c r="S1372" s="62"/>
      <c r="T1372" s="62"/>
      <c r="U1372" s="62"/>
      <c r="V1372" s="62"/>
      <c r="W1372" s="62"/>
      <c r="X1372" s="62"/>
      <c r="Y1372" s="62"/>
      <c r="Z1372" s="62"/>
      <c r="AA1372" s="62"/>
      <c r="AB1372" s="62"/>
      <c r="AC1372" s="62"/>
      <c r="AD1372" s="62"/>
      <c r="AE1372" s="62"/>
      <c r="AF1372" s="62"/>
      <c r="AG1372" s="62"/>
      <c r="AH1372" s="62"/>
      <c r="AI1372" s="62"/>
      <c r="AJ1372" s="62"/>
      <c r="AK1372" s="62"/>
      <c r="AL1372" s="62"/>
      <c r="AM1372" s="62"/>
      <c r="AN1372" s="62"/>
    </row>
    <row r="1373" spans="17:40" x14ac:dyDescent="0.4">
      <c r="Q1373" s="62"/>
      <c r="R1373" s="62"/>
      <c r="S1373" s="62"/>
      <c r="T1373" s="62"/>
      <c r="U1373" s="62"/>
      <c r="V1373" s="62"/>
      <c r="W1373" s="62"/>
      <c r="X1373" s="62"/>
      <c r="Y1373" s="62"/>
      <c r="Z1373" s="62"/>
      <c r="AA1373" s="62"/>
      <c r="AB1373" s="62"/>
      <c r="AC1373" s="62"/>
      <c r="AD1373" s="62"/>
      <c r="AE1373" s="62"/>
      <c r="AF1373" s="62"/>
      <c r="AG1373" s="62"/>
      <c r="AH1373" s="62"/>
      <c r="AI1373" s="62"/>
      <c r="AJ1373" s="62"/>
      <c r="AK1373" s="62"/>
      <c r="AL1373" s="62"/>
      <c r="AM1373" s="62"/>
      <c r="AN1373" s="62"/>
    </row>
    <row r="1374" spans="17:40" x14ac:dyDescent="0.4"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</row>
    <row r="1375" spans="17:40" x14ac:dyDescent="0.4"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</row>
    <row r="1376" spans="17:40" x14ac:dyDescent="0.4">
      <c r="Q1376" s="62"/>
      <c r="R1376" s="62"/>
      <c r="S1376" s="62"/>
      <c r="T1376" s="62"/>
      <c r="U1376" s="62"/>
      <c r="V1376" s="62"/>
      <c r="W1376" s="62"/>
      <c r="X1376" s="62"/>
      <c r="Y1376" s="62"/>
      <c r="Z1376" s="62"/>
      <c r="AA1376" s="62"/>
      <c r="AB1376" s="62"/>
      <c r="AC1376" s="62"/>
      <c r="AD1376" s="62"/>
      <c r="AE1376" s="62"/>
      <c r="AF1376" s="62"/>
      <c r="AG1376" s="62"/>
      <c r="AH1376" s="62"/>
      <c r="AI1376" s="62"/>
      <c r="AJ1376" s="62"/>
      <c r="AK1376" s="62"/>
      <c r="AL1376" s="62"/>
      <c r="AM1376" s="62"/>
      <c r="AN1376" s="62"/>
    </row>
    <row r="1377" spans="17:40" x14ac:dyDescent="0.4"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62"/>
      <c r="AL1377" s="62"/>
      <c r="AM1377" s="62"/>
      <c r="AN1377" s="62"/>
    </row>
    <row r="1378" spans="17:40" x14ac:dyDescent="0.4"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</row>
    <row r="1379" spans="17:40" x14ac:dyDescent="0.4"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</row>
    <row r="1380" spans="17:40" x14ac:dyDescent="0.4"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</row>
    <row r="1381" spans="17:40" x14ac:dyDescent="0.4"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</row>
    <row r="1382" spans="17:40" x14ac:dyDescent="0.4"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</row>
    <row r="1383" spans="17:40" x14ac:dyDescent="0.4"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</row>
    <row r="1384" spans="17:40" x14ac:dyDescent="0.4"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</row>
    <row r="1385" spans="17:40" x14ac:dyDescent="0.4"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</row>
    <row r="1386" spans="17:40" x14ac:dyDescent="0.4"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</row>
    <row r="1387" spans="17:40" x14ac:dyDescent="0.4"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</row>
    <row r="1388" spans="17:40" x14ac:dyDescent="0.4">
      <c r="Q1388" s="62"/>
      <c r="R1388" s="62"/>
      <c r="S1388" s="62"/>
      <c r="T1388" s="62"/>
      <c r="U1388" s="62"/>
      <c r="V1388" s="62"/>
      <c r="W1388" s="62"/>
      <c r="X1388" s="62"/>
      <c r="Y1388" s="62"/>
      <c r="Z1388" s="62"/>
      <c r="AA1388" s="62"/>
      <c r="AB1388" s="62"/>
      <c r="AC1388" s="62"/>
      <c r="AD1388" s="62"/>
      <c r="AE1388" s="62"/>
      <c r="AF1388" s="62"/>
      <c r="AG1388" s="62"/>
      <c r="AH1388" s="62"/>
      <c r="AI1388" s="62"/>
      <c r="AJ1388" s="62"/>
      <c r="AK1388" s="62"/>
      <c r="AL1388" s="62"/>
      <c r="AM1388" s="62"/>
      <c r="AN1388" s="62"/>
    </row>
    <row r="1389" spans="17:40" x14ac:dyDescent="0.4">
      <c r="Q1389" s="62"/>
      <c r="R1389" s="62"/>
      <c r="S1389" s="62"/>
      <c r="T1389" s="62"/>
      <c r="U1389" s="62"/>
      <c r="V1389" s="62"/>
      <c r="W1389" s="62"/>
      <c r="X1389" s="62"/>
      <c r="Y1389" s="62"/>
      <c r="Z1389" s="62"/>
      <c r="AA1389" s="62"/>
      <c r="AB1389" s="62"/>
      <c r="AC1389" s="62"/>
      <c r="AD1389" s="62"/>
      <c r="AE1389" s="62"/>
      <c r="AF1389" s="62"/>
      <c r="AG1389" s="62"/>
      <c r="AH1389" s="62"/>
      <c r="AI1389" s="62"/>
      <c r="AJ1389" s="62"/>
      <c r="AK1389" s="62"/>
      <c r="AL1389" s="62"/>
      <c r="AM1389" s="62"/>
      <c r="AN1389" s="62"/>
    </row>
    <row r="1390" spans="17:40" x14ac:dyDescent="0.4"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  <c r="AI1390" s="62"/>
      <c r="AJ1390" s="62"/>
      <c r="AK1390" s="62"/>
      <c r="AL1390" s="62"/>
      <c r="AM1390" s="62"/>
      <c r="AN1390" s="62"/>
    </row>
    <row r="1391" spans="17:40" x14ac:dyDescent="0.4">
      <c r="Q1391" s="62"/>
      <c r="R1391" s="62"/>
      <c r="S1391" s="62"/>
      <c r="T1391" s="62"/>
      <c r="U1391" s="62"/>
      <c r="V1391" s="62"/>
      <c r="W1391" s="62"/>
      <c r="X1391" s="62"/>
      <c r="Y1391" s="62"/>
      <c r="Z1391" s="62"/>
      <c r="AA1391" s="62"/>
      <c r="AB1391" s="62"/>
      <c r="AC1391" s="62"/>
      <c r="AD1391" s="62"/>
      <c r="AE1391" s="62"/>
      <c r="AF1391" s="62"/>
      <c r="AG1391" s="62"/>
      <c r="AH1391" s="62"/>
      <c r="AI1391" s="62"/>
      <c r="AJ1391" s="62"/>
      <c r="AK1391" s="62"/>
      <c r="AL1391" s="62"/>
      <c r="AM1391" s="62"/>
      <c r="AN1391" s="62"/>
    </row>
    <row r="1392" spans="17:40" x14ac:dyDescent="0.4">
      <c r="Q1392" s="62"/>
      <c r="R1392" s="62"/>
      <c r="S1392" s="62"/>
      <c r="T1392" s="62"/>
      <c r="U1392" s="62"/>
      <c r="V1392" s="62"/>
      <c r="W1392" s="62"/>
      <c r="X1392" s="62"/>
      <c r="Y1392" s="62"/>
      <c r="Z1392" s="62"/>
      <c r="AA1392" s="62"/>
      <c r="AB1392" s="62"/>
      <c r="AC1392" s="62"/>
      <c r="AD1392" s="62"/>
      <c r="AE1392" s="62"/>
      <c r="AF1392" s="62"/>
      <c r="AG1392" s="62"/>
      <c r="AH1392" s="62"/>
      <c r="AI1392" s="62"/>
      <c r="AJ1392" s="62"/>
      <c r="AK1392" s="62"/>
      <c r="AL1392" s="62"/>
      <c r="AM1392" s="62"/>
      <c r="AN1392" s="62"/>
    </row>
    <row r="1393" spans="17:40" x14ac:dyDescent="0.4">
      <c r="Q1393" s="62"/>
      <c r="R1393" s="62"/>
      <c r="S1393" s="62"/>
      <c r="T1393" s="62"/>
      <c r="U1393" s="62"/>
      <c r="V1393" s="62"/>
      <c r="W1393" s="62"/>
      <c r="X1393" s="62"/>
      <c r="Y1393" s="62"/>
      <c r="Z1393" s="62"/>
      <c r="AA1393" s="62"/>
      <c r="AB1393" s="62"/>
      <c r="AC1393" s="62"/>
      <c r="AD1393" s="62"/>
      <c r="AE1393" s="62"/>
      <c r="AF1393" s="62"/>
      <c r="AG1393" s="62"/>
      <c r="AH1393" s="62"/>
      <c r="AI1393" s="62"/>
      <c r="AJ1393" s="62"/>
      <c r="AK1393" s="62"/>
      <c r="AL1393" s="62"/>
      <c r="AM1393" s="62"/>
      <c r="AN1393" s="62"/>
    </row>
    <row r="1394" spans="17:40" x14ac:dyDescent="0.4">
      <c r="Q1394" s="62"/>
      <c r="R1394" s="62"/>
      <c r="S1394" s="62"/>
      <c r="T1394" s="62"/>
      <c r="U1394" s="62"/>
      <c r="V1394" s="62"/>
      <c r="W1394" s="62"/>
      <c r="X1394" s="62"/>
      <c r="Y1394" s="62"/>
      <c r="Z1394" s="62"/>
      <c r="AA1394" s="62"/>
      <c r="AB1394" s="62"/>
      <c r="AC1394" s="62"/>
      <c r="AD1394" s="62"/>
      <c r="AE1394" s="62"/>
      <c r="AF1394" s="62"/>
      <c r="AG1394" s="62"/>
      <c r="AH1394" s="62"/>
      <c r="AI1394" s="62"/>
      <c r="AJ1394" s="62"/>
      <c r="AK1394" s="62"/>
      <c r="AL1394" s="62"/>
      <c r="AM1394" s="62"/>
      <c r="AN1394" s="62"/>
    </row>
    <row r="1395" spans="17:40" x14ac:dyDescent="0.4">
      <c r="Q1395" s="62"/>
      <c r="R1395" s="62"/>
      <c r="S1395" s="62"/>
      <c r="T1395" s="62"/>
      <c r="U1395" s="62"/>
      <c r="V1395" s="62"/>
      <c r="W1395" s="62"/>
      <c r="X1395" s="62"/>
      <c r="Y1395" s="62"/>
      <c r="Z1395" s="62"/>
      <c r="AA1395" s="62"/>
      <c r="AB1395" s="62"/>
      <c r="AC1395" s="62"/>
      <c r="AD1395" s="62"/>
      <c r="AE1395" s="62"/>
      <c r="AF1395" s="62"/>
      <c r="AG1395" s="62"/>
      <c r="AH1395" s="62"/>
      <c r="AI1395" s="62"/>
      <c r="AJ1395" s="62"/>
      <c r="AK1395" s="62"/>
      <c r="AL1395" s="62"/>
      <c r="AM1395" s="62"/>
      <c r="AN1395" s="62"/>
    </row>
    <row r="1396" spans="17:40" x14ac:dyDescent="0.4">
      <c r="Q1396" s="62"/>
      <c r="R1396" s="62"/>
      <c r="S1396" s="62"/>
      <c r="T1396" s="62"/>
      <c r="U1396" s="62"/>
      <c r="V1396" s="62"/>
      <c r="W1396" s="62"/>
      <c r="X1396" s="62"/>
      <c r="Y1396" s="62"/>
      <c r="Z1396" s="62"/>
      <c r="AA1396" s="62"/>
      <c r="AB1396" s="62"/>
      <c r="AC1396" s="62"/>
      <c r="AD1396" s="62"/>
      <c r="AE1396" s="62"/>
      <c r="AF1396" s="62"/>
      <c r="AG1396" s="62"/>
      <c r="AH1396" s="62"/>
      <c r="AI1396" s="62"/>
      <c r="AJ1396" s="62"/>
      <c r="AK1396" s="62"/>
      <c r="AL1396" s="62"/>
      <c r="AM1396" s="62"/>
      <c r="AN1396" s="62"/>
    </row>
    <row r="1397" spans="17:40" x14ac:dyDescent="0.4">
      <c r="Q1397" s="62"/>
      <c r="R1397" s="62"/>
      <c r="S1397" s="62"/>
      <c r="T1397" s="62"/>
      <c r="U1397" s="62"/>
      <c r="V1397" s="62"/>
      <c r="W1397" s="62"/>
      <c r="X1397" s="62"/>
      <c r="Y1397" s="62"/>
      <c r="Z1397" s="62"/>
      <c r="AA1397" s="62"/>
      <c r="AB1397" s="62"/>
      <c r="AC1397" s="62"/>
      <c r="AD1397" s="62"/>
      <c r="AE1397" s="62"/>
      <c r="AF1397" s="62"/>
      <c r="AG1397" s="62"/>
      <c r="AH1397" s="62"/>
      <c r="AI1397" s="62"/>
      <c r="AJ1397" s="62"/>
      <c r="AK1397" s="62"/>
      <c r="AL1397" s="62"/>
      <c r="AM1397" s="62"/>
      <c r="AN1397" s="62"/>
    </row>
    <row r="1398" spans="17:40" x14ac:dyDescent="0.4">
      <c r="Q1398" s="62"/>
      <c r="R1398" s="62"/>
      <c r="S1398" s="62"/>
      <c r="T1398" s="62"/>
      <c r="U1398" s="62"/>
      <c r="V1398" s="62"/>
      <c r="W1398" s="62"/>
      <c r="X1398" s="62"/>
      <c r="Y1398" s="62"/>
      <c r="Z1398" s="62"/>
      <c r="AA1398" s="62"/>
      <c r="AB1398" s="62"/>
      <c r="AC1398" s="62"/>
      <c r="AD1398" s="62"/>
      <c r="AE1398" s="62"/>
      <c r="AF1398" s="62"/>
      <c r="AG1398" s="62"/>
      <c r="AH1398" s="62"/>
      <c r="AI1398" s="62"/>
      <c r="AJ1398" s="62"/>
      <c r="AK1398" s="62"/>
      <c r="AL1398" s="62"/>
      <c r="AM1398" s="62"/>
      <c r="AN1398" s="62"/>
    </row>
    <row r="1399" spans="17:40" x14ac:dyDescent="0.4">
      <c r="Q1399" s="62"/>
      <c r="R1399" s="62"/>
      <c r="S1399" s="62"/>
      <c r="T1399" s="62"/>
      <c r="U1399" s="62"/>
      <c r="V1399" s="62"/>
      <c r="W1399" s="62"/>
      <c r="X1399" s="62"/>
      <c r="Y1399" s="62"/>
      <c r="Z1399" s="62"/>
      <c r="AA1399" s="62"/>
      <c r="AB1399" s="62"/>
      <c r="AC1399" s="62"/>
      <c r="AD1399" s="62"/>
      <c r="AE1399" s="62"/>
      <c r="AF1399" s="62"/>
      <c r="AG1399" s="62"/>
      <c r="AH1399" s="62"/>
      <c r="AI1399" s="62"/>
      <c r="AJ1399" s="62"/>
      <c r="AK1399" s="62"/>
      <c r="AL1399" s="62"/>
      <c r="AM1399" s="62"/>
      <c r="AN1399" s="62"/>
    </row>
    <row r="1400" spans="17:40" x14ac:dyDescent="0.4">
      <c r="Q1400" s="62"/>
      <c r="R1400" s="62"/>
      <c r="S1400" s="62"/>
      <c r="T1400" s="62"/>
      <c r="U1400" s="62"/>
      <c r="V1400" s="62"/>
      <c r="W1400" s="62"/>
      <c r="X1400" s="62"/>
      <c r="Y1400" s="62"/>
      <c r="Z1400" s="62"/>
      <c r="AA1400" s="62"/>
      <c r="AB1400" s="62"/>
      <c r="AC1400" s="62"/>
      <c r="AD1400" s="62"/>
      <c r="AE1400" s="62"/>
      <c r="AF1400" s="62"/>
      <c r="AG1400" s="62"/>
      <c r="AH1400" s="62"/>
      <c r="AI1400" s="62"/>
      <c r="AJ1400" s="62"/>
      <c r="AK1400" s="62"/>
      <c r="AL1400" s="62"/>
      <c r="AM1400" s="62"/>
      <c r="AN1400" s="62"/>
    </row>
    <row r="1401" spans="17:40" x14ac:dyDescent="0.4">
      <c r="Q1401" s="62"/>
      <c r="R1401" s="62"/>
      <c r="S1401" s="62"/>
      <c r="T1401" s="62"/>
      <c r="U1401" s="62"/>
      <c r="V1401" s="62"/>
      <c r="W1401" s="62"/>
      <c r="X1401" s="62"/>
      <c r="Y1401" s="62"/>
      <c r="Z1401" s="62"/>
      <c r="AA1401" s="62"/>
      <c r="AB1401" s="62"/>
      <c r="AC1401" s="62"/>
      <c r="AD1401" s="62"/>
      <c r="AE1401" s="62"/>
      <c r="AF1401" s="62"/>
      <c r="AG1401" s="62"/>
      <c r="AH1401" s="62"/>
      <c r="AI1401" s="62"/>
      <c r="AJ1401" s="62"/>
      <c r="AK1401" s="62"/>
      <c r="AL1401" s="62"/>
      <c r="AM1401" s="62"/>
      <c r="AN1401" s="62"/>
    </row>
    <row r="1402" spans="17:40" x14ac:dyDescent="0.4">
      <c r="Q1402" s="62"/>
      <c r="R1402" s="62"/>
      <c r="S1402" s="62"/>
      <c r="T1402" s="62"/>
      <c r="U1402" s="62"/>
      <c r="V1402" s="62"/>
      <c r="W1402" s="62"/>
      <c r="X1402" s="62"/>
      <c r="Y1402" s="62"/>
      <c r="Z1402" s="62"/>
      <c r="AA1402" s="62"/>
      <c r="AB1402" s="62"/>
      <c r="AC1402" s="62"/>
      <c r="AD1402" s="62"/>
      <c r="AE1402" s="62"/>
      <c r="AF1402" s="62"/>
      <c r="AG1402" s="62"/>
      <c r="AH1402" s="62"/>
      <c r="AI1402" s="62"/>
      <c r="AJ1402" s="62"/>
      <c r="AK1402" s="62"/>
      <c r="AL1402" s="62"/>
      <c r="AM1402" s="62"/>
      <c r="AN1402" s="62"/>
    </row>
    <row r="1403" spans="17:40" x14ac:dyDescent="0.4">
      <c r="Q1403" s="62"/>
      <c r="R1403" s="62"/>
      <c r="S1403" s="62"/>
      <c r="T1403" s="62"/>
      <c r="U1403" s="62"/>
      <c r="V1403" s="62"/>
      <c r="W1403" s="62"/>
      <c r="X1403" s="62"/>
      <c r="Y1403" s="62"/>
      <c r="Z1403" s="62"/>
      <c r="AA1403" s="62"/>
      <c r="AB1403" s="62"/>
      <c r="AC1403" s="62"/>
      <c r="AD1403" s="62"/>
      <c r="AE1403" s="62"/>
      <c r="AF1403" s="62"/>
      <c r="AG1403" s="62"/>
      <c r="AH1403" s="62"/>
      <c r="AI1403" s="62"/>
      <c r="AJ1403" s="62"/>
      <c r="AK1403" s="62"/>
      <c r="AL1403" s="62"/>
      <c r="AM1403" s="62"/>
      <c r="AN1403" s="62"/>
    </row>
    <row r="1404" spans="17:40" x14ac:dyDescent="0.4">
      <c r="Q1404" s="62"/>
      <c r="R1404" s="62"/>
      <c r="S1404" s="62"/>
      <c r="T1404" s="62"/>
      <c r="U1404" s="62"/>
      <c r="V1404" s="62"/>
      <c r="W1404" s="62"/>
      <c r="X1404" s="62"/>
      <c r="Y1404" s="62"/>
      <c r="Z1404" s="62"/>
      <c r="AA1404" s="62"/>
      <c r="AB1404" s="62"/>
      <c r="AC1404" s="62"/>
      <c r="AD1404" s="62"/>
      <c r="AE1404" s="62"/>
      <c r="AF1404" s="62"/>
      <c r="AG1404" s="62"/>
      <c r="AH1404" s="62"/>
      <c r="AI1404" s="62"/>
      <c r="AJ1404" s="62"/>
      <c r="AK1404" s="62"/>
      <c r="AL1404" s="62"/>
      <c r="AM1404" s="62"/>
      <c r="AN1404" s="62"/>
    </row>
    <row r="1405" spans="17:40" x14ac:dyDescent="0.4">
      <c r="Q1405" s="62"/>
      <c r="R1405" s="62"/>
      <c r="S1405" s="62"/>
      <c r="T1405" s="62"/>
      <c r="U1405" s="62"/>
      <c r="V1405" s="62"/>
      <c r="W1405" s="62"/>
      <c r="X1405" s="62"/>
      <c r="Y1405" s="62"/>
      <c r="Z1405" s="62"/>
      <c r="AA1405" s="62"/>
      <c r="AB1405" s="62"/>
      <c r="AC1405" s="62"/>
      <c r="AD1405" s="62"/>
      <c r="AE1405" s="62"/>
      <c r="AF1405" s="62"/>
      <c r="AG1405" s="62"/>
      <c r="AH1405" s="62"/>
      <c r="AI1405" s="62"/>
      <c r="AJ1405" s="62"/>
      <c r="AK1405" s="62"/>
      <c r="AL1405" s="62"/>
      <c r="AM1405" s="62"/>
      <c r="AN1405" s="62"/>
    </row>
    <row r="1406" spans="17:40" x14ac:dyDescent="0.4">
      <c r="Q1406" s="62"/>
      <c r="R1406" s="62"/>
      <c r="S1406" s="62"/>
      <c r="T1406" s="62"/>
      <c r="U1406" s="62"/>
      <c r="V1406" s="62"/>
      <c r="W1406" s="62"/>
      <c r="X1406" s="62"/>
      <c r="Y1406" s="62"/>
      <c r="Z1406" s="62"/>
      <c r="AA1406" s="62"/>
      <c r="AB1406" s="62"/>
      <c r="AC1406" s="62"/>
      <c r="AD1406" s="62"/>
      <c r="AE1406" s="62"/>
      <c r="AF1406" s="62"/>
      <c r="AG1406" s="62"/>
      <c r="AH1406" s="62"/>
      <c r="AI1406" s="62"/>
      <c r="AJ1406" s="62"/>
      <c r="AK1406" s="62"/>
      <c r="AL1406" s="62"/>
      <c r="AM1406" s="62"/>
      <c r="AN1406" s="62"/>
    </row>
    <row r="1407" spans="17:40" x14ac:dyDescent="0.4">
      <c r="Q1407" s="62"/>
      <c r="R1407" s="62"/>
      <c r="S1407" s="62"/>
      <c r="T1407" s="62"/>
      <c r="U1407" s="62"/>
      <c r="V1407" s="62"/>
      <c r="W1407" s="62"/>
      <c r="X1407" s="62"/>
      <c r="Y1407" s="62"/>
      <c r="Z1407" s="62"/>
      <c r="AA1407" s="62"/>
      <c r="AB1407" s="62"/>
      <c r="AC1407" s="62"/>
      <c r="AD1407" s="62"/>
      <c r="AE1407" s="62"/>
      <c r="AF1407" s="62"/>
      <c r="AG1407" s="62"/>
      <c r="AH1407" s="62"/>
      <c r="AI1407" s="62"/>
      <c r="AJ1407" s="62"/>
      <c r="AK1407" s="62"/>
      <c r="AL1407" s="62"/>
      <c r="AM1407" s="62"/>
      <c r="AN1407" s="62"/>
    </row>
    <row r="1408" spans="17:40" x14ac:dyDescent="0.4">
      <c r="Q1408" s="62"/>
      <c r="R1408" s="62"/>
      <c r="S1408" s="62"/>
      <c r="T1408" s="62"/>
      <c r="U1408" s="62"/>
      <c r="V1408" s="62"/>
      <c r="W1408" s="62"/>
      <c r="X1408" s="62"/>
      <c r="Y1408" s="62"/>
      <c r="Z1408" s="62"/>
      <c r="AA1408" s="62"/>
      <c r="AB1408" s="62"/>
      <c r="AC1408" s="62"/>
      <c r="AD1408" s="62"/>
      <c r="AE1408" s="62"/>
      <c r="AF1408" s="62"/>
      <c r="AG1408" s="62"/>
      <c r="AH1408" s="62"/>
      <c r="AI1408" s="62"/>
      <c r="AJ1408" s="62"/>
      <c r="AK1408" s="62"/>
      <c r="AL1408" s="62"/>
      <c r="AM1408" s="62"/>
      <c r="AN1408" s="62"/>
    </row>
    <row r="1409" spans="17:40" x14ac:dyDescent="0.4">
      <c r="Q1409" s="62"/>
      <c r="R1409" s="62"/>
      <c r="S1409" s="62"/>
      <c r="T1409" s="62"/>
      <c r="U1409" s="62"/>
      <c r="V1409" s="62"/>
      <c r="W1409" s="62"/>
      <c r="X1409" s="62"/>
      <c r="Y1409" s="62"/>
      <c r="Z1409" s="62"/>
      <c r="AA1409" s="62"/>
      <c r="AB1409" s="62"/>
      <c r="AC1409" s="62"/>
      <c r="AD1409" s="62"/>
      <c r="AE1409" s="62"/>
      <c r="AF1409" s="62"/>
      <c r="AG1409" s="62"/>
      <c r="AH1409" s="62"/>
      <c r="AI1409" s="62"/>
      <c r="AJ1409" s="62"/>
      <c r="AK1409" s="62"/>
      <c r="AL1409" s="62"/>
      <c r="AM1409" s="62"/>
      <c r="AN1409" s="62"/>
    </row>
    <row r="1410" spans="17:40" x14ac:dyDescent="0.4">
      <c r="Q1410" s="62"/>
      <c r="R1410" s="62"/>
      <c r="S1410" s="62"/>
      <c r="T1410" s="62"/>
      <c r="U1410" s="62"/>
      <c r="V1410" s="62"/>
      <c r="W1410" s="62"/>
      <c r="X1410" s="62"/>
      <c r="Y1410" s="62"/>
      <c r="Z1410" s="62"/>
      <c r="AA1410" s="62"/>
      <c r="AB1410" s="62"/>
      <c r="AC1410" s="62"/>
      <c r="AD1410" s="62"/>
      <c r="AE1410" s="62"/>
      <c r="AF1410" s="62"/>
      <c r="AG1410" s="62"/>
      <c r="AH1410" s="62"/>
      <c r="AI1410" s="62"/>
      <c r="AJ1410" s="62"/>
      <c r="AK1410" s="62"/>
      <c r="AL1410" s="62"/>
      <c r="AM1410" s="62"/>
      <c r="AN1410" s="62"/>
    </row>
    <row r="1411" spans="17:40" x14ac:dyDescent="0.4">
      <c r="Q1411" s="62"/>
      <c r="R1411" s="62"/>
      <c r="S1411" s="62"/>
      <c r="T1411" s="62"/>
      <c r="U1411" s="62"/>
      <c r="V1411" s="62"/>
      <c r="W1411" s="62"/>
      <c r="X1411" s="62"/>
      <c r="Y1411" s="62"/>
      <c r="Z1411" s="62"/>
      <c r="AA1411" s="62"/>
      <c r="AB1411" s="62"/>
      <c r="AC1411" s="62"/>
      <c r="AD1411" s="62"/>
      <c r="AE1411" s="62"/>
      <c r="AF1411" s="62"/>
      <c r="AG1411" s="62"/>
      <c r="AH1411" s="62"/>
      <c r="AI1411" s="62"/>
      <c r="AJ1411" s="62"/>
      <c r="AK1411" s="62"/>
      <c r="AL1411" s="62"/>
      <c r="AM1411" s="62"/>
      <c r="AN1411" s="62"/>
    </row>
    <row r="1412" spans="17:40" x14ac:dyDescent="0.4"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</row>
    <row r="1413" spans="17:40" x14ac:dyDescent="0.4"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</row>
    <row r="1414" spans="17:40" x14ac:dyDescent="0.4">
      <c r="Q1414" s="62"/>
      <c r="R1414" s="62"/>
      <c r="S1414" s="62"/>
      <c r="T1414" s="62"/>
      <c r="U1414" s="62"/>
      <c r="V1414" s="62"/>
      <c r="W1414" s="62"/>
      <c r="X1414" s="62"/>
      <c r="Y1414" s="62"/>
      <c r="Z1414" s="62"/>
      <c r="AA1414" s="62"/>
      <c r="AB1414" s="62"/>
      <c r="AC1414" s="62"/>
      <c r="AD1414" s="62"/>
      <c r="AE1414" s="62"/>
      <c r="AF1414" s="62"/>
      <c r="AG1414" s="62"/>
      <c r="AH1414" s="62"/>
      <c r="AI1414" s="62"/>
      <c r="AJ1414" s="62"/>
      <c r="AK1414" s="62"/>
      <c r="AL1414" s="62"/>
      <c r="AM1414" s="62"/>
      <c r="AN1414" s="62"/>
    </row>
    <row r="1415" spans="17:40" x14ac:dyDescent="0.4"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62"/>
      <c r="AL1415" s="62"/>
      <c r="AM1415" s="62"/>
      <c r="AN1415" s="62"/>
    </row>
    <row r="1416" spans="17:40" x14ac:dyDescent="0.4"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</row>
    <row r="1417" spans="17:40" x14ac:dyDescent="0.4"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</row>
    <row r="1418" spans="17:40" x14ac:dyDescent="0.4"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</row>
    <row r="1419" spans="17:40" x14ac:dyDescent="0.4"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</row>
    <row r="1420" spans="17:40" x14ac:dyDescent="0.4"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</row>
    <row r="1421" spans="17:40" x14ac:dyDescent="0.4"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</row>
    <row r="1422" spans="17:40" x14ac:dyDescent="0.4"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</row>
    <row r="1423" spans="17:40" x14ac:dyDescent="0.4"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</row>
    <row r="1424" spans="17:40" x14ac:dyDescent="0.4"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</row>
  </sheetData>
  <phoneticPr fontId="22" type="noConversion"/>
  <dataValidations count="1">
    <dataValidation type="list" allowBlank="1" showInputMessage="1" showErrorMessage="1" sqref="D3:D106 D132:D142" xr:uid="{C6227657-B777-CC49-B57C-C23F99264FAD}">
      <formula1>"Yes, No"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15D2-16E9-7846-829F-32BBBBE49450}">
  <dimension ref="A1:AV694"/>
  <sheetViews>
    <sheetView topLeftCell="B37" zoomScale="93" workbookViewId="0">
      <selection activeCell="F47" sqref="F47"/>
    </sheetView>
  </sheetViews>
  <sheetFormatPr defaultColWidth="11" defaultRowHeight="15.75" customHeight="1" x14ac:dyDescent="0.4"/>
  <cols>
    <col min="1" max="1" width="45.08203125" customWidth="1"/>
    <col min="2" max="2" width="61.5" bestFit="1" customWidth="1"/>
    <col min="3" max="3" width="25.58203125" customWidth="1"/>
    <col min="4" max="4" width="14.83203125" bestFit="1" customWidth="1"/>
    <col min="5" max="5" width="19.08203125" bestFit="1" customWidth="1"/>
    <col min="6" max="6" width="57.33203125" bestFit="1" customWidth="1"/>
    <col min="7" max="7" width="45.08203125" style="62" bestFit="1" customWidth="1"/>
    <col min="8" max="48" width="11" style="62"/>
  </cols>
  <sheetData>
    <row r="1" spans="1:6" ht="16" x14ac:dyDescent="0.4">
      <c r="A1" s="1" t="s">
        <v>427</v>
      </c>
      <c r="B1" s="1" t="s">
        <v>28</v>
      </c>
      <c r="C1" s="1" t="s">
        <v>428</v>
      </c>
      <c r="D1" s="1" t="s">
        <v>429</v>
      </c>
      <c r="E1" s="2" t="s">
        <v>4</v>
      </c>
      <c r="F1" s="2" t="s">
        <v>146</v>
      </c>
    </row>
    <row r="2" spans="1:6" ht="53.15" customHeight="1" x14ac:dyDescent="0.4">
      <c r="A2" s="7" t="s">
        <v>430</v>
      </c>
      <c r="B2" s="66" t="s">
        <v>431</v>
      </c>
      <c r="C2" s="66" t="s">
        <v>432</v>
      </c>
      <c r="D2" s="66" t="s">
        <v>433</v>
      </c>
      <c r="E2" s="3" t="s">
        <v>157</v>
      </c>
      <c r="F2" s="3" t="s">
        <v>434</v>
      </c>
    </row>
    <row r="3" spans="1:6" ht="16" x14ac:dyDescent="0.4">
      <c r="A3" s="156" t="s">
        <v>435</v>
      </c>
      <c r="B3" s="11" t="s">
        <v>174</v>
      </c>
      <c r="C3" s="11">
        <v>0</v>
      </c>
      <c r="D3" s="11" t="s">
        <v>436</v>
      </c>
      <c r="E3" s="11" t="s">
        <v>22</v>
      </c>
      <c r="F3" s="79" t="s">
        <v>437</v>
      </c>
    </row>
    <row r="4" spans="1:6" ht="16" x14ac:dyDescent="0.4">
      <c r="A4" s="152"/>
      <c r="B4" s="67" t="s">
        <v>171</v>
      </c>
      <c r="C4" s="11">
        <v>1</v>
      </c>
      <c r="D4" s="11" t="s">
        <v>436</v>
      </c>
      <c r="E4" s="11" t="s">
        <v>22</v>
      </c>
      <c r="F4" s="79"/>
    </row>
    <row r="5" spans="1:6" ht="34" customHeight="1" x14ac:dyDescent="0.4">
      <c r="A5" s="154" t="s">
        <v>438</v>
      </c>
      <c r="B5" s="69" t="s">
        <v>168</v>
      </c>
      <c r="C5" s="68">
        <v>0</v>
      </c>
      <c r="D5" s="68" t="s">
        <v>439</v>
      </c>
      <c r="E5" s="68" t="s">
        <v>22</v>
      </c>
      <c r="F5" s="80" t="s">
        <v>440</v>
      </c>
    </row>
    <row r="6" spans="1:6" ht="16" x14ac:dyDescent="0.4">
      <c r="A6" s="154"/>
      <c r="B6" s="69" t="s">
        <v>165</v>
      </c>
      <c r="C6" s="68">
        <v>1</v>
      </c>
      <c r="D6" s="68" t="s">
        <v>439</v>
      </c>
      <c r="E6" s="68" t="s">
        <v>22</v>
      </c>
      <c r="F6" s="80"/>
    </row>
    <row r="7" spans="1:6" ht="16" x14ac:dyDescent="0.4">
      <c r="A7" s="155"/>
      <c r="B7" s="69" t="s">
        <v>161</v>
      </c>
      <c r="C7" s="69">
        <v>2</v>
      </c>
      <c r="D7" s="69" t="s">
        <v>439</v>
      </c>
      <c r="E7" s="69" t="s">
        <v>22</v>
      </c>
      <c r="F7" s="80"/>
    </row>
    <row r="8" spans="1:6" ht="16" x14ac:dyDescent="0.4">
      <c r="A8" s="147" t="s">
        <v>441</v>
      </c>
      <c r="B8" s="11" t="s">
        <v>177</v>
      </c>
      <c r="C8" s="11">
        <v>0</v>
      </c>
      <c r="D8" s="11" t="s">
        <v>442</v>
      </c>
      <c r="E8" s="11" t="s">
        <v>22</v>
      </c>
      <c r="F8" s="79" t="s">
        <v>443</v>
      </c>
    </row>
    <row r="9" spans="1:6" ht="16" x14ac:dyDescent="0.4">
      <c r="A9" s="152"/>
      <c r="B9" s="11" t="s">
        <v>179</v>
      </c>
      <c r="C9" s="11">
        <v>1</v>
      </c>
      <c r="D9" s="11" t="s">
        <v>442</v>
      </c>
      <c r="E9" s="11" t="s">
        <v>22</v>
      </c>
      <c r="F9" s="79"/>
    </row>
    <row r="10" spans="1:6" ht="16" x14ac:dyDescent="0.4">
      <c r="A10" s="9" t="s">
        <v>444</v>
      </c>
      <c r="B10" s="11" t="s">
        <v>182</v>
      </c>
      <c r="C10" s="11">
        <v>0</v>
      </c>
      <c r="D10" s="11" t="s">
        <v>439</v>
      </c>
      <c r="E10" s="11" t="s">
        <v>22</v>
      </c>
      <c r="F10" s="79"/>
    </row>
    <row r="11" spans="1:6" ht="16" x14ac:dyDescent="0.4">
      <c r="A11" s="9" t="s">
        <v>445</v>
      </c>
      <c r="B11" s="11" t="s">
        <v>192</v>
      </c>
      <c r="C11" s="11">
        <v>0</v>
      </c>
      <c r="D11" s="11" t="s">
        <v>436</v>
      </c>
      <c r="E11" s="11" t="s">
        <v>22</v>
      </c>
      <c r="F11" s="79" t="s">
        <v>175</v>
      </c>
    </row>
    <row r="12" spans="1:6" ht="16" x14ac:dyDescent="0.4">
      <c r="A12" s="147" t="s">
        <v>446</v>
      </c>
      <c r="B12" s="11" t="s">
        <v>188</v>
      </c>
      <c r="C12" s="11">
        <v>0</v>
      </c>
      <c r="D12" s="11" t="s">
        <v>439</v>
      </c>
      <c r="E12" s="11" t="s">
        <v>22</v>
      </c>
      <c r="F12" s="79"/>
    </row>
    <row r="13" spans="1:6" ht="16" x14ac:dyDescent="0.4">
      <c r="A13" s="147"/>
      <c r="B13" s="11" t="s">
        <v>194</v>
      </c>
      <c r="C13" s="11">
        <v>1</v>
      </c>
      <c r="D13" s="11" t="s">
        <v>439</v>
      </c>
      <c r="E13" s="11" t="s">
        <v>22</v>
      </c>
      <c r="F13" s="79"/>
    </row>
    <row r="14" spans="1:6" ht="16" x14ac:dyDescent="0.4">
      <c r="A14" s="152"/>
      <c r="B14" s="11" t="s">
        <v>186</v>
      </c>
      <c r="C14" s="11">
        <v>2</v>
      </c>
      <c r="D14" s="11" t="s">
        <v>439</v>
      </c>
      <c r="E14" s="11" t="s">
        <v>22</v>
      </c>
      <c r="F14" s="79"/>
    </row>
    <row r="15" spans="1:6" ht="16" x14ac:dyDescent="0.4">
      <c r="A15" s="9" t="s">
        <v>447</v>
      </c>
      <c r="B15" s="11" t="s">
        <v>184</v>
      </c>
      <c r="C15" s="11">
        <v>0</v>
      </c>
      <c r="D15" s="11" t="s">
        <v>442</v>
      </c>
      <c r="E15" s="11" t="s">
        <v>22</v>
      </c>
      <c r="F15" s="79"/>
    </row>
    <row r="16" spans="1:6" ht="16" x14ac:dyDescent="0.4">
      <c r="A16" s="9" t="s">
        <v>448</v>
      </c>
      <c r="B16" s="11" t="s">
        <v>202</v>
      </c>
      <c r="C16" s="11">
        <v>0</v>
      </c>
      <c r="D16" s="11" t="s">
        <v>436</v>
      </c>
      <c r="E16" s="11" t="s">
        <v>22</v>
      </c>
      <c r="F16" s="79" t="s">
        <v>175</v>
      </c>
    </row>
    <row r="17" spans="1:6" ht="16" x14ac:dyDescent="0.4">
      <c r="A17" s="34" t="s">
        <v>449</v>
      </c>
      <c r="B17" s="11" t="s">
        <v>199</v>
      </c>
      <c r="C17" s="11">
        <v>0</v>
      </c>
      <c r="D17" s="11" t="s">
        <v>439</v>
      </c>
      <c r="E17" s="11" t="s">
        <v>22</v>
      </c>
      <c r="F17" s="79"/>
    </row>
    <row r="18" spans="1:6" ht="16" x14ac:dyDescent="0.4">
      <c r="A18" s="9" t="s">
        <v>450</v>
      </c>
      <c r="B18" s="11" t="s">
        <v>197</v>
      </c>
      <c r="C18" s="11">
        <v>0</v>
      </c>
      <c r="D18" s="11" t="s">
        <v>442</v>
      </c>
      <c r="E18" s="11" t="s">
        <v>22</v>
      </c>
      <c r="F18" s="79"/>
    </row>
    <row r="19" spans="1:6" ht="16" x14ac:dyDescent="0.4">
      <c r="A19" s="9" t="s">
        <v>451</v>
      </c>
      <c r="B19" s="11" t="s">
        <v>207</v>
      </c>
      <c r="C19" s="11">
        <v>0</v>
      </c>
      <c r="D19" s="11" t="s">
        <v>436</v>
      </c>
      <c r="E19" s="11" t="s">
        <v>22</v>
      </c>
      <c r="F19" s="70" t="s">
        <v>208</v>
      </c>
    </row>
    <row r="20" spans="1:6" ht="16" x14ac:dyDescent="0.4">
      <c r="A20" s="11" t="s">
        <v>452</v>
      </c>
      <c r="B20" s="11" t="s">
        <v>204</v>
      </c>
      <c r="C20" s="11">
        <v>0</v>
      </c>
      <c r="D20" s="11" t="s">
        <v>439</v>
      </c>
      <c r="E20" s="11" t="s">
        <v>22</v>
      </c>
      <c r="F20" s="70" t="s">
        <v>208</v>
      </c>
    </row>
    <row r="21" spans="1:6" ht="16" x14ac:dyDescent="0.4">
      <c r="A21" s="147" t="s">
        <v>453</v>
      </c>
      <c r="B21" s="67" t="s">
        <v>213</v>
      </c>
      <c r="C21" s="11">
        <v>0</v>
      </c>
      <c r="D21" s="11" t="s">
        <v>442</v>
      </c>
      <c r="E21" s="11" t="s">
        <v>22</v>
      </c>
      <c r="F21" s="79" t="s">
        <v>175</v>
      </c>
    </row>
    <row r="22" spans="1:6" ht="16" x14ac:dyDescent="0.4">
      <c r="A22" s="152"/>
      <c r="B22" s="11" t="s">
        <v>215</v>
      </c>
      <c r="C22" s="11">
        <v>1</v>
      </c>
      <c r="D22" s="11" t="s">
        <v>442</v>
      </c>
      <c r="E22" s="11" t="s">
        <v>22</v>
      </c>
      <c r="F22" s="79"/>
    </row>
    <row r="23" spans="1:6" ht="16" x14ac:dyDescent="0.4">
      <c r="A23" s="147" t="s">
        <v>454</v>
      </c>
      <c r="B23" s="11" t="s">
        <v>217</v>
      </c>
      <c r="C23" s="11">
        <v>0</v>
      </c>
      <c r="D23" s="11" t="s">
        <v>439</v>
      </c>
      <c r="E23" s="11" t="s">
        <v>22</v>
      </c>
      <c r="F23" s="79" t="s">
        <v>175</v>
      </c>
    </row>
    <row r="24" spans="1:6" ht="16" x14ac:dyDescent="0.4">
      <c r="A24" s="147"/>
      <c r="B24" s="11" t="s">
        <v>219</v>
      </c>
      <c r="C24" s="11">
        <v>1</v>
      </c>
      <c r="D24" s="11" t="s">
        <v>439</v>
      </c>
      <c r="E24" s="11" t="s">
        <v>22</v>
      </c>
      <c r="F24" s="79"/>
    </row>
    <row r="25" spans="1:6" ht="16" x14ac:dyDescent="0.4">
      <c r="A25" s="152"/>
      <c r="B25" s="11" t="s">
        <v>221</v>
      </c>
      <c r="C25" s="11">
        <v>2</v>
      </c>
      <c r="D25" s="11" t="s">
        <v>439</v>
      </c>
      <c r="E25" s="11" t="s">
        <v>22</v>
      </c>
      <c r="F25" s="79"/>
    </row>
    <row r="26" spans="1:6" ht="16" x14ac:dyDescent="0.4">
      <c r="A26" s="84" t="s">
        <v>455</v>
      </c>
      <c r="B26" s="75" t="s">
        <v>384</v>
      </c>
      <c r="C26" s="11">
        <v>0</v>
      </c>
      <c r="D26" s="11" t="s">
        <v>436</v>
      </c>
      <c r="E26" s="11" t="s">
        <v>22</v>
      </c>
      <c r="F26" s="79"/>
    </row>
    <row r="27" spans="1:6" ht="16" x14ac:dyDescent="0.4">
      <c r="A27" s="8" t="s">
        <v>456</v>
      </c>
      <c r="B27" s="75" t="s">
        <v>386</v>
      </c>
      <c r="C27" s="11">
        <v>0</v>
      </c>
      <c r="D27" s="11" t="s">
        <v>439</v>
      </c>
      <c r="E27" s="11" t="s">
        <v>22</v>
      </c>
      <c r="F27" s="79"/>
    </row>
    <row r="28" spans="1:6" ht="16" x14ac:dyDescent="0.4">
      <c r="A28" s="8" t="s">
        <v>457</v>
      </c>
      <c r="B28" s="75" t="s">
        <v>388</v>
      </c>
      <c r="C28" s="11">
        <v>0</v>
      </c>
      <c r="D28" s="11" t="s">
        <v>442</v>
      </c>
      <c r="E28" s="11" t="s">
        <v>22</v>
      </c>
      <c r="F28" s="79"/>
    </row>
    <row r="29" spans="1:6" ht="16" x14ac:dyDescent="0.4">
      <c r="A29" s="8" t="s">
        <v>458</v>
      </c>
      <c r="B29" s="75" t="s">
        <v>390</v>
      </c>
      <c r="C29" s="11">
        <v>0</v>
      </c>
      <c r="D29" s="11" t="s">
        <v>439</v>
      </c>
      <c r="E29" s="11" t="s">
        <v>22</v>
      </c>
      <c r="F29" s="79"/>
    </row>
    <row r="30" spans="1:6" ht="16" x14ac:dyDescent="0.4">
      <c r="A30" s="161" t="s">
        <v>459</v>
      </c>
      <c r="B30" s="108" t="s">
        <v>407</v>
      </c>
      <c r="C30" s="11">
        <v>0</v>
      </c>
      <c r="D30" s="11" t="s">
        <v>442</v>
      </c>
      <c r="E30" s="11" t="s">
        <v>22</v>
      </c>
      <c r="F30" s="79"/>
    </row>
    <row r="31" spans="1:6" ht="16" x14ac:dyDescent="0.4">
      <c r="A31" s="161"/>
      <c r="B31" s="109" t="s">
        <v>409</v>
      </c>
      <c r="C31" s="11">
        <v>1</v>
      </c>
      <c r="D31" s="11" t="s">
        <v>442</v>
      </c>
      <c r="E31" s="11" t="s">
        <v>22</v>
      </c>
      <c r="F31" s="79"/>
    </row>
    <row r="32" spans="1:6" ht="16" x14ac:dyDescent="0.4">
      <c r="A32" s="161"/>
      <c r="B32" s="109" t="s">
        <v>411</v>
      </c>
      <c r="C32" s="11">
        <v>2</v>
      </c>
      <c r="D32" s="11" t="s">
        <v>442</v>
      </c>
      <c r="E32" s="11" t="s">
        <v>22</v>
      </c>
      <c r="F32" s="79"/>
    </row>
    <row r="33" spans="1:6" ht="16" x14ac:dyDescent="0.4">
      <c r="A33" s="8" t="s">
        <v>460</v>
      </c>
      <c r="B33" s="109" t="s">
        <v>413</v>
      </c>
      <c r="C33" s="11">
        <v>0</v>
      </c>
      <c r="D33" s="11" t="s">
        <v>439</v>
      </c>
      <c r="E33" s="11" t="s">
        <v>22</v>
      </c>
      <c r="F33" s="79"/>
    </row>
    <row r="34" spans="1:6" ht="16" x14ac:dyDescent="0.4">
      <c r="A34" s="8" t="s">
        <v>461</v>
      </c>
      <c r="B34" s="108" t="s">
        <v>415</v>
      </c>
      <c r="C34" s="11">
        <v>0</v>
      </c>
      <c r="D34" s="11" t="s">
        <v>442</v>
      </c>
      <c r="E34" s="11" t="s">
        <v>22</v>
      </c>
      <c r="F34" s="79"/>
    </row>
    <row r="35" spans="1:6" ht="16" x14ac:dyDescent="0.4">
      <c r="A35" s="147" t="s">
        <v>462</v>
      </c>
      <c r="B35" s="11" t="s">
        <v>223</v>
      </c>
      <c r="C35" s="11">
        <v>0</v>
      </c>
      <c r="D35" s="11" t="s">
        <v>436</v>
      </c>
      <c r="E35" s="11" t="s">
        <v>24</v>
      </c>
      <c r="F35" s="70" t="s">
        <v>175</v>
      </c>
    </row>
    <row r="36" spans="1:6" ht="16" x14ac:dyDescent="0.4">
      <c r="A36" s="147"/>
      <c r="B36" s="68" t="s">
        <v>225</v>
      </c>
      <c r="C36" s="68">
        <v>1</v>
      </c>
      <c r="D36" s="68" t="s">
        <v>436</v>
      </c>
      <c r="E36" s="68" t="s">
        <v>24</v>
      </c>
      <c r="F36" s="72" t="s">
        <v>463</v>
      </c>
    </row>
    <row r="37" spans="1:6" ht="16" x14ac:dyDescent="0.4">
      <c r="A37" s="147"/>
      <c r="B37" s="68" t="s">
        <v>227</v>
      </c>
      <c r="C37" s="68">
        <v>2</v>
      </c>
      <c r="D37" s="68" t="s">
        <v>436</v>
      </c>
      <c r="E37" s="68" t="s">
        <v>24</v>
      </c>
      <c r="F37" s="72" t="s">
        <v>463</v>
      </c>
    </row>
    <row r="38" spans="1:6" ht="16" x14ac:dyDescent="0.4">
      <c r="A38" s="147"/>
      <c r="B38" s="67" t="s">
        <v>229</v>
      </c>
      <c r="C38" s="11">
        <v>3</v>
      </c>
      <c r="D38" s="11" t="s">
        <v>436</v>
      </c>
      <c r="E38" s="11" t="s">
        <v>24</v>
      </c>
      <c r="F38" s="70" t="s">
        <v>175</v>
      </c>
    </row>
    <row r="39" spans="1:6" ht="16" x14ac:dyDescent="0.4">
      <c r="A39" s="148"/>
      <c r="B39" s="11" t="s">
        <v>230</v>
      </c>
      <c r="C39" s="11">
        <v>4</v>
      </c>
      <c r="D39" s="11" t="s">
        <v>436</v>
      </c>
      <c r="E39" s="11" t="s">
        <v>24</v>
      </c>
      <c r="F39" s="70" t="s">
        <v>175</v>
      </c>
    </row>
    <row r="40" spans="1:6" ht="16" x14ac:dyDescent="0.4">
      <c r="A40" s="8" t="s">
        <v>464</v>
      </c>
      <c r="B40" s="11" t="s">
        <v>232</v>
      </c>
      <c r="C40" s="11">
        <v>0</v>
      </c>
      <c r="D40" s="11" t="s">
        <v>436</v>
      </c>
      <c r="E40" s="11" t="s">
        <v>24</v>
      </c>
      <c r="F40" s="70" t="s">
        <v>175</v>
      </c>
    </row>
    <row r="41" spans="1:6" ht="16" x14ac:dyDescent="0.4">
      <c r="A41" s="8" t="s">
        <v>465</v>
      </c>
      <c r="B41" s="11" t="s">
        <v>234</v>
      </c>
      <c r="C41" s="11">
        <v>1</v>
      </c>
      <c r="D41" s="68" t="s">
        <v>439</v>
      </c>
      <c r="E41" s="11" t="s">
        <v>24</v>
      </c>
      <c r="F41" s="72" t="s">
        <v>466</v>
      </c>
    </row>
    <row r="42" spans="1:6" ht="16" x14ac:dyDescent="0.4">
      <c r="A42" s="8" t="s">
        <v>467</v>
      </c>
      <c r="B42" s="11" t="s">
        <v>237</v>
      </c>
      <c r="C42" s="11">
        <v>0</v>
      </c>
      <c r="D42" s="11" t="s">
        <v>442</v>
      </c>
      <c r="E42" s="11" t="s">
        <v>24</v>
      </c>
      <c r="F42" s="70" t="s">
        <v>175</v>
      </c>
    </row>
    <row r="43" spans="1:6" ht="16" x14ac:dyDescent="0.4">
      <c r="A43" s="8" t="s">
        <v>468</v>
      </c>
      <c r="B43" s="11" t="s">
        <v>240</v>
      </c>
      <c r="C43" s="11">
        <v>0</v>
      </c>
      <c r="D43" s="11" t="s">
        <v>436</v>
      </c>
      <c r="E43" s="11" t="s">
        <v>24</v>
      </c>
      <c r="F43" s="70" t="s">
        <v>175</v>
      </c>
    </row>
    <row r="44" spans="1:6" ht="16" x14ac:dyDescent="0.4">
      <c r="A44" s="8" t="s">
        <v>469</v>
      </c>
      <c r="B44" s="11" t="s">
        <v>242</v>
      </c>
      <c r="C44" s="11">
        <v>0</v>
      </c>
      <c r="D44" s="68" t="s">
        <v>439</v>
      </c>
      <c r="E44" s="11" t="s">
        <v>24</v>
      </c>
      <c r="F44" s="72" t="s">
        <v>466</v>
      </c>
    </row>
    <row r="45" spans="1:6" ht="16" x14ac:dyDescent="0.4">
      <c r="A45" s="161" t="s">
        <v>470</v>
      </c>
      <c r="B45" s="11" t="s">
        <v>245</v>
      </c>
      <c r="C45" s="11">
        <v>0</v>
      </c>
      <c r="D45" s="11" t="s">
        <v>442</v>
      </c>
      <c r="E45" s="11" t="s">
        <v>24</v>
      </c>
      <c r="F45" s="70" t="s">
        <v>175</v>
      </c>
    </row>
    <row r="46" spans="1:6" ht="16" x14ac:dyDescent="0.4">
      <c r="A46" s="163"/>
      <c r="B46" s="11" t="s">
        <v>247</v>
      </c>
      <c r="C46" s="11">
        <v>1</v>
      </c>
      <c r="D46" s="11" t="s">
        <v>442</v>
      </c>
      <c r="E46" s="11" t="s">
        <v>24</v>
      </c>
      <c r="F46" s="70" t="s">
        <v>175</v>
      </c>
    </row>
    <row r="47" spans="1:6" ht="16" x14ac:dyDescent="0.4">
      <c r="A47" s="147" t="s">
        <v>471</v>
      </c>
      <c r="B47" s="11" t="s">
        <v>249</v>
      </c>
      <c r="C47" s="11">
        <v>0</v>
      </c>
      <c r="D47" s="11" t="s">
        <v>442</v>
      </c>
      <c r="E47" s="11" t="s">
        <v>24</v>
      </c>
      <c r="F47" s="70" t="s">
        <v>175</v>
      </c>
    </row>
    <row r="48" spans="1:6" ht="16" x14ac:dyDescent="0.4">
      <c r="A48" s="147"/>
      <c r="B48" s="11" t="s">
        <v>251</v>
      </c>
      <c r="C48" s="11">
        <v>1</v>
      </c>
      <c r="D48" s="11" t="s">
        <v>442</v>
      </c>
      <c r="E48" s="11" t="s">
        <v>24</v>
      </c>
      <c r="F48" s="70" t="s">
        <v>175</v>
      </c>
    </row>
    <row r="49" spans="1:6" ht="16" x14ac:dyDescent="0.4">
      <c r="A49" s="11" t="s">
        <v>472</v>
      </c>
      <c r="B49" s="11" t="s">
        <v>253</v>
      </c>
      <c r="C49" s="11">
        <v>0</v>
      </c>
      <c r="D49" s="11" t="s">
        <v>439</v>
      </c>
      <c r="E49" s="11" t="s">
        <v>24</v>
      </c>
      <c r="F49" s="70" t="s">
        <v>175</v>
      </c>
    </row>
    <row r="50" spans="1:6" ht="16" x14ac:dyDescent="0.4">
      <c r="A50" s="11" t="s">
        <v>473</v>
      </c>
      <c r="B50" s="11" t="s">
        <v>255</v>
      </c>
      <c r="C50" s="11">
        <v>0</v>
      </c>
      <c r="D50" s="68" t="s">
        <v>436</v>
      </c>
      <c r="E50" s="11" t="s">
        <v>24</v>
      </c>
      <c r="F50" s="72" t="s">
        <v>474</v>
      </c>
    </row>
    <row r="51" spans="1:6" ht="16" x14ac:dyDescent="0.4">
      <c r="A51" s="162" t="s">
        <v>475</v>
      </c>
      <c r="B51" s="22" t="s">
        <v>129</v>
      </c>
      <c r="C51" s="22"/>
      <c r="D51" s="22" t="s">
        <v>436</v>
      </c>
      <c r="E51" s="22" t="s">
        <v>24</v>
      </c>
      <c r="F51" s="71"/>
    </row>
    <row r="52" spans="1:6" ht="16" x14ac:dyDescent="0.4">
      <c r="A52" s="162"/>
      <c r="B52" s="22" t="s">
        <v>130</v>
      </c>
      <c r="C52" s="22"/>
      <c r="D52" s="22" t="s">
        <v>436</v>
      </c>
      <c r="E52" s="22" t="s">
        <v>24</v>
      </c>
      <c r="F52" s="71" t="s">
        <v>175</v>
      </c>
    </row>
    <row r="53" spans="1:6" ht="16" x14ac:dyDescent="0.4">
      <c r="A53" s="162" t="s">
        <v>475</v>
      </c>
      <c r="B53" s="22" t="s">
        <v>131</v>
      </c>
      <c r="C53" s="22"/>
      <c r="D53" s="22" t="s">
        <v>436</v>
      </c>
      <c r="E53" s="22" t="s">
        <v>24</v>
      </c>
      <c r="F53" s="71" t="s">
        <v>175</v>
      </c>
    </row>
    <row r="54" spans="1:6" ht="16" x14ac:dyDescent="0.4">
      <c r="A54" s="162"/>
      <c r="B54" s="22" t="s">
        <v>126</v>
      </c>
      <c r="C54" s="22"/>
      <c r="D54" s="22" t="s">
        <v>436</v>
      </c>
      <c r="E54" s="22" t="s">
        <v>24</v>
      </c>
      <c r="F54" s="71" t="s">
        <v>175</v>
      </c>
    </row>
    <row r="55" spans="1:6" ht="16" x14ac:dyDescent="0.4">
      <c r="A55" s="147" t="s">
        <v>476</v>
      </c>
      <c r="B55" s="67" t="s">
        <v>266</v>
      </c>
      <c r="C55" s="11">
        <v>0</v>
      </c>
      <c r="D55" s="11" t="s">
        <v>442</v>
      </c>
      <c r="E55" s="11" t="s">
        <v>24</v>
      </c>
      <c r="F55" s="70" t="s">
        <v>175</v>
      </c>
    </row>
    <row r="56" spans="1:6" ht="16" x14ac:dyDescent="0.4">
      <c r="A56" s="147"/>
      <c r="B56" s="11" t="s">
        <v>268</v>
      </c>
      <c r="C56" s="11">
        <v>1</v>
      </c>
      <c r="D56" s="11" t="s">
        <v>442</v>
      </c>
      <c r="E56" s="11" t="s">
        <v>24</v>
      </c>
      <c r="F56" s="70" t="s">
        <v>175</v>
      </c>
    </row>
    <row r="57" spans="1:6" ht="16" x14ac:dyDescent="0.4">
      <c r="A57" s="152"/>
      <c r="B57" s="11" t="s">
        <v>269</v>
      </c>
      <c r="C57" s="11">
        <v>2</v>
      </c>
      <c r="D57" s="11" t="s">
        <v>442</v>
      </c>
      <c r="E57" s="11" t="s">
        <v>24</v>
      </c>
      <c r="F57" s="70" t="s">
        <v>175</v>
      </c>
    </row>
    <row r="58" spans="1:6" ht="16" x14ac:dyDescent="0.4">
      <c r="A58" s="9" t="s">
        <v>477</v>
      </c>
      <c r="B58" s="67" t="s">
        <v>270</v>
      </c>
      <c r="C58" s="11">
        <v>0</v>
      </c>
      <c r="D58" s="11" t="s">
        <v>439</v>
      </c>
      <c r="E58" s="11" t="s">
        <v>24</v>
      </c>
      <c r="F58" s="70" t="s">
        <v>175</v>
      </c>
    </row>
    <row r="59" spans="1:6" ht="16" x14ac:dyDescent="0.4">
      <c r="A59" s="8" t="s">
        <v>478</v>
      </c>
      <c r="B59" s="75" t="s">
        <v>391</v>
      </c>
      <c r="C59" s="11">
        <v>0</v>
      </c>
      <c r="D59" s="11" t="s">
        <v>442</v>
      </c>
      <c r="E59" s="11" t="s">
        <v>24</v>
      </c>
      <c r="F59" s="70"/>
    </row>
    <row r="60" spans="1:6" ht="16" x14ac:dyDescent="0.4">
      <c r="A60" s="8" t="s">
        <v>479</v>
      </c>
      <c r="B60" s="75" t="s">
        <v>393</v>
      </c>
      <c r="C60" s="11">
        <v>0</v>
      </c>
      <c r="D60" s="11" t="s">
        <v>439</v>
      </c>
      <c r="E60" s="11" t="s">
        <v>24</v>
      </c>
      <c r="F60" s="70"/>
    </row>
    <row r="61" spans="1:6" ht="16" x14ac:dyDescent="0.4">
      <c r="A61" s="8" t="s">
        <v>480</v>
      </c>
      <c r="B61" s="75" t="s">
        <v>395</v>
      </c>
      <c r="C61" s="11">
        <v>0</v>
      </c>
      <c r="D61" s="11" t="s">
        <v>442</v>
      </c>
      <c r="E61" s="11" t="s">
        <v>24</v>
      </c>
      <c r="F61" s="70"/>
    </row>
    <row r="62" spans="1:6" ht="16" x14ac:dyDescent="0.4">
      <c r="A62" s="8" t="s">
        <v>481</v>
      </c>
      <c r="B62" s="75" t="s">
        <v>397</v>
      </c>
      <c r="C62" s="11">
        <v>0</v>
      </c>
      <c r="D62" s="11" t="s">
        <v>439</v>
      </c>
      <c r="E62" s="11" t="s">
        <v>24</v>
      </c>
      <c r="F62" s="70"/>
    </row>
    <row r="63" spans="1:6" ht="16" x14ac:dyDescent="0.4">
      <c r="A63" s="160" t="s">
        <v>482</v>
      </c>
      <c r="B63" s="75" t="s">
        <v>399</v>
      </c>
      <c r="C63" s="11">
        <v>0</v>
      </c>
      <c r="D63" s="11" t="s">
        <v>442</v>
      </c>
      <c r="E63" s="11" t="s">
        <v>24</v>
      </c>
      <c r="F63" s="70"/>
    </row>
    <row r="64" spans="1:6" ht="16" x14ac:dyDescent="0.4">
      <c r="A64" s="160"/>
      <c r="B64" s="75" t="s">
        <v>401</v>
      </c>
      <c r="C64" s="11">
        <v>1</v>
      </c>
      <c r="D64" s="11" t="s">
        <v>442</v>
      </c>
      <c r="E64" s="11" t="s">
        <v>24</v>
      </c>
      <c r="F64" s="70"/>
    </row>
    <row r="65" spans="1:6" ht="16" x14ac:dyDescent="0.4">
      <c r="A65" s="8" t="s">
        <v>483</v>
      </c>
      <c r="B65" s="75" t="s">
        <v>403</v>
      </c>
      <c r="C65" s="11">
        <v>0</v>
      </c>
      <c r="D65" s="11" t="s">
        <v>439</v>
      </c>
      <c r="E65" s="11" t="s">
        <v>24</v>
      </c>
      <c r="F65" s="70"/>
    </row>
    <row r="66" spans="1:6" ht="16" x14ac:dyDescent="0.4">
      <c r="A66" s="8" t="s">
        <v>484</v>
      </c>
      <c r="B66" s="75" t="s">
        <v>405</v>
      </c>
      <c r="C66" s="11">
        <v>0</v>
      </c>
      <c r="D66" s="11" t="s">
        <v>442</v>
      </c>
      <c r="E66" s="11" t="s">
        <v>24</v>
      </c>
      <c r="F66" s="70"/>
    </row>
    <row r="67" spans="1:6" ht="16" x14ac:dyDescent="0.4">
      <c r="A67" s="147" t="s">
        <v>485</v>
      </c>
      <c r="B67" s="11" t="s">
        <v>272</v>
      </c>
      <c r="C67" s="11">
        <v>0</v>
      </c>
      <c r="D67" s="11" t="s">
        <v>436</v>
      </c>
      <c r="E67" s="11" t="s">
        <v>274</v>
      </c>
      <c r="F67" s="70" t="s">
        <v>175</v>
      </c>
    </row>
    <row r="68" spans="1:6" ht="16" x14ac:dyDescent="0.4">
      <c r="A68" s="147"/>
      <c r="B68" s="11" t="s">
        <v>276</v>
      </c>
      <c r="C68" s="11">
        <v>1</v>
      </c>
      <c r="D68" s="11" t="s">
        <v>436</v>
      </c>
      <c r="E68" s="11" t="s">
        <v>274</v>
      </c>
      <c r="F68" s="70" t="s">
        <v>175</v>
      </c>
    </row>
    <row r="69" spans="1:6" ht="16" x14ac:dyDescent="0.4">
      <c r="A69" s="152"/>
      <c r="B69" s="11" t="s">
        <v>277</v>
      </c>
      <c r="C69" s="11">
        <v>2</v>
      </c>
      <c r="D69" s="11" t="s">
        <v>436</v>
      </c>
      <c r="E69" s="11" t="s">
        <v>274</v>
      </c>
      <c r="F69" s="70" t="s">
        <v>175</v>
      </c>
    </row>
    <row r="70" spans="1:6" ht="16" x14ac:dyDescent="0.4">
      <c r="A70" s="73" t="s">
        <v>486</v>
      </c>
      <c r="B70" s="22" t="s">
        <v>279</v>
      </c>
      <c r="C70" s="22">
        <v>0</v>
      </c>
      <c r="D70" s="22" t="s">
        <v>439</v>
      </c>
      <c r="E70" s="22" t="s">
        <v>274</v>
      </c>
      <c r="F70" s="71" t="s">
        <v>175</v>
      </c>
    </row>
    <row r="71" spans="1:6" ht="16" x14ac:dyDescent="0.4">
      <c r="A71" s="147" t="s">
        <v>487</v>
      </c>
      <c r="B71" s="11" t="s">
        <v>280</v>
      </c>
      <c r="C71" s="11">
        <v>0</v>
      </c>
      <c r="D71" s="11" t="s">
        <v>442</v>
      </c>
      <c r="E71" s="11" t="s">
        <v>274</v>
      </c>
      <c r="F71" s="70" t="s">
        <v>175</v>
      </c>
    </row>
    <row r="72" spans="1:6" ht="16" x14ac:dyDescent="0.4">
      <c r="A72" s="147"/>
      <c r="B72" s="11" t="s">
        <v>281</v>
      </c>
      <c r="C72" s="11">
        <v>1</v>
      </c>
      <c r="D72" s="11" t="s">
        <v>442</v>
      </c>
      <c r="E72" s="11" t="s">
        <v>274</v>
      </c>
      <c r="F72" s="70" t="s">
        <v>175</v>
      </c>
    </row>
    <row r="73" spans="1:6" ht="16" x14ac:dyDescent="0.4">
      <c r="A73" s="8" t="s">
        <v>488</v>
      </c>
      <c r="B73" s="67" t="s">
        <v>283</v>
      </c>
      <c r="C73" s="11">
        <v>0</v>
      </c>
      <c r="D73" s="11" t="s">
        <v>439</v>
      </c>
      <c r="E73" s="11" t="s">
        <v>274</v>
      </c>
      <c r="F73" s="70" t="s">
        <v>175</v>
      </c>
    </row>
    <row r="74" spans="1:6" ht="16" x14ac:dyDescent="0.4">
      <c r="A74" s="8" t="s">
        <v>489</v>
      </c>
      <c r="B74" s="69" t="s">
        <v>490</v>
      </c>
      <c r="C74" s="68"/>
      <c r="D74" s="68" t="s">
        <v>436</v>
      </c>
      <c r="E74" s="68" t="s">
        <v>274</v>
      </c>
      <c r="F74" s="72" t="s">
        <v>175</v>
      </c>
    </row>
    <row r="75" spans="1:6" ht="16" x14ac:dyDescent="0.4">
      <c r="A75" s="147" t="s">
        <v>491</v>
      </c>
      <c r="B75" s="11" t="s">
        <v>289</v>
      </c>
      <c r="C75" s="11">
        <v>1</v>
      </c>
      <c r="D75" s="11" t="s">
        <v>439</v>
      </c>
      <c r="E75" s="11" t="s">
        <v>274</v>
      </c>
      <c r="F75" s="70" t="s">
        <v>175</v>
      </c>
    </row>
    <row r="76" spans="1:6" ht="16" x14ac:dyDescent="0.4">
      <c r="A76" s="147"/>
      <c r="B76" s="11" t="s">
        <v>291</v>
      </c>
      <c r="C76" s="11">
        <v>1</v>
      </c>
      <c r="D76" s="11" t="s">
        <v>439</v>
      </c>
      <c r="E76" s="11" t="s">
        <v>274</v>
      </c>
      <c r="F76" s="70" t="s">
        <v>175</v>
      </c>
    </row>
    <row r="77" spans="1:6" ht="16" x14ac:dyDescent="0.4">
      <c r="A77" s="9" t="s">
        <v>492</v>
      </c>
      <c r="B77" s="67" t="s">
        <v>287</v>
      </c>
      <c r="C77" s="11">
        <v>0</v>
      </c>
      <c r="D77" s="11" t="s">
        <v>442</v>
      </c>
      <c r="E77" s="11" t="s">
        <v>274</v>
      </c>
      <c r="F77" s="70" t="s">
        <v>175</v>
      </c>
    </row>
    <row r="78" spans="1:6" ht="16" x14ac:dyDescent="0.4">
      <c r="A78" s="147" t="s">
        <v>493</v>
      </c>
      <c r="B78" s="11" t="s">
        <v>293</v>
      </c>
      <c r="C78" s="11">
        <v>0</v>
      </c>
      <c r="D78" s="11" t="s">
        <v>436</v>
      </c>
      <c r="E78" s="11" t="s">
        <v>274</v>
      </c>
      <c r="F78" s="70"/>
    </row>
    <row r="79" spans="1:6" ht="16" x14ac:dyDescent="0.4">
      <c r="A79" s="152"/>
      <c r="B79" s="11" t="s">
        <v>295</v>
      </c>
      <c r="C79" s="11">
        <v>1</v>
      </c>
      <c r="D79" s="11" t="s">
        <v>436</v>
      </c>
      <c r="E79" s="11" t="s">
        <v>274</v>
      </c>
      <c r="F79" s="70" t="s">
        <v>175</v>
      </c>
    </row>
    <row r="80" spans="1:6" ht="16" x14ac:dyDescent="0.4">
      <c r="A80" s="8" t="s">
        <v>494</v>
      </c>
      <c r="B80" s="11" t="s">
        <v>297</v>
      </c>
      <c r="C80" s="11">
        <v>0</v>
      </c>
      <c r="D80" s="11" t="s">
        <v>439</v>
      </c>
      <c r="E80" s="11" t="s">
        <v>274</v>
      </c>
      <c r="F80" s="70" t="s">
        <v>175</v>
      </c>
    </row>
    <row r="81" spans="1:6" ht="16" x14ac:dyDescent="0.4">
      <c r="A81" s="147" t="s">
        <v>495</v>
      </c>
      <c r="B81" s="11" t="s">
        <v>300</v>
      </c>
      <c r="C81" s="11">
        <v>0</v>
      </c>
      <c r="D81" s="11" t="s">
        <v>442</v>
      </c>
      <c r="E81" s="11" t="s">
        <v>274</v>
      </c>
      <c r="F81" s="70"/>
    </row>
    <row r="82" spans="1:6" ht="16" x14ac:dyDescent="0.4">
      <c r="A82" s="152"/>
      <c r="B82" s="11" t="s">
        <v>302</v>
      </c>
      <c r="C82" s="11">
        <v>1</v>
      </c>
      <c r="D82" s="11" t="s">
        <v>442</v>
      </c>
      <c r="E82" s="11" t="s">
        <v>274</v>
      </c>
      <c r="F82" s="70" t="s">
        <v>175</v>
      </c>
    </row>
    <row r="83" spans="1:6" ht="16" x14ac:dyDescent="0.4">
      <c r="A83" s="149" t="s">
        <v>475</v>
      </c>
      <c r="B83" s="22" t="s">
        <v>496</v>
      </c>
      <c r="C83" s="22"/>
      <c r="D83" s="22" t="s">
        <v>436</v>
      </c>
      <c r="E83" s="22" t="s">
        <v>274</v>
      </c>
      <c r="F83" s="71" t="s">
        <v>175</v>
      </c>
    </row>
    <row r="84" spans="1:6" ht="16" x14ac:dyDescent="0.4">
      <c r="A84" s="151"/>
      <c r="B84" s="22" t="s">
        <v>497</v>
      </c>
      <c r="C84" s="22"/>
      <c r="D84" s="22" t="s">
        <v>436</v>
      </c>
      <c r="E84" s="22" t="s">
        <v>274</v>
      </c>
      <c r="F84" s="71" t="s">
        <v>175</v>
      </c>
    </row>
    <row r="85" spans="1:6" ht="16" x14ac:dyDescent="0.4">
      <c r="A85" s="74" t="s">
        <v>498</v>
      </c>
      <c r="B85" s="26" t="s">
        <v>499</v>
      </c>
      <c r="C85" s="26"/>
      <c r="D85" s="26" t="s">
        <v>439</v>
      </c>
      <c r="E85" s="26" t="s">
        <v>274</v>
      </c>
      <c r="F85" s="71" t="s">
        <v>500</v>
      </c>
    </row>
    <row r="86" spans="1:6" ht="16" x14ac:dyDescent="0.4">
      <c r="A86" s="9" t="s">
        <v>501</v>
      </c>
      <c r="B86" s="67" t="s">
        <v>311</v>
      </c>
      <c r="C86" s="11">
        <v>0</v>
      </c>
      <c r="D86" s="11" t="s">
        <v>442</v>
      </c>
      <c r="E86" s="11" t="s">
        <v>274</v>
      </c>
      <c r="F86" s="70" t="s">
        <v>175</v>
      </c>
    </row>
    <row r="87" spans="1:6" ht="16" x14ac:dyDescent="0.4">
      <c r="A87" s="9" t="s">
        <v>502</v>
      </c>
      <c r="B87" s="67" t="s">
        <v>314</v>
      </c>
      <c r="C87">
        <v>0</v>
      </c>
      <c r="D87" s="11" t="s">
        <v>439</v>
      </c>
      <c r="E87" s="11" t="s">
        <v>274</v>
      </c>
      <c r="F87" s="70" t="s">
        <v>175</v>
      </c>
    </row>
    <row r="88" spans="1:6" ht="16" x14ac:dyDescent="0.4">
      <c r="A88" s="149" t="s">
        <v>503</v>
      </c>
      <c r="B88" s="22" t="s">
        <v>504</v>
      </c>
      <c r="C88" s="22"/>
      <c r="D88" s="22" t="s">
        <v>439</v>
      </c>
      <c r="E88" s="22" t="s">
        <v>17</v>
      </c>
      <c r="F88" s="71" t="s">
        <v>175</v>
      </c>
    </row>
    <row r="89" spans="1:6" ht="16" x14ac:dyDescent="0.4">
      <c r="A89" s="151"/>
      <c r="B89" s="22" t="s">
        <v>505</v>
      </c>
      <c r="C89" s="22"/>
      <c r="D89" s="22" t="s">
        <v>439</v>
      </c>
      <c r="E89" s="22" t="s">
        <v>17</v>
      </c>
      <c r="F89" s="71" t="s">
        <v>175</v>
      </c>
    </row>
    <row r="90" spans="1:6" ht="16" x14ac:dyDescent="0.4">
      <c r="A90" s="147" t="s">
        <v>506</v>
      </c>
      <c r="B90" s="11" t="s">
        <v>323</v>
      </c>
      <c r="C90" s="11">
        <v>0</v>
      </c>
      <c r="D90" s="11" t="s">
        <v>436</v>
      </c>
      <c r="E90" s="11" t="s">
        <v>17</v>
      </c>
      <c r="F90" s="70" t="s">
        <v>175</v>
      </c>
    </row>
    <row r="91" spans="1:6" ht="16" x14ac:dyDescent="0.4">
      <c r="A91" s="147"/>
      <c r="B91" s="68" t="s">
        <v>320</v>
      </c>
      <c r="C91" s="11">
        <v>1</v>
      </c>
      <c r="D91" s="11" t="s">
        <v>436</v>
      </c>
      <c r="E91" s="11" t="s">
        <v>17</v>
      </c>
      <c r="F91" s="70" t="s">
        <v>175</v>
      </c>
    </row>
    <row r="92" spans="1:6" ht="16" x14ac:dyDescent="0.4">
      <c r="A92" s="147"/>
      <c r="B92" s="68" t="s">
        <v>320</v>
      </c>
      <c r="C92" s="11">
        <v>2</v>
      </c>
      <c r="D92" s="11" t="s">
        <v>436</v>
      </c>
      <c r="E92" s="11" t="s">
        <v>17</v>
      </c>
      <c r="F92" s="70"/>
    </row>
    <row r="93" spans="1:6" ht="16" x14ac:dyDescent="0.4">
      <c r="A93" s="152"/>
      <c r="B93" s="67" t="s">
        <v>321</v>
      </c>
      <c r="C93" s="11">
        <v>3</v>
      </c>
      <c r="D93" s="11" t="s">
        <v>436</v>
      </c>
      <c r="E93" s="11" t="s">
        <v>17</v>
      </c>
      <c r="F93" s="70" t="s">
        <v>175</v>
      </c>
    </row>
    <row r="94" spans="1:6" ht="16" x14ac:dyDescent="0.4">
      <c r="A94" s="147" t="s">
        <v>507</v>
      </c>
      <c r="B94" s="11" t="s">
        <v>326</v>
      </c>
      <c r="C94" s="11">
        <v>0</v>
      </c>
      <c r="D94" s="11" t="s">
        <v>442</v>
      </c>
      <c r="E94" s="11" t="s">
        <v>17</v>
      </c>
      <c r="F94" s="70" t="s">
        <v>175</v>
      </c>
    </row>
    <row r="95" spans="1:6" ht="16" x14ac:dyDescent="0.4">
      <c r="A95" s="147"/>
      <c r="B95" s="11" t="s">
        <v>328</v>
      </c>
      <c r="C95" s="11">
        <v>1</v>
      </c>
      <c r="D95" s="11" t="s">
        <v>442</v>
      </c>
      <c r="E95" s="11" t="s">
        <v>17</v>
      </c>
      <c r="F95" s="70" t="s">
        <v>175</v>
      </c>
    </row>
    <row r="96" spans="1:6" ht="16" x14ac:dyDescent="0.4">
      <c r="A96" s="148"/>
      <c r="B96" s="67" t="s">
        <v>331</v>
      </c>
      <c r="C96" s="11">
        <v>2</v>
      </c>
      <c r="D96" s="11" t="s">
        <v>442</v>
      </c>
      <c r="E96" s="11" t="s">
        <v>17</v>
      </c>
      <c r="F96" s="70" t="s">
        <v>175</v>
      </c>
    </row>
    <row r="97" spans="1:6" ht="16" x14ac:dyDescent="0.4">
      <c r="A97" s="11" t="s">
        <v>508</v>
      </c>
      <c r="B97" s="11" t="s">
        <v>332</v>
      </c>
      <c r="C97" s="11">
        <v>0</v>
      </c>
      <c r="D97" s="11" t="s">
        <v>439</v>
      </c>
      <c r="E97" s="11" t="s">
        <v>17</v>
      </c>
      <c r="F97" s="70" t="s">
        <v>175</v>
      </c>
    </row>
    <row r="98" spans="1:6" ht="16" x14ac:dyDescent="0.4">
      <c r="A98" s="145" t="s">
        <v>509</v>
      </c>
      <c r="B98" s="67" t="s">
        <v>339</v>
      </c>
      <c r="C98" s="11">
        <v>0</v>
      </c>
      <c r="D98" s="11" t="s">
        <v>442</v>
      </c>
      <c r="E98" s="11" t="s">
        <v>17</v>
      </c>
      <c r="F98" s="70" t="s">
        <v>175</v>
      </c>
    </row>
    <row r="99" spans="1:6" ht="16" x14ac:dyDescent="0.4">
      <c r="A99" s="145"/>
      <c r="B99" s="11" t="s">
        <v>343</v>
      </c>
      <c r="C99" s="11">
        <v>1</v>
      </c>
      <c r="D99" s="11" t="s">
        <v>442</v>
      </c>
      <c r="E99" s="11" t="s">
        <v>17</v>
      </c>
      <c r="F99" s="70" t="s">
        <v>175</v>
      </c>
    </row>
    <row r="100" spans="1:6" ht="16" x14ac:dyDescent="0.4">
      <c r="A100" s="146"/>
      <c r="B100" s="11" t="s">
        <v>341</v>
      </c>
      <c r="C100" s="11">
        <v>2</v>
      </c>
      <c r="D100" s="11" t="s">
        <v>442</v>
      </c>
      <c r="E100" s="11" t="s">
        <v>17</v>
      </c>
      <c r="F100" s="70" t="s">
        <v>175</v>
      </c>
    </row>
    <row r="101" spans="1:6" ht="16" x14ac:dyDescent="0.4">
      <c r="A101" s="11" t="s">
        <v>510</v>
      </c>
      <c r="B101" s="67" t="s">
        <v>335</v>
      </c>
      <c r="C101" s="11">
        <v>0</v>
      </c>
      <c r="D101" s="11" t="s">
        <v>439</v>
      </c>
      <c r="E101" s="11" t="s">
        <v>17</v>
      </c>
      <c r="F101" s="70" t="s">
        <v>175</v>
      </c>
    </row>
    <row r="102" spans="1:6" ht="16" x14ac:dyDescent="0.4">
      <c r="A102" s="147" t="s">
        <v>511</v>
      </c>
      <c r="B102" s="11" t="s">
        <v>345</v>
      </c>
      <c r="C102" s="11">
        <v>0</v>
      </c>
      <c r="D102" s="11" t="s">
        <v>442</v>
      </c>
      <c r="E102" s="11" t="s">
        <v>17</v>
      </c>
      <c r="F102" s="70" t="s">
        <v>512</v>
      </c>
    </row>
    <row r="103" spans="1:6" ht="16" x14ac:dyDescent="0.4">
      <c r="A103" s="147"/>
      <c r="B103" s="11" t="s">
        <v>347</v>
      </c>
      <c r="C103" s="11">
        <v>1</v>
      </c>
      <c r="D103" s="11" t="s">
        <v>442</v>
      </c>
      <c r="E103" s="11" t="s">
        <v>17</v>
      </c>
      <c r="F103" s="70" t="s">
        <v>513</v>
      </c>
    </row>
    <row r="104" spans="1:6" ht="16" x14ac:dyDescent="0.4">
      <c r="A104" s="148"/>
      <c r="B104" s="11" t="s">
        <v>349</v>
      </c>
      <c r="C104" s="11">
        <v>2</v>
      </c>
      <c r="D104" s="11" t="s">
        <v>442</v>
      </c>
      <c r="E104" s="11" t="s">
        <v>17</v>
      </c>
      <c r="F104" s="70" t="s">
        <v>175</v>
      </c>
    </row>
    <row r="105" spans="1:6" ht="16" x14ac:dyDescent="0.4">
      <c r="A105" s="149" t="s">
        <v>514</v>
      </c>
      <c r="B105" s="22" t="s">
        <v>515</v>
      </c>
      <c r="C105" s="22"/>
      <c r="D105" s="22" t="s">
        <v>442</v>
      </c>
      <c r="E105" s="22" t="s">
        <v>17</v>
      </c>
      <c r="F105" s="71" t="s">
        <v>175</v>
      </c>
    </row>
    <row r="106" spans="1:6" ht="16" x14ac:dyDescent="0.4">
      <c r="A106" s="149"/>
      <c r="B106" s="22" t="s">
        <v>122</v>
      </c>
      <c r="C106" s="22"/>
      <c r="D106" s="22" t="s">
        <v>442</v>
      </c>
      <c r="E106" s="22" t="s">
        <v>17</v>
      </c>
      <c r="F106" s="71" t="s">
        <v>516</v>
      </c>
    </row>
    <row r="107" spans="1:6" ht="16" x14ac:dyDescent="0.4">
      <c r="A107" s="149"/>
      <c r="B107" s="22" t="s">
        <v>74</v>
      </c>
      <c r="C107" s="22"/>
      <c r="D107" s="22" t="s">
        <v>442</v>
      </c>
      <c r="E107" s="22" t="s">
        <v>17</v>
      </c>
      <c r="F107" s="71" t="s">
        <v>513</v>
      </c>
    </row>
    <row r="108" spans="1:6" ht="16" x14ac:dyDescent="0.4">
      <c r="A108" s="150"/>
      <c r="B108" s="22" t="s">
        <v>517</v>
      </c>
      <c r="C108" s="22"/>
      <c r="D108" s="22" t="s">
        <v>442</v>
      </c>
      <c r="E108" s="22" t="s">
        <v>17</v>
      </c>
      <c r="F108" s="71" t="s">
        <v>175</v>
      </c>
    </row>
    <row r="109" spans="1:6" ht="16" x14ac:dyDescent="0.4">
      <c r="A109" s="9" t="s">
        <v>518</v>
      </c>
      <c r="B109" s="11" t="s">
        <v>364</v>
      </c>
      <c r="C109" s="11">
        <v>0</v>
      </c>
      <c r="D109" s="11" t="s">
        <v>436</v>
      </c>
      <c r="E109" s="11" t="s">
        <v>17</v>
      </c>
      <c r="F109" s="70" t="s">
        <v>519</v>
      </c>
    </row>
    <row r="110" spans="1:6" ht="16" x14ac:dyDescent="0.4">
      <c r="A110" s="9" t="s">
        <v>520</v>
      </c>
      <c r="B110" s="11" t="s">
        <v>362</v>
      </c>
      <c r="C110" s="11">
        <v>0</v>
      </c>
      <c r="D110" s="11" t="s">
        <v>439</v>
      </c>
      <c r="E110" s="11" t="s">
        <v>17</v>
      </c>
      <c r="F110" s="70" t="s">
        <v>175</v>
      </c>
    </row>
    <row r="111" spans="1:6" ht="16" x14ac:dyDescent="0.4">
      <c r="A111" s="9" t="s">
        <v>521</v>
      </c>
      <c r="B111" s="11" t="s">
        <v>360</v>
      </c>
      <c r="C111" s="11">
        <v>0</v>
      </c>
      <c r="D111" s="11" t="s">
        <v>442</v>
      </c>
      <c r="E111" s="11" t="s">
        <v>17</v>
      </c>
      <c r="F111" s="70" t="s">
        <v>522</v>
      </c>
    </row>
    <row r="112" spans="1:6" ht="16" x14ac:dyDescent="0.4">
      <c r="A112" s="73" t="s">
        <v>475</v>
      </c>
      <c r="B112" s="22" t="s">
        <v>123</v>
      </c>
      <c r="C112" s="22"/>
      <c r="D112" s="22" t="s">
        <v>436</v>
      </c>
      <c r="E112" s="22" t="s">
        <v>17</v>
      </c>
      <c r="F112" s="71" t="s">
        <v>175</v>
      </c>
    </row>
    <row r="113" spans="1:7" ht="16" x14ac:dyDescent="0.4">
      <c r="A113" s="73" t="s">
        <v>475</v>
      </c>
      <c r="B113" s="26" t="s">
        <v>523</v>
      </c>
      <c r="C113" s="26"/>
      <c r="D113" s="22" t="s">
        <v>436</v>
      </c>
      <c r="E113" s="22" t="s">
        <v>17</v>
      </c>
      <c r="F113" s="71" t="s">
        <v>524</v>
      </c>
    </row>
    <row r="114" spans="1:7" ht="16" x14ac:dyDescent="0.4">
      <c r="A114" s="73" t="s">
        <v>525</v>
      </c>
      <c r="B114" s="22" t="s">
        <v>496</v>
      </c>
      <c r="C114" s="22"/>
      <c r="D114" s="22" t="s">
        <v>436</v>
      </c>
      <c r="E114" s="22" t="s">
        <v>17</v>
      </c>
      <c r="F114" s="71" t="s">
        <v>175</v>
      </c>
    </row>
    <row r="115" spans="1:7" ht="16" x14ac:dyDescent="0.4">
      <c r="A115" s="73" t="s">
        <v>525</v>
      </c>
      <c r="B115" s="22" t="s">
        <v>523</v>
      </c>
      <c r="C115" s="22"/>
      <c r="D115" s="22" t="s">
        <v>436</v>
      </c>
      <c r="E115" s="22" t="s">
        <v>17</v>
      </c>
      <c r="F115" s="71" t="s">
        <v>175</v>
      </c>
    </row>
    <row r="116" spans="1:7" ht="16" x14ac:dyDescent="0.4">
      <c r="A116" s="73" t="s">
        <v>526</v>
      </c>
      <c r="B116" s="22" t="s">
        <v>499</v>
      </c>
      <c r="C116" s="22"/>
      <c r="D116" s="22" t="s">
        <v>439</v>
      </c>
      <c r="E116" s="22" t="s">
        <v>17</v>
      </c>
      <c r="F116" s="71" t="s">
        <v>512</v>
      </c>
    </row>
    <row r="117" spans="1:7" ht="16" x14ac:dyDescent="0.4">
      <c r="A117" s="9" t="s">
        <v>527</v>
      </c>
      <c r="B117" s="67" t="s">
        <v>377</v>
      </c>
      <c r="C117" s="11">
        <v>0</v>
      </c>
      <c r="D117" s="11" t="s">
        <v>442</v>
      </c>
      <c r="E117" s="11" t="s">
        <v>17</v>
      </c>
      <c r="F117" s="70" t="s">
        <v>528</v>
      </c>
    </row>
    <row r="118" spans="1:7" ht="16" x14ac:dyDescent="0.4">
      <c r="A118" s="9" t="s">
        <v>529</v>
      </c>
      <c r="B118" s="67" t="s">
        <v>378</v>
      </c>
      <c r="C118" s="11">
        <v>0</v>
      </c>
      <c r="D118" s="11" t="s">
        <v>439</v>
      </c>
      <c r="E118" s="11" t="s">
        <v>17</v>
      </c>
      <c r="F118" s="70" t="s">
        <v>530</v>
      </c>
    </row>
    <row r="119" spans="1:7" ht="16" x14ac:dyDescent="0.4">
      <c r="A119" s="9" t="s">
        <v>531</v>
      </c>
      <c r="B119" s="67" t="s">
        <v>380</v>
      </c>
      <c r="C119" s="11">
        <v>0</v>
      </c>
      <c r="D119" s="11" t="s">
        <v>442</v>
      </c>
      <c r="E119" s="11" t="s">
        <v>17</v>
      </c>
      <c r="F119" s="70" t="s">
        <v>530</v>
      </c>
    </row>
    <row r="120" spans="1:7" ht="16" x14ac:dyDescent="0.4">
      <c r="A120" s="11" t="s">
        <v>531</v>
      </c>
      <c r="B120" s="67" t="s">
        <v>382</v>
      </c>
      <c r="C120" s="11">
        <v>0</v>
      </c>
      <c r="D120" s="11" t="s">
        <v>442</v>
      </c>
      <c r="E120" s="11" t="s">
        <v>17</v>
      </c>
      <c r="F120" s="70" t="s">
        <v>530</v>
      </c>
    </row>
    <row r="121" spans="1:7" ht="16" x14ac:dyDescent="0.4">
      <c r="A121" s="63"/>
      <c r="B121" s="63" t="s">
        <v>175</v>
      </c>
      <c r="C121" s="63"/>
      <c r="D121" s="63" t="s">
        <v>175</v>
      </c>
      <c r="E121" s="63" t="s">
        <v>175</v>
      </c>
      <c r="F121" s="82" t="s">
        <v>175</v>
      </c>
      <c r="G121" s="63" t="s">
        <v>175</v>
      </c>
    </row>
    <row r="122" spans="1:7" ht="16" x14ac:dyDescent="0.4">
      <c r="A122" s="63"/>
      <c r="B122" s="63"/>
      <c r="C122" s="63"/>
      <c r="D122" s="63" t="s">
        <v>175</v>
      </c>
      <c r="E122" s="63" t="s">
        <v>175</v>
      </c>
      <c r="F122" s="82" t="s">
        <v>175</v>
      </c>
      <c r="G122" s="63" t="s">
        <v>175</v>
      </c>
    </row>
    <row r="123" spans="1:7" ht="16" x14ac:dyDescent="0.4">
      <c r="A123" s="12" t="s">
        <v>532</v>
      </c>
      <c r="B123" s="128" t="s">
        <v>417</v>
      </c>
      <c r="C123" s="12">
        <v>0</v>
      </c>
      <c r="D123" s="12" t="s">
        <v>439</v>
      </c>
      <c r="E123" s="12" t="s">
        <v>17</v>
      </c>
      <c r="F123" s="129" t="s">
        <v>175</v>
      </c>
    </row>
    <row r="124" spans="1:7" ht="16" x14ac:dyDescent="0.4">
      <c r="A124" s="157" t="s">
        <v>533</v>
      </c>
      <c r="B124" s="119" t="s">
        <v>422</v>
      </c>
      <c r="C124" s="130">
        <v>0</v>
      </c>
      <c r="D124" s="130" t="s">
        <v>442</v>
      </c>
      <c r="E124" s="130" t="s">
        <v>17</v>
      </c>
      <c r="F124" s="131" t="s">
        <v>175</v>
      </c>
      <c r="G124" s="63" t="s">
        <v>175</v>
      </c>
    </row>
    <row r="125" spans="1:7" ht="16" x14ac:dyDescent="0.4">
      <c r="A125" s="158"/>
      <c r="B125" s="119" t="s">
        <v>424</v>
      </c>
      <c r="C125" s="130">
        <v>1</v>
      </c>
      <c r="D125" s="130" t="s">
        <v>442</v>
      </c>
      <c r="E125" s="132" t="s">
        <v>17</v>
      </c>
      <c r="F125" s="131" t="s">
        <v>175</v>
      </c>
      <c r="G125" s="63" t="s">
        <v>175</v>
      </c>
    </row>
    <row r="126" spans="1:7" ht="16" x14ac:dyDescent="0.4">
      <c r="A126" s="159"/>
      <c r="B126" s="119" t="s">
        <v>426</v>
      </c>
      <c r="C126" s="130">
        <v>2</v>
      </c>
      <c r="D126" s="130" t="s">
        <v>442</v>
      </c>
      <c r="E126" s="132" t="s">
        <v>17</v>
      </c>
      <c r="F126" s="131" t="s">
        <v>175</v>
      </c>
      <c r="G126" s="63" t="s">
        <v>175</v>
      </c>
    </row>
    <row r="127" spans="1:7" ht="16" x14ac:dyDescent="0.4">
      <c r="A127" s="63"/>
      <c r="B127" s="63" t="s">
        <v>175</v>
      </c>
      <c r="C127" s="63"/>
      <c r="D127" s="63" t="s">
        <v>175</v>
      </c>
      <c r="E127" s="63" t="s">
        <v>175</v>
      </c>
      <c r="F127" s="82" t="s">
        <v>175</v>
      </c>
      <c r="G127" s="63" t="s">
        <v>175</v>
      </c>
    </row>
    <row r="128" spans="1:7" ht="15.75" customHeight="1" x14ac:dyDescent="0.4">
      <c r="A128" s="62"/>
      <c r="B128" s="62"/>
      <c r="C128" s="62"/>
      <c r="D128" s="62"/>
      <c r="E128" s="62"/>
      <c r="F128" s="62"/>
    </row>
    <row r="129" spans="1:6" ht="15.75" customHeight="1" x14ac:dyDescent="0.4">
      <c r="A129" s="153"/>
      <c r="B129" s="121"/>
      <c r="C129" s="62"/>
      <c r="D129" s="62"/>
      <c r="E129" s="62"/>
      <c r="F129" s="62"/>
    </row>
    <row r="130" spans="1:6" ht="15.75" customHeight="1" x14ac:dyDescent="0.4">
      <c r="A130" s="153"/>
      <c r="B130" s="121"/>
      <c r="C130" s="62"/>
      <c r="D130" s="62"/>
      <c r="E130" s="62"/>
      <c r="F130" s="62"/>
    </row>
    <row r="131" spans="1:6" ht="15.75" customHeight="1" x14ac:dyDescent="0.4">
      <c r="A131" s="62"/>
      <c r="B131" s="121"/>
      <c r="C131" s="62"/>
      <c r="D131" s="62"/>
      <c r="E131" s="62"/>
      <c r="F131" s="62"/>
    </row>
    <row r="132" spans="1:6" ht="15.75" customHeight="1" x14ac:dyDescent="0.4">
      <c r="A132" s="62"/>
      <c r="B132" s="121"/>
      <c r="C132" s="62"/>
      <c r="D132" s="62"/>
      <c r="E132" s="62"/>
      <c r="F132" s="62"/>
    </row>
    <row r="133" spans="1:6" ht="15.75" customHeight="1" x14ac:dyDescent="0.4">
      <c r="A133" s="62"/>
      <c r="B133" s="121"/>
      <c r="C133" s="62"/>
      <c r="D133" s="62"/>
      <c r="E133" s="62"/>
      <c r="F133" s="62"/>
    </row>
    <row r="134" spans="1:6" ht="15.75" customHeight="1" x14ac:dyDescent="0.4">
      <c r="A134" s="62"/>
      <c r="B134" s="62"/>
      <c r="C134" s="62"/>
      <c r="D134" s="62"/>
      <c r="E134" s="62"/>
      <c r="F134" s="62"/>
    </row>
    <row r="135" spans="1:6" ht="15.75" customHeight="1" x14ac:dyDescent="0.4">
      <c r="A135" s="62"/>
      <c r="B135" s="62"/>
      <c r="C135" s="62"/>
      <c r="D135" s="62"/>
      <c r="E135" s="62"/>
      <c r="F135" s="62"/>
    </row>
    <row r="136" spans="1:6" ht="15.75" customHeight="1" x14ac:dyDescent="0.4">
      <c r="A136" s="62"/>
      <c r="B136" s="62"/>
      <c r="C136" s="62"/>
      <c r="D136" s="62"/>
      <c r="E136" s="62"/>
      <c r="F136" s="62"/>
    </row>
    <row r="137" spans="1:6" ht="15.75" customHeight="1" x14ac:dyDescent="0.4">
      <c r="A137" s="62"/>
      <c r="B137" s="62"/>
      <c r="C137" s="62"/>
      <c r="D137" s="62"/>
      <c r="E137" s="62"/>
      <c r="F137" s="62"/>
    </row>
    <row r="138" spans="1:6" ht="15.75" customHeight="1" x14ac:dyDescent="0.4">
      <c r="A138" s="62"/>
      <c r="B138" s="62"/>
      <c r="C138" s="62"/>
      <c r="D138" s="62"/>
      <c r="E138" s="62"/>
      <c r="F138" s="62"/>
    </row>
    <row r="139" spans="1:6" ht="15.75" customHeight="1" x14ac:dyDescent="0.4">
      <c r="A139" s="62"/>
      <c r="B139" s="62"/>
      <c r="C139" s="62"/>
      <c r="D139" s="62"/>
      <c r="E139" s="62"/>
      <c r="F139" s="62"/>
    </row>
    <row r="140" spans="1:6" ht="15.75" customHeight="1" x14ac:dyDescent="0.4">
      <c r="A140" s="62"/>
      <c r="B140" s="62"/>
      <c r="C140" s="62"/>
      <c r="D140" s="62"/>
      <c r="E140" s="62"/>
      <c r="F140" s="62"/>
    </row>
    <row r="141" spans="1:6" ht="15.75" customHeight="1" x14ac:dyDescent="0.4">
      <c r="A141" s="62"/>
      <c r="B141" s="62"/>
      <c r="C141" s="62"/>
      <c r="D141" s="62"/>
      <c r="E141" s="62"/>
      <c r="F141" s="62"/>
    </row>
    <row r="142" spans="1:6" ht="15.75" customHeight="1" x14ac:dyDescent="0.4">
      <c r="A142" s="62"/>
      <c r="B142" s="62"/>
      <c r="C142" s="62"/>
      <c r="D142" s="62"/>
      <c r="E142" s="62"/>
      <c r="F142" s="62"/>
    </row>
    <row r="143" spans="1:6" ht="15.75" customHeight="1" x14ac:dyDescent="0.4">
      <c r="A143" s="62"/>
      <c r="B143" s="62"/>
      <c r="C143" s="62"/>
      <c r="D143" s="62"/>
      <c r="E143" s="62"/>
      <c r="F143" s="62"/>
    </row>
    <row r="144" spans="1:6" ht="15.75" customHeight="1" x14ac:dyDescent="0.4">
      <c r="A144" s="62"/>
      <c r="B144" s="62"/>
      <c r="C144" s="62"/>
      <c r="D144" s="62"/>
      <c r="E144" s="62"/>
      <c r="F144" s="62"/>
    </row>
    <row r="145" spans="1:6" ht="15.75" customHeight="1" x14ac:dyDescent="0.4">
      <c r="A145" s="62"/>
      <c r="B145" s="62"/>
      <c r="C145" s="62"/>
      <c r="D145" s="62"/>
      <c r="E145" s="62"/>
      <c r="F145" s="62"/>
    </row>
    <row r="146" spans="1:6" ht="15.75" customHeight="1" x14ac:dyDescent="0.4">
      <c r="A146" s="62"/>
      <c r="B146" s="62"/>
      <c r="C146" s="62"/>
      <c r="D146" s="62"/>
      <c r="E146" s="62"/>
      <c r="F146" s="62"/>
    </row>
    <row r="147" spans="1:6" ht="15.75" customHeight="1" x14ac:dyDescent="0.4">
      <c r="A147" s="62"/>
      <c r="B147" s="62"/>
      <c r="C147" s="62"/>
      <c r="D147" s="62"/>
      <c r="E147" s="62"/>
      <c r="F147" s="62"/>
    </row>
    <row r="148" spans="1:6" ht="15.75" customHeight="1" x14ac:dyDescent="0.4">
      <c r="A148" s="62"/>
      <c r="B148" s="62"/>
      <c r="C148" s="62"/>
      <c r="D148" s="62"/>
      <c r="E148" s="62"/>
      <c r="F148" s="62"/>
    </row>
    <row r="149" spans="1:6" ht="15.75" customHeight="1" x14ac:dyDescent="0.4">
      <c r="A149" s="62"/>
      <c r="B149" s="62"/>
      <c r="C149" s="62"/>
      <c r="D149" s="62"/>
      <c r="E149" s="62"/>
      <c r="F149" s="62"/>
    </row>
    <row r="150" spans="1:6" ht="15.75" customHeight="1" x14ac:dyDescent="0.4">
      <c r="A150" s="62"/>
      <c r="B150" s="62"/>
      <c r="C150" s="62"/>
      <c r="D150" s="62"/>
      <c r="E150" s="62"/>
      <c r="F150" s="62"/>
    </row>
    <row r="151" spans="1:6" ht="15.75" customHeight="1" x14ac:dyDescent="0.4">
      <c r="A151" s="62"/>
      <c r="B151" s="62"/>
      <c r="C151" s="62"/>
      <c r="D151" s="62"/>
      <c r="E151" s="62"/>
      <c r="F151" s="62"/>
    </row>
    <row r="152" spans="1:6" ht="15.75" customHeight="1" x14ac:dyDescent="0.4">
      <c r="A152" s="62"/>
      <c r="B152" s="62"/>
      <c r="C152" s="62"/>
      <c r="D152" s="62"/>
      <c r="E152" s="62"/>
      <c r="F152" s="62"/>
    </row>
    <row r="153" spans="1:6" ht="15.75" customHeight="1" x14ac:dyDescent="0.4">
      <c r="A153" s="62"/>
      <c r="B153" s="62"/>
      <c r="C153" s="62"/>
      <c r="D153" s="62"/>
      <c r="E153" s="62"/>
      <c r="F153" s="62"/>
    </row>
    <row r="154" spans="1:6" ht="15.75" customHeight="1" x14ac:dyDescent="0.4">
      <c r="A154" s="62"/>
      <c r="B154" s="62"/>
      <c r="C154" s="62"/>
      <c r="D154" s="62"/>
      <c r="E154" s="62"/>
      <c r="F154" s="62"/>
    </row>
    <row r="155" spans="1:6" ht="15.75" customHeight="1" x14ac:dyDescent="0.4">
      <c r="A155" s="62"/>
      <c r="B155" s="62"/>
      <c r="C155" s="62"/>
      <c r="D155" s="62"/>
      <c r="E155" s="62"/>
      <c r="F155" s="62"/>
    </row>
    <row r="156" spans="1:6" ht="15.75" customHeight="1" x14ac:dyDescent="0.4">
      <c r="A156" s="62"/>
      <c r="B156" s="62"/>
      <c r="C156" s="62"/>
      <c r="D156" s="62"/>
      <c r="E156" s="62"/>
      <c r="F156" s="62"/>
    </row>
    <row r="157" spans="1:6" ht="15.75" customHeight="1" x14ac:dyDescent="0.4">
      <c r="A157" s="62"/>
      <c r="B157" s="62"/>
      <c r="C157" s="62"/>
      <c r="D157" s="62"/>
      <c r="E157" s="62"/>
      <c r="F157" s="62"/>
    </row>
    <row r="158" spans="1:6" ht="15.75" customHeight="1" x14ac:dyDescent="0.4">
      <c r="A158" s="62"/>
      <c r="B158" s="62"/>
      <c r="C158" s="62"/>
      <c r="D158" s="62"/>
      <c r="E158" s="62"/>
      <c r="F158" s="62"/>
    </row>
    <row r="159" spans="1:6" ht="15.75" customHeight="1" x14ac:dyDescent="0.4">
      <c r="A159" s="62"/>
      <c r="B159" s="62"/>
      <c r="C159" s="62"/>
      <c r="D159" s="62"/>
      <c r="E159" s="62"/>
      <c r="F159" s="62"/>
    </row>
    <row r="160" spans="1:6" ht="15.75" customHeight="1" x14ac:dyDescent="0.4">
      <c r="A160" s="62"/>
      <c r="B160" s="62"/>
      <c r="C160" s="62"/>
      <c r="D160" s="62"/>
      <c r="E160" s="62"/>
      <c r="F160" s="62"/>
    </row>
    <row r="161" spans="1:6" ht="15.75" customHeight="1" x14ac:dyDescent="0.4">
      <c r="A161" s="62"/>
      <c r="B161" s="62"/>
      <c r="C161" s="62"/>
      <c r="D161" s="62"/>
      <c r="E161" s="62"/>
      <c r="F161" s="62"/>
    </row>
    <row r="162" spans="1:6" ht="15.75" customHeight="1" x14ac:dyDescent="0.4">
      <c r="A162" s="62"/>
      <c r="B162" s="62"/>
      <c r="C162" s="62"/>
      <c r="D162" s="62"/>
      <c r="E162" s="62"/>
      <c r="F162" s="62"/>
    </row>
    <row r="163" spans="1:6" ht="15.75" customHeight="1" x14ac:dyDescent="0.4">
      <c r="A163" s="62"/>
      <c r="B163" s="62"/>
      <c r="C163" s="62"/>
      <c r="D163" s="62"/>
      <c r="E163" s="62"/>
      <c r="F163" s="62"/>
    </row>
    <row r="164" spans="1:6" ht="15.75" customHeight="1" x14ac:dyDescent="0.4">
      <c r="A164" s="62"/>
      <c r="B164" s="62"/>
      <c r="C164" s="62"/>
      <c r="D164" s="62"/>
      <c r="E164" s="62"/>
      <c r="F164" s="62"/>
    </row>
    <row r="165" spans="1:6" ht="15.75" customHeight="1" x14ac:dyDescent="0.4">
      <c r="A165" s="62"/>
      <c r="B165" s="62"/>
      <c r="C165" s="62"/>
      <c r="D165" s="62"/>
      <c r="E165" s="62"/>
      <c r="F165" s="62"/>
    </row>
    <row r="166" spans="1:6" ht="15.75" customHeight="1" x14ac:dyDescent="0.4">
      <c r="A166" s="62"/>
      <c r="B166" s="62"/>
      <c r="C166" s="62"/>
      <c r="D166" s="62"/>
      <c r="E166" s="62"/>
      <c r="F166" s="62"/>
    </row>
    <row r="167" spans="1:6" ht="15.75" customHeight="1" x14ac:dyDescent="0.4">
      <c r="A167" s="62"/>
      <c r="B167" s="62"/>
      <c r="C167" s="62"/>
      <c r="D167" s="62"/>
      <c r="E167" s="62"/>
      <c r="F167" s="62"/>
    </row>
    <row r="168" spans="1:6" ht="15.75" customHeight="1" x14ac:dyDescent="0.4">
      <c r="A168" s="62"/>
      <c r="B168" s="62"/>
      <c r="C168" s="62"/>
      <c r="D168" s="62"/>
      <c r="E168" s="62"/>
      <c r="F168" s="62"/>
    </row>
    <row r="169" spans="1:6" ht="15.75" customHeight="1" x14ac:dyDescent="0.4">
      <c r="A169" s="62"/>
      <c r="B169" s="62"/>
      <c r="C169" s="62"/>
      <c r="D169" s="62"/>
      <c r="E169" s="62"/>
      <c r="F169" s="62"/>
    </row>
    <row r="170" spans="1:6" ht="15.75" customHeight="1" x14ac:dyDescent="0.4">
      <c r="A170" s="62"/>
      <c r="B170" s="62"/>
      <c r="C170" s="62"/>
      <c r="D170" s="62"/>
      <c r="E170" s="62"/>
      <c r="F170" s="62"/>
    </row>
    <row r="171" spans="1:6" ht="15.75" customHeight="1" x14ac:dyDescent="0.4">
      <c r="A171" s="62"/>
      <c r="B171" s="62"/>
      <c r="C171" s="62"/>
      <c r="D171" s="62"/>
      <c r="E171" s="62"/>
      <c r="F171" s="62"/>
    </row>
    <row r="172" spans="1:6" ht="15.75" customHeight="1" x14ac:dyDescent="0.4">
      <c r="A172" s="62"/>
      <c r="B172" s="62"/>
      <c r="C172" s="62"/>
      <c r="D172" s="62"/>
      <c r="E172" s="62"/>
      <c r="F172" s="62"/>
    </row>
    <row r="173" spans="1:6" ht="15.75" customHeight="1" x14ac:dyDescent="0.4">
      <c r="A173" s="62"/>
      <c r="B173" s="62"/>
      <c r="C173" s="62"/>
      <c r="D173" s="62"/>
      <c r="E173" s="62"/>
      <c r="F173" s="62"/>
    </row>
    <row r="174" spans="1:6" ht="15.75" customHeight="1" x14ac:dyDescent="0.4">
      <c r="A174" s="62"/>
      <c r="B174" s="62"/>
      <c r="C174" s="62"/>
      <c r="D174" s="62"/>
      <c r="E174" s="62"/>
      <c r="F174" s="62"/>
    </row>
    <row r="175" spans="1:6" ht="15.75" customHeight="1" x14ac:dyDescent="0.4">
      <c r="A175" s="62"/>
      <c r="B175" s="62"/>
      <c r="C175" s="62"/>
      <c r="D175" s="62"/>
      <c r="E175" s="62"/>
      <c r="F175" s="62"/>
    </row>
    <row r="176" spans="1:6" ht="15.75" customHeight="1" x14ac:dyDescent="0.4">
      <c r="A176" s="62"/>
      <c r="B176" s="62"/>
      <c r="C176" s="62"/>
      <c r="D176" s="62"/>
      <c r="E176" s="62"/>
      <c r="F176" s="62"/>
    </row>
    <row r="177" spans="1:6" ht="15.75" customHeight="1" x14ac:dyDescent="0.4">
      <c r="A177" s="62"/>
      <c r="B177" s="62"/>
      <c r="C177" s="62"/>
      <c r="D177" s="62"/>
      <c r="E177" s="62"/>
      <c r="F177" s="62"/>
    </row>
    <row r="178" spans="1:6" ht="15.75" customHeight="1" x14ac:dyDescent="0.4">
      <c r="A178" s="62"/>
      <c r="B178" s="62"/>
      <c r="C178" s="62"/>
      <c r="D178" s="62"/>
      <c r="E178" s="62"/>
      <c r="F178" s="62"/>
    </row>
    <row r="179" spans="1:6" ht="15.75" customHeight="1" x14ac:dyDescent="0.4">
      <c r="A179" s="62"/>
      <c r="B179" s="62"/>
      <c r="C179" s="62"/>
      <c r="D179" s="62"/>
      <c r="E179" s="62"/>
      <c r="F179" s="62"/>
    </row>
    <row r="180" spans="1:6" ht="15.75" customHeight="1" x14ac:dyDescent="0.4">
      <c r="A180" s="62"/>
      <c r="B180" s="62"/>
      <c r="C180" s="62"/>
      <c r="D180" s="62"/>
      <c r="E180" s="62"/>
      <c r="F180" s="62"/>
    </row>
    <row r="181" spans="1:6" ht="15.75" customHeight="1" x14ac:dyDescent="0.4">
      <c r="A181" s="62"/>
      <c r="B181" s="62"/>
      <c r="C181" s="62"/>
      <c r="D181" s="62"/>
      <c r="E181" s="62"/>
      <c r="F181" s="62"/>
    </row>
    <row r="182" spans="1:6" ht="15.75" customHeight="1" x14ac:dyDescent="0.4">
      <c r="A182" s="62"/>
      <c r="B182" s="62"/>
      <c r="C182" s="62"/>
      <c r="D182" s="62"/>
      <c r="E182" s="62"/>
      <c r="F182" s="62"/>
    </row>
    <row r="183" spans="1:6" ht="15.75" customHeight="1" x14ac:dyDescent="0.4">
      <c r="A183" s="62"/>
      <c r="B183" s="62"/>
      <c r="C183" s="62"/>
      <c r="D183" s="62"/>
      <c r="E183" s="62"/>
      <c r="F183" s="62"/>
    </row>
    <row r="184" spans="1:6" ht="15.75" customHeight="1" x14ac:dyDescent="0.4">
      <c r="A184" s="62"/>
      <c r="B184" s="62"/>
      <c r="C184" s="62"/>
      <c r="D184" s="62"/>
      <c r="E184" s="62"/>
      <c r="F184" s="62"/>
    </row>
    <row r="185" spans="1:6" ht="15.75" customHeight="1" x14ac:dyDescent="0.4">
      <c r="A185" s="62"/>
      <c r="B185" s="62"/>
      <c r="C185" s="62"/>
      <c r="D185" s="62"/>
      <c r="E185" s="62"/>
      <c r="F185" s="62"/>
    </row>
    <row r="186" spans="1:6" ht="15.75" customHeight="1" x14ac:dyDescent="0.4">
      <c r="A186" s="62"/>
      <c r="B186" s="62"/>
      <c r="C186" s="62"/>
      <c r="D186" s="62"/>
      <c r="E186" s="62"/>
      <c r="F186" s="62"/>
    </row>
    <row r="187" spans="1:6" ht="15.75" customHeight="1" x14ac:dyDescent="0.4">
      <c r="A187" s="62"/>
      <c r="B187" s="62"/>
      <c r="C187" s="62"/>
      <c r="D187" s="62"/>
      <c r="E187" s="62"/>
      <c r="F187" s="62"/>
    </row>
    <row r="188" spans="1:6" ht="15.75" customHeight="1" x14ac:dyDescent="0.4">
      <c r="A188" s="62"/>
      <c r="B188" s="62"/>
      <c r="C188" s="62"/>
      <c r="D188" s="62"/>
      <c r="E188" s="62"/>
      <c r="F188" s="62"/>
    </row>
    <row r="189" spans="1:6" ht="15.75" customHeight="1" x14ac:dyDescent="0.4">
      <c r="A189" s="62"/>
      <c r="B189" s="62"/>
      <c r="C189" s="62"/>
      <c r="D189" s="62"/>
      <c r="E189" s="62"/>
      <c r="F189" s="62"/>
    </row>
    <row r="190" spans="1:6" ht="15.75" customHeight="1" x14ac:dyDescent="0.4">
      <c r="A190" s="62"/>
      <c r="B190" s="62"/>
      <c r="C190" s="62"/>
      <c r="D190" s="62"/>
      <c r="E190" s="62"/>
      <c r="F190" s="62"/>
    </row>
    <row r="191" spans="1:6" ht="15.75" customHeight="1" x14ac:dyDescent="0.4">
      <c r="A191" s="62"/>
      <c r="B191" s="62"/>
      <c r="C191" s="62"/>
      <c r="D191" s="62"/>
      <c r="E191" s="62"/>
      <c r="F191" s="62"/>
    </row>
    <row r="192" spans="1:6" ht="15.75" customHeight="1" x14ac:dyDescent="0.4">
      <c r="A192" s="62"/>
      <c r="B192" s="62"/>
      <c r="C192" s="62"/>
      <c r="D192" s="62"/>
      <c r="E192" s="62"/>
      <c r="F192" s="62"/>
    </row>
    <row r="193" spans="1:6" ht="15.75" customHeight="1" x14ac:dyDescent="0.4">
      <c r="A193" s="62"/>
      <c r="B193" s="62"/>
      <c r="C193" s="62"/>
      <c r="D193" s="62"/>
      <c r="E193" s="62"/>
      <c r="F193" s="62"/>
    </row>
    <row r="194" spans="1:6" ht="15.75" customHeight="1" x14ac:dyDescent="0.4">
      <c r="A194" s="62"/>
      <c r="B194" s="62"/>
      <c r="C194" s="62"/>
      <c r="D194" s="62"/>
      <c r="E194" s="62"/>
      <c r="F194" s="62"/>
    </row>
    <row r="195" spans="1:6" ht="15.75" customHeight="1" x14ac:dyDescent="0.4">
      <c r="A195" s="62"/>
      <c r="B195" s="62"/>
      <c r="C195" s="62"/>
      <c r="D195" s="62"/>
      <c r="E195" s="62"/>
      <c r="F195" s="62"/>
    </row>
    <row r="196" spans="1:6" ht="15.75" customHeight="1" x14ac:dyDescent="0.4">
      <c r="A196" s="62"/>
      <c r="B196" s="62"/>
      <c r="C196" s="62"/>
      <c r="D196" s="62"/>
      <c r="E196" s="62"/>
      <c r="F196" s="62"/>
    </row>
    <row r="197" spans="1:6" ht="15.75" customHeight="1" x14ac:dyDescent="0.4">
      <c r="A197" s="62"/>
      <c r="B197" s="62"/>
      <c r="C197" s="62"/>
      <c r="D197" s="62"/>
      <c r="E197" s="62"/>
      <c r="F197" s="62"/>
    </row>
    <row r="198" spans="1:6" ht="15.75" customHeight="1" x14ac:dyDescent="0.4">
      <c r="A198" s="62"/>
      <c r="B198" s="62"/>
      <c r="C198" s="62"/>
      <c r="D198" s="62"/>
      <c r="E198" s="62"/>
      <c r="F198" s="62"/>
    </row>
    <row r="199" spans="1:6" ht="15.75" customHeight="1" x14ac:dyDescent="0.4">
      <c r="A199" s="62"/>
      <c r="B199" s="62"/>
      <c r="C199" s="62"/>
      <c r="D199" s="62"/>
      <c r="E199" s="62"/>
      <c r="F199" s="62"/>
    </row>
    <row r="200" spans="1:6" ht="15.75" customHeight="1" x14ac:dyDescent="0.4">
      <c r="A200" s="62"/>
      <c r="B200" s="62"/>
      <c r="C200" s="62"/>
      <c r="D200" s="62"/>
      <c r="E200" s="62"/>
      <c r="F200" s="62"/>
    </row>
    <row r="201" spans="1:6" ht="15.75" customHeight="1" x14ac:dyDescent="0.4">
      <c r="A201" s="62"/>
      <c r="B201" s="62"/>
      <c r="C201" s="62"/>
      <c r="D201" s="62"/>
      <c r="E201" s="62"/>
      <c r="F201" s="62"/>
    </row>
    <row r="202" spans="1:6" ht="15.75" customHeight="1" x14ac:dyDescent="0.4">
      <c r="A202" s="62"/>
      <c r="B202" s="62"/>
      <c r="C202" s="62"/>
      <c r="D202" s="62"/>
      <c r="E202" s="62"/>
      <c r="F202" s="62"/>
    </row>
    <row r="203" spans="1:6" ht="15.75" customHeight="1" x14ac:dyDescent="0.4">
      <c r="A203" s="62"/>
      <c r="B203" s="62"/>
      <c r="C203" s="62"/>
      <c r="D203" s="62"/>
      <c r="E203" s="62"/>
      <c r="F203" s="62"/>
    </row>
    <row r="204" spans="1:6" ht="15.75" customHeight="1" x14ac:dyDescent="0.4">
      <c r="A204" s="62"/>
      <c r="B204" s="62"/>
      <c r="C204" s="62"/>
      <c r="D204" s="62"/>
      <c r="E204" s="62"/>
      <c r="F204" s="62"/>
    </row>
    <row r="205" spans="1:6" ht="15.75" customHeight="1" x14ac:dyDescent="0.4">
      <c r="A205" s="62"/>
      <c r="B205" s="62"/>
      <c r="C205" s="62"/>
      <c r="D205" s="62"/>
      <c r="E205" s="62"/>
      <c r="F205" s="62"/>
    </row>
    <row r="206" spans="1:6" ht="15.75" customHeight="1" x14ac:dyDescent="0.4">
      <c r="A206" s="62"/>
      <c r="B206" s="62"/>
      <c r="C206" s="62"/>
      <c r="D206" s="62"/>
      <c r="E206" s="62"/>
      <c r="F206" s="62"/>
    </row>
    <row r="207" spans="1:6" ht="15.75" customHeight="1" x14ac:dyDescent="0.4">
      <c r="A207" s="62"/>
      <c r="B207" s="62"/>
      <c r="C207" s="62"/>
      <c r="D207" s="62"/>
      <c r="E207" s="62"/>
      <c r="F207" s="62"/>
    </row>
    <row r="208" spans="1:6" ht="15.75" customHeight="1" x14ac:dyDescent="0.4">
      <c r="A208" s="62"/>
      <c r="B208" s="62"/>
      <c r="C208" s="62"/>
      <c r="D208" s="62"/>
      <c r="E208" s="62"/>
      <c r="F208" s="62"/>
    </row>
    <row r="209" spans="1:6" ht="15.75" customHeight="1" x14ac:dyDescent="0.4">
      <c r="A209" s="62"/>
      <c r="B209" s="62"/>
      <c r="C209" s="62"/>
      <c r="D209" s="62"/>
      <c r="E209" s="62"/>
      <c r="F209" s="62"/>
    </row>
    <row r="210" spans="1:6" ht="15.75" customHeight="1" x14ac:dyDescent="0.4">
      <c r="A210" s="62"/>
      <c r="B210" s="62"/>
      <c r="C210" s="62"/>
      <c r="D210" s="62"/>
      <c r="E210" s="62"/>
      <c r="F210" s="62"/>
    </row>
    <row r="211" spans="1:6" ht="15.75" customHeight="1" x14ac:dyDescent="0.4">
      <c r="A211" s="62"/>
      <c r="B211" s="62"/>
      <c r="C211" s="62"/>
      <c r="D211" s="62"/>
      <c r="E211" s="62"/>
      <c r="F211" s="62"/>
    </row>
    <row r="212" spans="1:6" ht="15.75" customHeight="1" x14ac:dyDescent="0.4">
      <c r="A212" s="62"/>
      <c r="B212" s="62"/>
      <c r="C212" s="62"/>
      <c r="D212" s="62"/>
      <c r="E212" s="62"/>
      <c r="F212" s="62"/>
    </row>
    <row r="213" spans="1:6" ht="15.75" customHeight="1" x14ac:dyDescent="0.4">
      <c r="A213" s="62"/>
      <c r="B213" s="62"/>
      <c r="C213" s="62"/>
      <c r="D213" s="62"/>
      <c r="E213" s="62"/>
      <c r="F213" s="62"/>
    </row>
    <row r="214" spans="1:6" ht="15.75" customHeight="1" x14ac:dyDescent="0.4">
      <c r="A214" s="62"/>
      <c r="B214" s="62"/>
      <c r="C214" s="62"/>
      <c r="D214" s="62"/>
      <c r="E214" s="62"/>
      <c r="F214" s="62"/>
    </row>
    <row r="215" spans="1:6" ht="15.75" customHeight="1" x14ac:dyDescent="0.4">
      <c r="A215" s="62"/>
      <c r="B215" s="62"/>
      <c r="C215" s="62"/>
      <c r="D215" s="62"/>
      <c r="E215" s="62"/>
      <c r="F215" s="62"/>
    </row>
    <row r="216" spans="1:6" ht="15.75" customHeight="1" x14ac:dyDescent="0.4">
      <c r="A216" s="62"/>
      <c r="B216" s="62"/>
      <c r="C216" s="62"/>
      <c r="D216" s="62"/>
      <c r="E216" s="62"/>
      <c r="F216" s="62"/>
    </row>
    <row r="217" spans="1:6" ht="15.75" customHeight="1" x14ac:dyDescent="0.4">
      <c r="A217" s="62"/>
      <c r="B217" s="62"/>
      <c r="C217" s="62"/>
      <c r="D217" s="62"/>
      <c r="E217" s="62"/>
      <c r="F217" s="62"/>
    </row>
    <row r="218" spans="1:6" ht="15.75" customHeight="1" x14ac:dyDescent="0.4">
      <c r="A218" s="62"/>
      <c r="B218" s="62"/>
      <c r="C218" s="62"/>
      <c r="D218" s="62"/>
      <c r="E218" s="62"/>
      <c r="F218" s="62"/>
    </row>
    <row r="219" spans="1:6" ht="15.75" customHeight="1" x14ac:dyDescent="0.4">
      <c r="A219" s="62"/>
      <c r="B219" s="62"/>
      <c r="C219" s="62"/>
      <c r="D219" s="62"/>
      <c r="E219" s="62"/>
      <c r="F219" s="62"/>
    </row>
    <row r="220" spans="1:6" ht="15.75" customHeight="1" x14ac:dyDescent="0.4">
      <c r="A220" s="62"/>
      <c r="B220" s="62"/>
      <c r="C220" s="62"/>
      <c r="D220" s="62"/>
      <c r="E220" s="62"/>
      <c r="F220" s="62"/>
    </row>
    <row r="221" spans="1:6" ht="15.75" customHeight="1" x14ac:dyDescent="0.4">
      <c r="A221" s="62"/>
      <c r="B221" s="62"/>
      <c r="C221" s="62"/>
      <c r="D221" s="62"/>
      <c r="E221" s="62"/>
      <c r="F221" s="62"/>
    </row>
    <row r="222" spans="1:6" ht="15.75" customHeight="1" x14ac:dyDescent="0.4">
      <c r="A222" s="62"/>
      <c r="B222" s="62"/>
      <c r="C222" s="62"/>
      <c r="D222" s="62"/>
      <c r="E222" s="62"/>
      <c r="F222" s="62"/>
    </row>
    <row r="223" spans="1:6" ht="15.75" customHeight="1" x14ac:dyDescent="0.4">
      <c r="A223" s="62"/>
      <c r="B223" s="62"/>
      <c r="C223" s="62"/>
      <c r="D223" s="62"/>
      <c r="E223" s="62"/>
      <c r="F223" s="62"/>
    </row>
    <row r="224" spans="1:6" ht="15.75" customHeight="1" x14ac:dyDescent="0.4">
      <c r="A224" s="62"/>
      <c r="B224" s="62"/>
      <c r="C224" s="62"/>
      <c r="D224" s="62"/>
      <c r="E224" s="62"/>
      <c r="F224" s="62"/>
    </row>
    <row r="225" spans="1:6" ht="15.75" customHeight="1" x14ac:dyDescent="0.4">
      <c r="A225" s="62"/>
      <c r="B225" s="62"/>
      <c r="C225" s="62"/>
      <c r="D225" s="62"/>
      <c r="E225" s="62"/>
      <c r="F225" s="62"/>
    </row>
    <row r="226" spans="1:6" ht="15.75" customHeight="1" x14ac:dyDescent="0.4">
      <c r="A226" s="62"/>
      <c r="B226" s="62"/>
      <c r="C226" s="62"/>
      <c r="D226" s="62"/>
      <c r="E226" s="62"/>
      <c r="F226" s="62"/>
    </row>
    <row r="227" spans="1:6" ht="15.75" customHeight="1" x14ac:dyDescent="0.4">
      <c r="A227" s="62"/>
      <c r="B227" s="62"/>
      <c r="C227" s="62"/>
      <c r="D227" s="62"/>
      <c r="E227" s="62"/>
      <c r="F227" s="62"/>
    </row>
    <row r="228" spans="1:6" ht="15.75" customHeight="1" x14ac:dyDescent="0.4">
      <c r="A228" s="62"/>
      <c r="B228" s="62"/>
      <c r="C228" s="62"/>
      <c r="D228" s="62"/>
      <c r="E228" s="62"/>
      <c r="F228" s="62"/>
    </row>
    <row r="229" spans="1:6" ht="15.75" customHeight="1" x14ac:dyDescent="0.4">
      <c r="A229" s="62"/>
      <c r="B229" s="62"/>
      <c r="C229" s="62"/>
      <c r="D229" s="62"/>
      <c r="E229" s="62"/>
      <c r="F229" s="62"/>
    </row>
    <row r="230" spans="1:6" ht="15.75" customHeight="1" x14ac:dyDescent="0.4">
      <c r="A230" s="62"/>
      <c r="B230" s="62"/>
      <c r="C230" s="62"/>
      <c r="D230" s="62"/>
      <c r="E230" s="62"/>
      <c r="F230" s="62"/>
    </row>
    <row r="231" spans="1:6" ht="15.75" customHeight="1" x14ac:dyDescent="0.4">
      <c r="A231" s="62"/>
      <c r="B231" s="62"/>
      <c r="C231" s="62"/>
      <c r="D231" s="62"/>
      <c r="E231" s="62"/>
      <c r="F231" s="62"/>
    </row>
    <row r="232" spans="1:6" ht="15.75" customHeight="1" x14ac:dyDescent="0.4">
      <c r="A232" s="62"/>
      <c r="B232" s="62"/>
      <c r="C232" s="62"/>
      <c r="D232" s="62"/>
      <c r="E232" s="62"/>
      <c r="F232" s="62"/>
    </row>
    <row r="233" spans="1:6" ht="15.75" customHeight="1" x14ac:dyDescent="0.4">
      <c r="A233" s="62"/>
      <c r="B233" s="62"/>
      <c r="C233" s="62"/>
      <c r="D233" s="62"/>
      <c r="E233" s="62"/>
      <c r="F233" s="62"/>
    </row>
    <row r="234" spans="1:6" ht="15.75" customHeight="1" x14ac:dyDescent="0.4">
      <c r="A234" s="62"/>
      <c r="B234" s="62"/>
      <c r="C234" s="62"/>
      <c r="D234" s="62"/>
      <c r="E234" s="62"/>
      <c r="F234" s="62"/>
    </row>
    <row r="235" spans="1:6" ht="15.75" customHeight="1" x14ac:dyDescent="0.4">
      <c r="B235" s="62"/>
      <c r="C235" s="62"/>
      <c r="D235" s="62"/>
      <c r="E235" s="62"/>
      <c r="F235" s="62"/>
    </row>
    <row r="236" spans="1:6" ht="15.75" customHeight="1" x14ac:dyDescent="0.4">
      <c r="B236" s="62"/>
      <c r="C236" s="62"/>
      <c r="D236" s="62"/>
      <c r="E236" s="62"/>
      <c r="F236" s="62"/>
    </row>
    <row r="237" spans="1:6" ht="15.75" customHeight="1" x14ac:dyDescent="0.4">
      <c r="B237" s="62"/>
      <c r="C237" s="62"/>
      <c r="D237" s="62"/>
      <c r="E237" s="62"/>
      <c r="F237" s="62"/>
    </row>
    <row r="238" spans="1:6" ht="15.75" customHeight="1" x14ac:dyDescent="0.4">
      <c r="B238" s="62"/>
      <c r="C238" s="62"/>
      <c r="D238" s="62"/>
      <c r="E238" s="62"/>
      <c r="F238" s="62"/>
    </row>
    <row r="239" spans="1:6" ht="15.75" customHeight="1" x14ac:dyDescent="0.4">
      <c r="B239" s="62"/>
      <c r="C239" s="62"/>
      <c r="D239" s="62"/>
      <c r="E239" s="62"/>
      <c r="F239" s="62"/>
    </row>
    <row r="240" spans="1:6" ht="15.75" customHeight="1" x14ac:dyDescent="0.4">
      <c r="B240" s="62"/>
      <c r="C240" s="62"/>
      <c r="D240" s="62"/>
      <c r="E240" s="62"/>
      <c r="F240" s="62"/>
    </row>
    <row r="241" spans="2:6" ht="15.75" customHeight="1" x14ac:dyDescent="0.4">
      <c r="B241" s="62"/>
      <c r="C241" s="62"/>
      <c r="D241" s="62"/>
      <c r="E241" s="62"/>
      <c r="F241" s="62"/>
    </row>
    <row r="242" spans="2:6" ht="15.75" customHeight="1" x14ac:dyDescent="0.4">
      <c r="B242" s="62"/>
      <c r="C242" s="62"/>
      <c r="D242" s="62"/>
      <c r="E242" s="62"/>
      <c r="F242" s="62"/>
    </row>
    <row r="243" spans="2:6" ht="15.75" customHeight="1" x14ac:dyDescent="0.4">
      <c r="B243" s="62"/>
      <c r="C243" s="62"/>
      <c r="D243" s="62"/>
      <c r="E243" s="62"/>
      <c r="F243" s="62"/>
    </row>
    <row r="244" spans="2:6" ht="15.75" customHeight="1" x14ac:dyDescent="0.4">
      <c r="B244" s="62"/>
      <c r="C244" s="62"/>
      <c r="D244" s="62"/>
      <c r="E244" s="62"/>
      <c r="F244" s="62"/>
    </row>
    <row r="245" spans="2:6" ht="15.75" customHeight="1" x14ac:dyDescent="0.4">
      <c r="B245" s="62"/>
      <c r="C245" s="62"/>
      <c r="D245" s="62"/>
      <c r="E245" s="62"/>
      <c r="F245" s="62"/>
    </row>
    <row r="246" spans="2:6" ht="15.75" customHeight="1" x14ac:dyDescent="0.4">
      <c r="B246" s="62"/>
      <c r="C246" s="62"/>
      <c r="D246" s="62"/>
      <c r="E246" s="62"/>
      <c r="F246" s="62"/>
    </row>
    <row r="247" spans="2:6" ht="15.75" customHeight="1" x14ac:dyDescent="0.4">
      <c r="B247" s="62"/>
      <c r="C247" s="62"/>
      <c r="D247" s="62"/>
      <c r="E247" s="62"/>
      <c r="F247" s="62"/>
    </row>
    <row r="248" spans="2:6" ht="15.75" customHeight="1" x14ac:dyDescent="0.4">
      <c r="B248" s="62"/>
      <c r="C248" s="62"/>
      <c r="D248" s="62"/>
      <c r="E248" s="62"/>
      <c r="F248" s="62"/>
    </row>
    <row r="249" spans="2:6" ht="15.75" customHeight="1" x14ac:dyDescent="0.4">
      <c r="B249" s="62"/>
      <c r="C249" s="62"/>
      <c r="D249" s="62"/>
      <c r="E249" s="62"/>
      <c r="F249" s="62"/>
    </row>
    <row r="250" spans="2:6" ht="15.75" customHeight="1" x14ac:dyDescent="0.4">
      <c r="B250" s="62"/>
      <c r="C250" s="62"/>
      <c r="D250" s="62"/>
      <c r="E250" s="62"/>
      <c r="F250" s="62"/>
    </row>
    <row r="251" spans="2:6" ht="15.75" customHeight="1" x14ac:dyDescent="0.4">
      <c r="B251" s="62"/>
      <c r="C251" s="62"/>
      <c r="D251" s="62"/>
      <c r="E251" s="62"/>
      <c r="F251" s="62"/>
    </row>
    <row r="252" spans="2:6" ht="15.75" customHeight="1" x14ac:dyDescent="0.4">
      <c r="B252" s="62"/>
      <c r="C252" s="62"/>
      <c r="D252" s="62"/>
      <c r="E252" s="62"/>
      <c r="F252" s="62"/>
    </row>
    <row r="253" spans="2:6" ht="15.75" customHeight="1" x14ac:dyDescent="0.4">
      <c r="B253" s="62"/>
      <c r="C253" s="62"/>
      <c r="D253" s="62"/>
      <c r="E253" s="62"/>
      <c r="F253" s="62"/>
    </row>
    <row r="254" spans="2:6" ht="15.75" customHeight="1" x14ac:dyDescent="0.4">
      <c r="B254" s="62"/>
      <c r="C254" s="62"/>
      <c r="D254" s="62"/>
      <c r="E254" s="62"/>
      <c r="F254" s="62"/>
    </row>
    <row r="255" spans="2:6" ht="15.75" customHeight="1" x14ac:dyDescent="0.4">
      <c r="B255" s="62"/>
      <c r="C255" s="62"/>
      <c r="D255" s="62"/>
      <c r="E255" s="62"/>
      <c r="F255" s="62"/>
    </row>
    <row r="256" spans="2:6" ht="15.75" customHeight="1" x14ac:dyDescent="0.4">
      <c r="B256" s="62"/>
      <c r="C256" s="62"/>
      <c r="D256" s="62"/>
      <c r="E256" s="62"/>
      <c r="F256" s="62"/>
    </row>
    <row r="257" spans="2:6" ht="15.75" customHeight="1" x14ac:dyDescent="0.4">
      <c r="B257" s="62"/>
      <c r="C257" s="62"/>
      <c r="D257" s="62"/>
      <c r="E257" s="62"/>
      <c r="F257" s="62"/>
    </row>
    <row r="258" spans="2:6" ht="15.75" customHeight="1" x14ac:dyDescent="0.4">
      <c r="B258" s="62"/>
      <c r="C258" s="62"/>
      <c r="D258" s="62"/>
      <c r="E258" s="62"/>
      <c r="F258" s="62"/>
    </row>
    <row r="259" spans="2:6" ht="15.75" customHeight="1" x14ac:dyDescent="0.4">
      <c r="B259" s="62"/>
      <c r="C259" s="62"/>
      <c r="D259" s="62"/>
      <c r="E259" s="62"/>
      <c r="F259" s="62"/>
    </row>
    <row r="260" spans="2:6" ht="15.75" customHeight="1" x14ac:dyDescent="0.4">
      <c r="B260" s="62"/>
      <c r="C260" s="62"/>
      <c r="D260" s="62"/>
      <c r="E260" s="62"/>
      <c r="F260" s="62"/>
    </row>
    <row r="261" spans="2:6" ht="15.75" customHeight="1" x14ac:dyDescent="0.4">
      <c r="B261" s="62"/>
      <c r="C261" s="62"/>
      <c r="D261" s="62"/>
      <c r="E261" s="62"/>
      <c r="F261" s="62"/>
    </row>
    <row r="262" spans="2:6" ht="15.75" customHeight="1" x14ac:dyDescent="0.4">
      <c r="B262" s="62"/>
      <c r="C262" s="62"/>
      <c r="D262" s="62"/>
      <c r="E262" s="62"/>
      <c r="F262" s="62"/>
    </row>
    <row r="263" spans="2:6" ht="15.75" customHeight="1" x14ac:dyDescent="0.4">
      <c r="B263" s="62"/>
      <c r="C263" s="62"/>
      <c r="D263" s="62"/>
      <c r="E263" s="62"/>
      <c r="F263" s="62"/>
    </row>
    <row r="264" spans="2:6" ht="15.75" customHeight="1" x14ac:dyDescent="0.4">
      <c r="B264" s="62"/>
      <c r="C264" s="62"/>
      <c r="D264" s="62"/>
      <c r="E264" s="62"/>
      <c r="F264" s="62"/>
    </row>
    <row r="265" spans="2:6" ht="15.75" customHeight="1" x14ac:dyDescent="0.4">
      <c r="B265" s="62"/>
      <c r="C265" s="62"/>
      <c r="D265" s="62"/>
      <c r="E265" s="62"/>
      <c r="F265" s="62"/>
    </row>
    <row r="266" spans="2:6" ht="15.75" customHeight="1" x14ac:dyDescent="0.4">
      <c r="B266" s="62"/>
      <c r="C266" s="62"/>
      <c r="D266" s="62"/>
      <c r="E266" s="62"/>
      <c r="F266" s="62"/>
    </row>
    <row r="267" spans="2:6" ht="15.75" customHeight="1" x14ac:dyDescent="0.4">
      <c r="B267" s="62"/>
      <c r="C267" s="62"/>
      <c r="D267" s="62"/>
      <c r="E267" s="62"/>
      <c r="F267" s="62"/>
    </row>
    <row r="268" spans="2:6" ht="15.75" customHeight="1" x14ac:dyDescent="0.4">
      <c r="B268" s="62"/>
      <c r="C268" s="62"/>
      <c r="D268" s="62"/>
      <c r="E268" s="62"/>
      <c r="F268" s="62"/>
    </row>
    <row r="269" spans="2:6" ht="15.75" customHeight="1" x14ac:dyDescent="0.4">
      <c r="B269" s="62"/>
      <c r="C269" s="62"/>
      <c r="D269" s="62"/>
      <c r="E269" s="62"/>
      <c r="F269" s="62"/>
    </row>
    <row r="270" spans="2:6" ht="15.75" customHeight="1" x14ac:dyDescent="0.4">
      <c r="B270" s="62"/>
      <c r="C270" s="62"/>
      <c r="D270" s="62"/>
      <c r="E270" s="62"/>
      <c r="F270" s="62"/>
    </row>
    <row r="271" spans="2:6" ht="15.75" customHeight="1" x14ac:dyDescent="0.4">
      <c r="B271" s="62"/>
      <c r="C271" s="62"/>
      <c r="D271" s="62"/>
      <c r="E271" s="62"/>
      <c r="F271" s="62"/>
    </row>
    <row r="272" spans="2:6" ht="15.75" customHeight="1" x14ac:dyDescent="0.4">
      <c r="B272" s="62"/>
      <c r="C272" s="62"/>
      <c r="D272" s="62"/>
      <c r="E272" s="62"/>
      <c r="F272" s="62"/>
    </row>
    <row r="273" spans="2:6" ht="15.75" customHeight="1" x14ac:dyDescent="0.4">
      <c r="B273" s="62"/>
      <c r="C273" s="62"/>
      <c r="D273" s="62"/>
      <c r="E273" s="62"/>
      <c r="F273" s="62"/>
    </row>
    <row r="274" spans="2:6" ht="15.75" customHeight="1" x14ac:dyDescent="0.4">
      <c r="B274" s="62"/>
      <c r="C274" s="62"/>
      <c r="D274" s="62"/>
      <c r="E274" s="62"/>
      <c r="F274" s="62"/>
    </row>
    <row r="275" spans="2:6" ht="15.75" customHeight="1" x14ac:dyDescent="0.4">
      <c r="B275" s="62"/>
      <c r="C275" s="62"/>
      <c r="D275" s="62"/>
      <c r="E275" s="62"/>
      <c r="F275" s="62"/>
    </row>
    <row r="276" spans="2:6" ht="15.75" customHeight="1" x14ac:dyDescent="0.4">
      <c r="B276" s="62"/>
      <c r="C276" s="62"/>
      <c r="D276" s="62"/>
      <c r="E276" s="62"/>
      <c r="F276" s="62"/>
    </row>
    <row r="277" spans="2:6" ht="15.75" customHeight="1" x14ac:dyDescent="0.4">
      <c r="B277" s="62"/>
      <c r="C277" s="62"/>
      <c r="D277" s="62"/>
      <c r="E277" s="62"/>
      <c r="F277" s="62"/>
    </row>
    <row r="278" spans="2:6" ht="15.75" customHeight="1" x14ac:dyDescent="0.4">
      <c r="B278" s="62"/>
      <c r="C278" s="62"/>
      <c r="D278" s="62"/>
      <c r="E278" s="62"/>
      <c r="F278" s="62"/>
    </row>
    <row r="279" spans="2:6" ht="15.75" customHeight="1" x14ac:dyDescent="0.4">
      <c r="B279" s="62"/>
      <c r="C279" s="62"/>
      <c r="D279" s="62"/>
      <c r="E279" s="62"/>
      <c r="F279" s="62"/>
    </row>
    <row r="280" spans="2:6" ht="15.75" customHeight="1" x14ac:dyDescent="0.4">
      <c r="B280" s="62"/>
      <c r="C280" s="62"/>
      <c r="D280" s="62"/>
      <c r="E280" s="62"/>
      <c r="F280" s="62"/>
    </row>
    <row r="281" spans="2:6" ht="15.75" customHeight="1" x14ac:dyDescent="0.4">
      <c r="B281" s="62"/>
      <c r="C281" s="62"/>
      <c r="D281" s="62"/>
      <c r="E281" s="62"/>
      <c r="F281" s="62"/>
    </row>
    <row r="282" spans="2:6" ht="15.75" customHeight="1" x14ac:dyDescent="0.4">
      <c r="B282" s="62"/>
      <c r="C282" s="62"/>
      <c r="D282" s="62"/>
      <c r="E282" s="62"/>
      <c r="F282" s="62"/>
    </row>
    <row r="283" spans="2:6" ht="15.75" customHeight="1" x14ac:dyDescent="0.4">
      <c r="B283" s="62"/>
      <c r="C283" s="62"/>
      <c r="D283" s="62"/>
      <c r="E283" s="62"/>
      <c r="F283" s="62"/>
    </row>
    <row r="284" spans="2:6" ht="15.75" customHeight="1" x14ac:dyDescent="0.4">
      <c r="B284" s="62"/>
      <c r="C284" s="62"/>
      <c r="D284" s="62"/>
      <c r="E284" s="62"/>
      <c r="F284" s="62"/>
    </row>
    <row r="285" spans="2:6" ht="15.75" customHeight="1" x14ac:dyDescent="0.4">
      <c r="B285" s="62"/>
      <c r="C285" s="62"/>
      <c r="D285" s="62"/>
      <c r="E285" s="62"/>
      <c r="F285" s="62"/>
    </row>
    <row r="286" spans="2:6" ht="15.75" customHeight="1" x14ac:dyDescent="0.4">
      <c r="B286" s="62"/>
      <c r="C286" s="62"/>
      <c r="D286" s="62"/>
      <c r="E286" s="62"/>
      <c r="F286" s="62"/>
    </row>
    <row r="287" spans="2:6" ht="15.75" customHeight="1" x14ac:dyDescent="0.4">
      <c r="B287" s="62"/>
      <c r="C287" s="62"/>
      <c r="D287" s="62"/>
      <c r="E287" s="62"/>
      <c r="F287" s="62"/>
    </row>
    <row r="288" spans="2:6" ht="15.75" customHeight="1" x14ac:dyDescent="0.4">
      <c r="B288" s="62"/>
      <c r="C288" s="62"/>
      <c r="D288" s="62"/>
      <c r="E288" s="62"/>
      <c r="F288" s="62"/>
    </row>
    <row r="289" spans="2:6" ht="15.75" customHeight="1" x14ac:dyDescent="0.4">
      <c r="B289" s="62"/>
      <c r="C289" s="62"/>
      <c r="D289" s="62"/>
      <c r="E289" s="62"/>
      <c r="F289" s="62"/>
    </row>
    <row r="290" spans="2:6" ht="15.75" customHeight="1" x14ac:dyDescent="0.4">
      <c r="B290" s="62"/>
      <c r="C290" s="62"/>
      <c r="D290" s="62"/>
      <c r="E290" s="62"/>
      <c r="F290" s="62"/>
    </row>
    <row r="291" spans="2:6" ht="15.75" customHeight="1" x14ac:dyDescent="0.4">
      <c r="B291" s="62"/>
      <c r="C291" s="62"/>
      <c r="D291" s="62"/>
      <c r="E291" s="62"/>
      <c r="F291" s="62"/>
    </row>
    <row r="292" spans="2:6" ht="15.75" customHeight="1" x14ac:dyDescent="0.4">
      <c r="B292" s="62"/>
      <c r="C292" s="62"/>
      <c r="D292" s="62"/>
      <c r="E292" s="62"/>
      <c r="F292" s="62"/>
    </row>
    <row r="293" spans="2:6" ht="15.75" customHeight="1" x14ac:dyDescent="0.4">
      <c r="B293" s="62"/>
      <c r="C293" s="62"/>
      <c r="D293" s="62"/>
      <c r="E293" s="62"/>
      <c r="F293" s="62"/>
    </row>
    <row r="294" spans="2:6" ht="15.75" customHeight="1" x14ac:dyDescent="0.4">
      <c r="B294" s="62"/>
      <c r="C294" s="62"/>
      <c r="D294" s="62"/>
      <c r="E294" s="62"/>
      <c r="F294" s="62"/>
    </row>
    <row r="295" spans="2:6" ht="15.75" customHeight="1" x14ac:dyDescent="0.4">
      <c r="B295" s="62"/>
      <c r="C295" s="62"/>
      <c r="D295" s="62"/>
      <c r="E295" s="62"/>
      <c r="F295" s="62"/>
    </row>
    <row r="296" spans="2:6" ht="15.75" customHeight="1" x14ac:dyDescent="0.4">
      <c r="B296" s="62"/>
      <c r="C296" s="62"/>
      <c r="D296" s="62"/>
      <c r="E296" s="62"/>
      <c r="F296" s="62"/>
    </row>
    <row r="297" spans="2:6" ht="15.75" customHeight="1" x14ac:dyDescent="0.4">
      <c r="B297" s="62"/>
      <c r="C297" s="62"/>
      <c r="D297" s="62"/>
      <c r="E297" s="62"/>
      <c r="F297" s="62"/>
    </row>
    <row r="298" spans="2:6" ht="15.75" customHeight="1" x14ac:dyDescent="0.4">
      <c r="B298" s="62"/>
      <c r="C298" s="62"/>
      <c r="D298" s="62"/>
      <c r="E298" s="62"/>
      <c r="F298" s="62"/>
    </row>
    <row r="299" spans="2:6" ht="15.75" customHeight="1" x14ac:dyDescent="0.4">
      <c r="B299" s="62"/>
      <c r="C299" s="62"/>
      <c r="D299" s="62"/>
      <c r="E299" s="62"/>
      <c r="F299" s="62"/>
    </row>
    <row r="300" spans="2:6" ht="15.75" customHeight="1" x14ac:dyDescent="0.4">
      <c r="B300" s="62"/>
      <c r="C300" s="62"/>
      <c r="D300" s="62"/>
      <c r="E300" s="62"/>
      <c r="F300" s="62"/>
    </row>
    <row r="301" spans="2:6" ht="15.75" customHeight="1" x14ac:dyDescent="0.4">
      <c r="B301" s="62"/>
      <c r="C301" s="62"/>
      <c r="D301" s="62"/>
      <c r="E301" s="62"/>
      <c r="F301" s="62"/>
    </row>
    <row r="302" spans="2:6" ht="15.75" customHeight="1" x14ac:dyDescent="0.4">
      <c r="B302" s="62"/>
      <c r="C302" s="62"/>
      <c r="D302" s="62"/>
      <c r="E302" s="62"/>
      <c r="F302" s="62"/>
    </row>
    <row r="303" spans="2:6" ht="15.75" customHeight="1" x14ac:dyDescent="0.4">
      <c r="B303" s="62"/>
      <c r="C303" s="62"/>
      <c r="D303" s="62"/>
      <c r="E303" s="62"/>
      <c r="F303" s="62"/>
    </row>
    <row r="304" spans="2:6" ht="15.75" customHeight="1" x14ac:dyDescent="0.4">
      <c r="B304" s="62"/>
      <c r="C304" s="62"/>
      <c r="D304" s="62"/>
      <c r="E304" s="62"/>
      <c r="F304" s="62"/>
    </row>
    <row r="305" spans="2:6" ht="15.75" customHeight="1" x14ac:dyDescent="0.4">
      <c r="B305" s="62"/>
      <c r="C305" s="62"/>
      <c r="D305" s="62"/>
      <c r="E305" s="62"/>
      <c r="F305" s="62"/>
    </row>
    <row r="306" spans="2:6" ht="15.75" customHeight="1" x14ac:dyDescent="0.4">
      <c r="B306" s="62"/>
      <c r="C306" s="62"/>
      <c r="D306" s="62"/>
      <c r="E306" s="62"/>
      <c r="F306" s="62"/>
    </row>
    <row r="307" spans="2:6" ht="15.75" customHeight="1" x14ac:dyDescent="0.4">
      <c r="B307" s="62"/>
      <c r="C307" s="62"/>
      <c r="D307" s="62"/>
      <c r="E307" s="62"/>
      <c r="F307" s="62"/>
    </row>
    <row r="308" spans="2:6" ht="15.75" customHeight="1" x14ac:dyDescent="0.4">
      <c r="B308" s="62"/>
      <c r="C308" s="62"/>
      <c r="D308" s="62"/>
      <c r="E308" s="62"/>
      <c r="F308" s="62"/>
    </row>
    <row r="309" spans="2:6" ht="15.75" customHeight="1" x14ac:dyDescent="0.4">
      <c r="B309" s="62"/>
      <c r="C309" s="62"/>
      <c r="D309" s="62"/>
      <c r="E309" s="62"/>
      <c r="F309" s="62"/>
    </row>
    <row r="310" spans="2:6" ht="15.75" customHeight="1" x14ac:dyDescent="0.4">
      <c r="B310" s="62"/>
      <c r="C310" s="62"/>
      <c r="D310" s="62"/>
      <c r="E310" s="62"/>
      <c r="F310" s="62"/>
    </row>
    <row r="311" spans="2:6" ht="15.75" customHeight="1" x14ac:dyDescent="0.4">
      <c r="B311" s="62"/>
      <c r="C311" s="62"/>
      <c r="D311" s="62"/>
      <c r="E311" s="62"/>
      <c r="F311" s="62"/>
    </row>
    <row r="312" spans="2:6" ht="15.75" customHeight="1" x14ac:dyDescent="0.4">
      <c r="B312" s="62"/>
      <c r="C312" s="62"/>
      <c r="D312" s="62"/>
      <c r="E312" s="62"/>
      <c r="F312" s="62"/>
    </row>
    <row r="313" spans="2:6" ht="15.75" customHeight="1" x14ac:dyDescent="0.4">
      <c r="B313" s="62"/>
      <c r="C313" s="62"/>
      <c r="D313" s="62"/>
      <c r="E313" s="62"/>
      <c r="F313" s="62"/>
    </row>
    <row r="314" spans="2:6" ht="15.75" customHeight="1" x14ac:dyDescent="0.4">
      <c r="B314" s="62"/>
      <c r="C314" s="62"/>
      <c r="D314" s="62"/>
      <c r="E314" s="62"/>
      <c r="F314" s="62"/>
    </row>
    <row r="315" spans="2:6" ht="15.75" customHeight="1" x14ac:dyDescent="0.4">
      <c r="B315" s="62"/>
      <c r="C315" s="62"/>
      <c r="D315" s="62"/>
      <c r="E315" s="62"/>
      <c r="F315" s="62"/>
    </row>
    <row r="316" spans="2:6" ht="15.75" customHeight="1" x14ac:dyDescent="0.4">
      <c r="B316" s="62"/>
      <c r="C316" s="62"/>
      <c r="D316" s="62"/>
      <c r="E316" s="62"/>
      <c r="F316" s="62"/>
    </row>
    <row r="317" spans="2:6" ht="15.75" customHeight="1" x14ac:dyDescent="0.4">
      <c r="B317" s="62"/>
      <c r="C317" s="62"/>
      <c r="D317" s="62"/>
      <c r="E317" s="62"/>
      <c r="F317" s="62"/>
    </row>
    <row r="318" spans="2:6" ht="15.75" customHeight="1" x14ac:dyDescent="0.4">
      <c r="B318" s="62"/>
      <c r="C318" s="62"/>
      <c r="D318" s="62"/>
      <c r="E318" s="62"/>
      <c r="F318" s="62"/>
    </row>
    <row r="319" spans="2:6" ht="15.75" customHeight="1" x14ac:dyDescent="0.4">
      <c r="B319" s="62"/>
      <c r="C319" s="62"/>
      <c r="D319" s="62"/>
      <c r="E319" s="62"/>
      <c r="F319" s="62"/>
    </row>
    <row r="320" spans="2:6" ht="15.75" customHeight="1" x14ac:dyDescent="0.4">
      <c r="B320" s="62"/>
      <c r="C320" s="62"/>
      <c r="D320" s="62"/>
      <c r="E320" s="62"/>
      <c r="F320" s="62"/>
    </row>
    <row r="321" spans="2:6" ht="15.75" customHeight="1" x14ac:dyDescent="0.4">
      <c r="B321" s="62"/>
      <c r="C321" s="62"/>
      <c r="D321" s="62"/>
      <c r="E321" s="62"/>
      <c r="F321" s="62"/>
    </row>
    <row r="322" spans="2:6" ht="15.75" customHeight="1" x14ac:dyDescent="0.4">
      <c r="B322" s="62"/>
      <c r="C322" s="62"/>
      <c r="D322" s="62"/>
      <c r="E322" s="62"/>
      <c r="F322" s="62"/>
    </row>
    <row r="323" spans="2:6" ht="15.75" customHeight="1" x14ac:dyDescent="0.4">
      <c r="B323" s="62"/>
      <c r="C323" s="62"/>
      <c r="D323" s="62"/>
      <c r="E323" s="62"/>
      <c r="F323" s="62"/>
    </row>
    <row r="324" spans="2:6" ht="15.75" customHeight="1" x14ac:dyDescent="0.4">
      <c r="B324" s="62"/>
      <c r="C324" s="62"/>
      <c r="D324" s="62"/>
      <c r="E324" s="62"/>
      <c r="F324" s="62"/>
    </row>
    <row r="325" spans="2:6" ht="15.75" customHeight="1" x14ac:dyDescent="0.4">
      <c r="B325" s="62"/>
      <c r="C325" s="62"/>
      <c r="D325" s="62"/>
      <c r="E325" s="62"/>
      <c r="F325" s="62"/>
    </row>
    <row r="326" spans="2:6" ht="15.75" customHeight="1" x14ac:dyDescent="0.4">
      <c r="B326" s="62"/>
      <c r="C326" s="62"/>
      <c r="D326" s="62"/>
      <c r="E326" s="62"/>
      <c r="F326" s="62"/>
    </row>
    <row r="327" spans="2:6" ht="15.75" customHeight="1" x14ac:dyDescent="0.4">
      <c r="B327" s="62"/>
      <c r="C327" s="62"/>
      <c r="D327" s="62"/>
      <c r="E327" s="62"/>
      <c r="F327" s="62"/>
    </row>
    <row r="328" spans="2:6" ht="15.75" customHeight="1" x14ac:dyDescent="0.4">
      <c r="B328" s="62"/>
      <c r="C328" s="62"/>
      <c r="D328" s="62"/>
      <c r="E328" s="62"/>
      <c r="F328" s="62"/>
    </row>
    <row r="329" spans="2:6" ht="15.75" customHeight="1" x14ac:dyDescent="0.4">
      <c r="B329" s="62"/>
      <c r="C329" s="62"/>
      <c r="D329" s="62"/>
      <c r="E329" s="62"/>
      <c r="F329" s="62"/>
    </row>
    <row r="330" spans="2:6" ht="15.75" customHeight="1" x14ac:dyDescent="0.4">
      <c r="B330" s="62"/>
      <c r="C330" s="62"/>
      <c r="D330" s="62"/>
      <c r="E330" s="62"/>
      <c r="F330" s="62"/>
    </row>
    <row r="331" spans="2:6" ht="15.75" customHeight="1" x14ac:dyDescent="0.4">
      <c r="B331" s="62"/>
      <c r="C331" s="62"/>
      <c r="D331" s="62"/>
      <c r="E331" s="62"/>
      <c r="F331" s="62"/>
    </row>
    <row r="332" spans="2:6" ht="15.75" customHeight="1" x14ac:dyDescent="0.4">
      <c r="B332" s="62"/>
      <c r="C332" s="62"/>
      <c r="D332" s="62"/>
      <c r="E332" s="62"/>
      <c r="F332" s="62"/>
    </row>
    <row r="333" spans="2:6" ht="15.75" customHeight="1" x14ac:dyDescent="0.4">
      <c r="B333" s="62"/>
      <c r="C333" s="62"/>
      <c r="D333" s="62"/>
      <c r="E333" s="62"/>
      <c r="F333" s="62"/>
    </row>
    <row r="334" spans="2:6" ht="15.75" customHeight="1" x14ac:dyDescent="0.4">
      <c r="B334" s="62"/>
      <c r="C334" s="62"/>
      <c r="D334" s="62"/>
      <c r="E334" s="62"/>
      <c r="F334" s="62"/>
    </row>
    <row r="335" spans="2:6" ht="15.75" customHeight="1" x14ac:dyDescent="0.4">
      <c r="B335" s="62"/>
      <c r="C335" s="62"/>
      <c r="D335" s="62"/>
      <c r="E335" s="62"/>
      <c r="F335" s="62"/>
    </row>
    <row r="336" spans="2:6" ht="15.75" customHeight="1" x14ac:dyDescent="0.4">
      <c r="B336" s="62"/>
      <c r="C336" s="62"/>
      <c r="D336" s="62"/>
      <c r="E336" s="62"/>
      <c r="F336" s="62"/>
    </row>
    <row r="337" spans="2:6" ht="15.75" customHeight="1" x14ac:dyDescent="0.4">
      <c r="B337" s="62"/>
      <c r="C337" s="62"/>
      <c r="D337" s="62"/>
      <c r="E337" s="62"/>
      <c r="F337" s="62"/>
    </row>
    <row r="338" spans="2:6" ht="15.75" customHeight="1" x14ac:dyDescent="0.4">
      <c r="B338" s="62"/>
      <c r="C338" s="62"/>
      <c r="D338" s="62"/>
      <c r="E338" s="62"/>
      <c r="F338" s="62"/>
    </row>
    <row r="339" spans="2:6" ht="15.75" customHeight="1" x14ac:dyDescent="0.4">
      <c r="B339" s="62"/>
      <c r="C339" s="62"/>
      <c r="D339" s="62"/>
      <c r="E339" s="62"/>
      <c r="F339" s="62"/>
    </row>
    <row r="340" spans="2:6" ht="15.75" customHeight="1" x14ac:dyDescent="0.4">
      <c r="B340" s="62"/>
      <c r="C340" s="62"/>
      <c r="D340" s="62"/>
      <c r="E340" s="62"/>
      <c r="F340" s="62"/>
    </row>
    <row r="341" spans="2:6" ht="15.75" customHeight="1" x14ac:dyDescent="0.4">
      <c r="B341" s="62"/>
      <c r="C341" s="62"/>
      <c r="D341" s="62"/>
      <c r="E341" s="62"/>
      <c r="F341" s="62"/>
    </row>
    <row r="342" spans="2:6" ht="15.75" customHeight="1" x14ac:dyDescent="0.4">
      <c r="B342" s="62"/>
      <c r="C342" s="62"/>
      <c r="D342" s="62"/>
      <c r="E342" s="62"/>
      <c r="F342" s="62"/>
    </row>
    <row r="343" spans="2:6" ht="15.75" customHeight="1" x14ac:dyDescent="0.4">
      <c r="B343" s="62"/>
      <c r="C343" s="62"/>
      <c r="D343" s="62"/>
      <c r="E343" s="62"/>
      <c r="F343" s="62"/>
    </row>
    <row r="344" spans="2:6" ht="15.75" customHeight="1" x14ac:dyDescent="0.4">
      <c r="B344" s="62"/>
      <c r="C344" s="62"/>
      <c r="D344" s="62"/>
      <c r="E344" s="62"/>
      <c r="F344" s="62"/>
    </row>
    <row r="345" spans="2:6" ht="15.75" customHeight="1" x14ac:dyDescent="0.4">
      <c r="B345" s="62"/>
      <c r="C345" s="62"/>
      <c r="D345" s="62"/>
      <c r="E345" s="62"/>
      <c r="F345" s="62"/>
    </row>
    <row r="346" spans="2:6" ht="15.75" customHeight="1" x14ac:dyDescent="0.4">
      <c r="B346" s="62"/>
      <c r="C346" s="62"/>
      <c r="D346" s="62"/>
      <c r="E346" s="62"/>
      <c r="F346" s="62"/>
    </row>
    <row r="347" spans="2:6" ht="15.75" customHeight="1" x14ac:dyDescent="0.4">
      <c r="B347" s="62"/>
      <c r="C347" s="62"/>
      <c r="D347" s="62"/>
      <c r="E347" s="62"/>
      <c r="F347" s="62"/>
    </row>
    <row r="348" spans="2:6" ht="15.75" customHeight="1" x14ac:dyDescent="0.4">
      <c r="B348" s="62"/>
      <c r="C348" s="62"/>
      <c r="D348" s="62"/>
      <c r="E348" s="62"/>
      <c r="F348" s="62"/>
    </row>
    <row r="349" spans="2:6" ht="15.75" customHeight="1" x14ac:dyDescent="0.4">
      <c r="B349" s="62"/>
      <c r="C349" s="62"/>
      <c r="D349" s="62"/>
      <c r="E349" s="62"/>
      <c r="F349" s="62"/>
    </row>
    <row r="350" spans="2:6" ht="15.75" customHeight="1" x14ac:dyDescent="0.4">
      <c r="B350" s="62"/>
      <c r="C350" s="62"/>
      <c r="D350" s="62"/>
      <c r="E350" s="62"/>
      <c r="F350" s="62"/>
    </row>
    <row r="351" spans="2:6" ht="15.75" customHeight="1" x14ac:dyDescent="0.4">
      <c r="B351" s="62"/>
      <c r="C351" s="62"/>
      <c r="D351" s="62"/>
      <c r="E351" s="62"/>
      <c r="F351" s="62"/>
    </row>
    <row r="352" spans="2:6" ht="15.75" customHeight="1" x14ac:dyDescent="0.4">
      <c r="B352" s="62"/>
      <c r="C352" s="62"/>
      <c r="D352" s="62"/>
      <c r="E352" s="62"/>
      <c r="F352" s="62"/>
    </row>
    <row r="353" spans="2:6" ht="15.75" customHeight="1" x14ac:dyDescent="0.4">
      <c r="B353" s="62"/>
      <c r="C353" s="62"/>
      <c r="D353" s="62"/>
      <c r="E353" s="62"/>
      <c r="F353" s="62"/>
    </row>
    <row r="354" spans="2:6" ht="15.75" customHeight="1" x14ac:dyDescent="0.4">
      <c r="B354" s="62"/>
      <c r="C354" s="62"/>
      <c r="D354" s="62"/>
      <c r="E354" s="62"/>
      <c r="F354" s="62"/>
    </row>
    <row r="355" spans="2:6" ht="15.75" customHeight="1" x14ac:dyDescent="0.4">
      <c r="B355" s="62"/>
      <c r="C355" s="62"/>
      <c r="D355" s="62"/>
      <c r="E355" s="62"/>
      <c r="F355" s="62"/>
    </row>
    <row r="356" spans="2:6" ht="15.75" customHeight="1" x14ac:dyDescent="0.4">
      <c r="B356" s="62"/>
      <c r="C356" s="62"/>
      <c r="D356" s="62"/>
      <c r="E356" s="62"/>
      <c r="F356" s="62"/>
    </row>
    <row r="357" spans="2:6" ht="15.75" customHeight="1" x14ac:dyDescent="0.4">
      <c r="B357" s="62"/>
      <c r="C357" s="62"/>
      <c r="D357" s="62"/>
      <c r="E357" s="62"/>
      <c r="F357" s="62"/>
    </row>
    <row r="358" spans="2:6" ht="15.75" customHeight="1" x14ac:dyDescent="0.4">
      <c r="B358" s="62"/>
      <c r="C358" s="62"/>
      <c r="D358" s="62"/>
      <c r="E358" s="62"/>
      <c r="F358" s="62"/>
    </row>
    <row r="359" spans="2:6" ht="15.75" customHeight="1" x14ac:dyDescent="0.4">
      <c r="B359" s="62"/>
      <c r="C359" s="62"/>
      <c r="D359" s="62"/>
      <c r="E359" s="62"/>
      <c r="F359" s="62"/>
    </row>
    <row r="360" spans="2:6" ht="15.75" customHeight="1" x14ac:dyDescent="0.4">
      <c r="B360" s="62"/>
      <c r="C360" s="62"/>
      <c r="D360" s="62"/>
      <c r="E360" s="62"/>
      <c r="F360" s="62"/>
    </row>
    <row r="361" spans="2:6" ht="15.75" customHeight="1" x14ac:dyDescent="0.4">
      <c r="B361" s="62"/>
      <c r="C361" s="62"/>
      <c r="D361" s="62"/>
      <c r="E361" s="62"/>
      <c r="F361" s="62"/>
    </row>
    <row r="362" spans="2:6" ht="15.75" customHeight="1" x14ac:dyDescent="0.4">
      <c r="B362" s="62"/>
      <c r="C362" s="62"/>
      <c r="D362" s="62"/>
      <c r="E362" s="62"/>
      <c r="F362" s="62"/>
    </row>
    <row r="363" spans="2:6" ht="15.75" customHeight="1" x14ac:dyDescent="0.4">
      <c r="B363" s="62"/>
      <c r="C363" s="62"/>
      <c r="D363" s="62"/>
      <c r="E363" s="62"/>
      <c r="F363" s="62"/>
    </row>
    <row r="364" spans="2:6" ht="15.75" customHeight="1" x14ac:dyDescent="0.4">
      <c r="B364" s="62"/>
      <c r="C364" s="62"/>
      <c r="D364" s="62"/>
      <c r="E364" s="62"/>
      <c r="F364" s="62"/>
    </row>
    <row r="365" spans="2:6" ht="15.75" customHeight="1" x14ac:dyDescent="0.4">
      <c r="B365" s="62"/>
      <c r="C365" s="62"/>
      <c r="D365" s="62"/>
      <c r="E365" s="62"/>
      <c r="F365" s="62"/>
    </row>
    <row r="366" spans="2:6" ht="15.75" customHeight="1" x14ac:dyDescent="0.4">
      <c r="B366" s="62"/>
      <c r="C366" s="62"/>
      <c r="D366" s="62"/>
      <c r="E366" s="62"/>
      <c r="F366" s="62"/>
    </row>
    <row r="367" spans="2:6" ht="15.75" customHeight="1" x14ac:dyDescent="0.4">
      <c r="B367" s="62"/>
      <c r="C367" s="62"/>
      <c r="D367" s="62"/>
      <c r="E367" s="62"/>
      <c r="F367" s="62"/>
    </row>
    <row r="368" spans="2:6" ht="15.75" customHeight="1" x14ac:dyDescent="0.4">
      <c r="B368" s="62"/>
      <c r="C368" s="62"/>
      <c r="D368" s="62"/>
      <c r="E368" s="62"/>
      <c r="F368" s="62"/>
    </row>
    <row r="369" spans="2:6" ht="15.75" customHeight="1" x14ac:dyDescent="0.4">
      <c r="B369" s="62"/>
      <c r="C369" s="62"/>
      <c r="D369" s="62"/>
      <c r="E369" s="62"/>
      <c r="F369" s="62"/>
    </row>
    <row r="370" spans="2:6" ht="15.75" customHeight="1" x14ac:dyDescent="0.4">
      <c r="B370" s="62"/>
      <c r="C370" s="62"/>
      <c r="D370" s="62"/>
      <c r="E370" s="62"/>
      <c r="F370" s="62"/>
    </row>
    <row r="371" spans="2:6" ht="15.75" customHeight="1" x14ac:dyDescent="0.4">
      <c r="B371" s="62"/>
      <c r="C371" s="62"/>
      <c r="D371" s="62"/>
      <c r="E371" s="62"/>
      <c r="F371" s="62"/>
    </row>
    <row r="372" spans="2:6" ht="15.75" customHeight="1" x14ac:dyDescent="0.4">
      <c r="B372" s="62"/>
      <c r="C372" s="62"/>
      <c r="D372" s="62"/>
      <c r="E372" s="62"/>
      <c r="F372" s="62"/>
    </row>
    <row r="373" spans="2:6" ht="15.75" customHeight="1" x14ac:dyDescent="0.4">
      <c r="B373" s="62"/>
      <c r="C373" s="62"/>
      <c r="D373" s="62"/>
      <c r="E373" s="62"/>
      <c r="F373" s="62"/>
    </row>
    <row r="374" spans="2:6" ht="15.75" customHeight="1" x14ac:dyDescent="0.4">
      <c r="B374" s="62"/>
      <c r="C374" s="62"/>
      <c r="D374" s="62"/>
      <c r="E374" s="62"/>
      <c r="F374" s="62"/>
    </row>
    <row r="375" spans="2:6" ht="15.75" customHeight="1" x14ac:dyDescent="0.4">
      <c r="B375" s="62"/>
      <c r="C375" s="62"/>
      <c r="D375" s="62"/>
      <c r="E375" s="62"/>
      <c r="F375" s="62"/>
    </row>
    <row r="376" spans="2:6" ht="15.75" customHeight="1" x14ac:dyDescent="0.4">
      <c r="B376" s="62"/>
      <c r="C376" s="62"/>
      <c r="D376" s="62"/>
      <c r="E376" s="62"/>
      <c r="F376" s="62"/>
    </row>
    <row r="377" spans="2:6" ht="15.75" customHeight="1" x14ac:dyDescent="0.4">
      <c r="B377" s="62"/>
      <c r="C377" s="62"/>
      <c r="D377" s="62"/>
      <c r="E377" s="62"/>
      <c r="F377" s="62"/>
    </row>
    <row r="378" spans="2:6" ht="15.75" customHeight="1" x14ac:dyDescent="0.4">
      <c r="B378" s="62"/>
      <c r="C378" s="62"/>
      <c r="D378" s="62"/>
      <c r="E378" s="62"/>
      <c r="F378" s="62"/>
    </row>
    <row r="379" spans="2:6" ht="15.75" customHeight="1" x14ac:dyDescent="0.4">
      <c r="B379" s="62"/>
      <c r="C379" s="62"/>
      <c r="D379" s="62"/>
      <c r="E379" s="62"/>
      <c r="F379" s="62"/>
    </row>
    <row r="380" spans="2:6" ht="15.75" customHeight="1" x14ac:dyDescent="0.4">
      <c r="B380" s="62"/>
      <c r="C380" s="62"/>
      <c r="D380" s="62"/>
      <c r="E380" s="62"/>
      <c r="F380" s="62"/>
    </row>
    <row r="381" spans="2:6" ht="15.75" customHeight="1" x14ac:dyDescent="0.4">
      <c r="B381" s="62"/>
      <c r="C381" s="62"/>
      <c r="D381" s="62"/>
      <c r="E381" s="62"/>
      <c r="F381" s="62"/>
    </row>
    <row r="382" spans="2:6" ht="15.75" customHeight="1" x14ac:dyDescent="0.4">
      <c r="B382" s="62"/>
      <c r="C382" s="62"/>
      <c r="D382" s="62"/>
      <c r="E382" s="62"/>
      <c r="F382" s="62"/>
    </row>
    <row r="383" spans="2:6" ht="15.75" customHeight="1" x14ac:dyDescent="0.4">
      <c r="B383" s="62"/>
      <c r="C383" s="62"/>
      <c r="D383" s="62"/>
      <c r="E383" s="62"/>
      <c r="F383" s="62"/>
    </row>
    <row r="384" spans="2:6" ht="15.75" customHeight="1" x14ac:dyDescent="0.4">
      <c r="B384" s="62"/>
      <c r="C384" s="62"/>
      <c r="D384" s="62"/>
      <c r="E384" s="62"/>
      <c r="F384" s="62"/>
    </row>
    <row r="385" spans="2:6" ht="15.75" customHeight="1" x14ac:dyDescent="0.4">
      <c r="B385" s="62"/>
      <c r="C385" s="62"/>
      <c r="D385" s="62"/>
      <c r="E385" s="62"/>
      <c r="F385" s="62"/>
    </row>
    <row r="386" spans="2:6" ht="15.75" customHeight="1" x14ac:dyDescent="0.4">
      <c r="B386" s="62"/>
      <c r="C386" s="62"/>
      <c r="D386" s="62"/>
      <c r="E386" s="62"/>
      <c r="F386" s="62"/>
    </row>
    <row r="387" spans="2:6" ht="15.75" customHeight="1" x14ac:dyDescent="0.4">
      <c r="B387" s="62"/>
      <c r="C387" s="62"/>
      <c r="D387" s="62"/>
      <c r="E387" s="62"/>
      <c r="F387" s="62"/>
    </row>
    <row r="388" spans="2:6" ht="15.75" customHeight="1" x14ac:dyDescent="0.4">
      <c r="B388" s="62"/>
      <c r="C388" s="62"/>
      <c r="D388" s="62"/>
      <c r="E388" s="62"/>
      <c r="F388" s="62"/>
    </row>
    <row r="389" spans="2:6" ht="15.75" customHeight="1" x14ac:dyDescent="0.4">
      <c r="B389" s="62"/>
      <c r="C389" s="62"/>
      <c r="D389" s="62"/>
      <c r="E389" s="62"/>
      <c r="F389" s="62"/>
    </row>
    <row r="390" spans="2:6" ht="15.75" customHeight="1" x14ac:dyDescent="0.4">
      <c r="B390" s="62"/>
      <c r="C390" s="62"/>
      <c r="D390" s="62"/>
      <c r="E390" s="62"/>
      <c r="F390" s="62"/>
    </row>
    <row r="391" spans="2:6" ht="15.75" customHeight="1" x14ac:dyDescent="0.4">
      <c r="B391" s="62"/>
      <c r="C391" s="62"/>
      <c r="D391" s="62"/>
      <c r="E391" s="62"/>
      <c r="F391" s="62"/>
    </row>
    <row r="392" spans="2:6" ht="15.75" customHeight="1" x14ac:dyDescent="0.4">
      <c r="B392" s="62"/>
      <c r="C392" s="62"/>
      <c r="D392" s="62"/>
      <c r="E392" s="62"/>
      <c r="F392" s="62"/>
    </row>
    <row r="393" spans="2:6" ht="15.75" customHeight="1" x14ac:dyDescent="0.4">
      <c r="B393" s="62"/>
      <c r="C393" s="62"/>
      <c r="D393" s="62"/>
      <c r="E393" s="62"/>
      <c r="F393" s="62"/>
    </row>
    <row r="394" spans="2:6" ht="15.75" customHeight="1" x14ac:dyDescent="0.4">
      <c r="B394" s="62"/>
      <c r="C394" s="62"/>
      <c r="D394" s="62"/>
      <c r="E394" s="62"/>
      <c r="F394" s="62"/>
    </row>
    <row r="395" spans="2:6" ht="15.75" customHeight="1" x14ac:dyDescent="0.4">
      <c r="B395" s="62"/>
      <c r="C395" s="62"/>
      <c r="D395" s="62"/>
      <c r="E395" s="62"/>
      <c r="F395" s="62"/>
    </row>
    <row r="396" spans="2:6" ht="15.75" customHeight="1" x14ac:dyDescent="0.4">
      <c r="B396" s="62"/>
      <c r="C396" s="62"/>
      <c r="D396" s="62"/>
      <c r="E396" s="62"/>
      <c r="F396" s="62"/>
    </row>
    <row r="397" spans="2:6" ht="15.75" customHeight="1" x14ac:dyDescent="0.4">
      <c r="B397" s="62"/>
      <c r="C397" s="62"/>
      <c r="D397" s="62"/>
      <c r="E397" s="62"/>
      <c r="F397" s="62"/>
    </row>
    <row r="398" spans="2:6" ht="15.75" customHeight="1" x14ac:dyDescent="0.4">
      <c r="B398" s="62"/>
      <c r="C398" s="62"/>
      <c r="D398" s="62"/>
      <c r="E398" s="62"/>
      <c r="F398" s="62"/>
    </row>
    <row r="399" spans="2:6" ht="15.75" customHeight="1" x14ac:dyDescent="0.4">
      <c r="B399" s="62"/>
      <c r="C399" s="62"/>
      <c r="D399" s="62"/>
      <c r="E399" s="62"/>
      <c r="F399" s="62"/>
    </row>
    <row r="400" spans="2:6" ht="15.75" customHeight="1" x14ac:dyDescent="0.4">
      <c r="B400" s="62"/>
      <c r="C400" s="62"/>
      <c r="D400" s="62"/>
      <c r="E400" s="62"/>
      <c r="F400" s="62"/>
    </row>
    <row r="401" spans="2:6" ht="15.75" customHeight="1" x14ac:dyDescent="0.4">
      <c r="B401" s="62"/>
      <c r="C401" s="62"/>
      <c r="D401" s="62"/>
      <c r="E401" s="62"/>
      <c r="F401" s="62"/>
    </row>
    <row r="402" spans="2:6" ht="15.75" customHeight="1" x14ac:dyDescent="0.4">
      <c r="B402" s="62"/>
      <c r="C402" s="62"/>
      <c r="D402" s="62"/>
      <c r="E402" s="62"/>
      <c r="F402" s="62"/>
    </row>
    <row r="403" spans="2:6" ht="15.75" customHeight="1" x14ac:dyDescent="0.4">
      <c r="B403" s="62"/>
      <c r="C403" s="62"/>
      <c r="D403" s="62"/>
      <c r="E403" s="62"/>
      <c r="F403" s="62"/>
    </row>
    <row r="404" spans="2:6" ht="15.75" customHeight="1" x14ac:dyDescent="0.4">
      <c r="B404" s="62"/>
      <c r="C404" s="62"/>
      <c r="D404" s="62"/>
      <c r="E404" s="62"/>
      <c r="F404" s="62"/>
    </row>
    <row r="405" spans="2:6" ht="15.75" customHeight="1" x14ac:dyDescent="0.4">
      <c r="B405" s="62"/>
      <c r="C405" s="62"/>
      <c r="D405" s="62"/>
      <c r="E405" s="62"/>
      <c r="F405" s="62"/>
    </row>
    <row r="406" spans="2:6" ht="15.75" customHeight="1" x14ac:dyDescent="0.4">
      <c r="B406" s="62"/>
      <c r="C406" s="62"/>
      <c r="D406" s="62"/>
      <c r="E406" s="62"/>
      <c r="F406" s="62"/>
    </row>
    <row r="407" spans="2:6" ht="15.75" customHeight="1" x14ac:dyDescent="0.4">
      <c r="B407" s="62"/>
      <c r="C407" s="62"/>
      <c r="D407" s="62"/>
      <c r="E407" s="62"/>
      <c r="F407" s="62"/>
    </row>
    <row r="408" spans="2:6" ht="15.75" customHeight="1" x14ac:dyDescent="0.4">
      <c r="B408" s="62"/>
      <c r="C408" s="62"/>
      <c r="D408" s="62"/>
      <c r="E408" s="62"/>
      <c r="F408" s="62"/>
    </row>
    <row r="409" spans="2:6" ht="15.75" customHeight="1" x14ac:dyDescent="0.4">
      <c r="B409" s="62"/>
      <c r="C409" s="62"/>
      <c r="D409" s="62"/>
      <c r="E409" s="62"/>
      <c r="F409" s="62"/>
    </row>
    <row r="410" spans="2:6" ht="15.75" customHeight="1" x14ac:dyDescent="0.4">
      <c r="B410" s="62"/>
      <c r="C410" s="62"/>
      <c r="D410" s="62"/>
      <c r="E410" s="62"/>
      <c r="F410" s="62"/>
    </row>
    <row r="411" spans="2:6" ht="15.75" customHeight="1" x14ac:dyDescent="0.4">
      <c r="B411" s="62"/>
      <c r="C411" s="62"/>
      <c r="D411" s="62"/>
      <c r="E411" s="62"/>
      <c r="F411" s="62"/>
    </row>
    <row r="412" spans="2:6" ht="15.75" customHeight="1" x14ac:dyDescent="0.4">
      <c r="B412" s="62"/>
      <c r="C412" s="62"/>
      <c r="D412" s="62"/>
      <c r="E412" s="62"/>
      <c r="F412" s="62"/>
    </row>
    <row r="413" spans="2:6" ht="15.75" customHeight="1" x14ac:dyDescent="0.4">
      <c r="B413" s="62"/>
      <c r="C413" s="62"/>
      <c r="D413" s="62"/>
      <c r="E413" s="62"/>
      <c r="F413" s="62"/>
    </row>
    <row r="414" spans="2:6" ht="15.75" customHeight="1" x14ac:dyDescent="0.4">
      <c r="B414" s="62"/>
      <c r="C414" s="62"/>
      <c r="D414" s="62"/>
      <c r="E414" s="62"/>
      <c r="F414" s="62"/>
    </row>
    <row r="415" spans="2:6" ht="15.75" customHeight="1" x14ac:dyDescent="0.4">
      <c r="B415" s="62"/>
      <c r="C415" s="62"/>
      <c r="D415" s="62"/>
      <c r="E415" s="62"/>
      <c r="F415" s="62"/>
    </row>
    <row r="416" spans="2:6" ht="15.75" customHeight="1" x14ac:dyDescent="0.4">
      <c r="B416" s="62"/>
      <c r="C416" s="62"/>
      <c r="D416" s="62"/>
      <c r="E416" s="62"/>
      <c r="F416" s="62"/>
    </row>
    <row r="417" spans="2:6" ht="15.75" customHeight="1" x14ac:dyDescent="0.4">
      <c r="B417" s="62"/>
      <c r="C417" s="62"/>
      <c r="D417" s="62"/>
      <c r="E417" s="62"/>
      <c r="F417" s="62"/>
    </row>
    <row r="418" spans="2:6" ht="15.75" customHeight="1" x14ac:dyDescent="0.4">
      <c r="B418" s="62"/>
      <c r="C418" s="62"/>
      <c r="D418" s="62"/>
      <c r="E418" s="62"/>
      <c r="F418" s="62"/>
    </row>
    <row r="419" spans="2:6" ht="15.75" customHeight="1" x14ac:dyDescent="0.4">
      <c r="B419" s="62"/>
      <c r="C419" s="62"/>
      <c r="D419" s="62"/>
      <c r="E419" s="62"/>
      <c r="F419" s="62"/>
    </row>
    <row r="420" spans="2:6" ht="15.75" customHeight="1" x14ac:dyDescent="0.4">
      <c r="B420" s="62"/>
      <c r="C420" s="62"/>
      <c r="D420" s="62"/>
      <c r="E420" s="62"/>
      <c r="F420" s="62"/>
    </row>
    <row r="421" spans="2:6" ht="15.75" customHeight="1" x14ac:dyDescent="0.4">
      <c r="B421" s="62"/>
      <c r="C421" s="62"/>
      <c r="D421" s="62"/>
      <c r="E421" s="62"/>
      <c r="F421" s="62"/>
    </row>
    <row r="422" spans="2:6" ht="15.75" customHeight="1" x14ac:dyDescent="0.4">
      <c r="B422" s="62"/>
      <c r="C422" s="62"/>
      <c r="D422" s="62"/>
      <c r="E422" s="62"/>
      <c r="F422" s="62"/>
    </row>
    <row r="423" spans="2:6" ht="15.75" customHeight="1" x14ac:dyDescent="0.4">
      <c r="B423" s="62"/>
      <c r="C423" s="62"/>
      <c r="D423" s="62"/>
      <c r="E423" s="62"/>
      <c r="F423" s="62"/>
    </row>
    <row r="424" spans="2:6" ht="15.75" customHeight="1" x14ac:dyDescent="0.4">
      <c r="B424" s="62"/>
      <c r="C424" s="62"/>
      <c r="D424" s="62"/>
      <c r="E424" s="62"/>
      <c r="F424" s="62"/>
    </row>
    <row r="425" spans="2:6" ht="15.75" customHeight="1" x14ac:dyDescent="0.4">
      <c r="B425" s="62"/>
      <c r="C425" s="62"/>
      <c r="D425" s="62"/>
      <c r="E425" s="62"/>
      <c r="F425" s="62"/>
    </row>
    <row r="426" spans="2:6" ht="15.75" customHeight="1" x14ac:dyDescent="0.4">
      <c r="B426" s="62"/>
      <c r="C426" s="62"/>
      <c r="D426" s="62"/>
      <c r="E426" s="62"/>
      <c r="F426" s="62"/>
    </row>
    <row r="427" spans="2:6" ht="15.75" customHeight="1" x14ac:dyDescent="0.4">
      <c r="B427" s="62"/>
      <c r="C427" s="62"/>
      <c r="D427" s="62"/>
      <c r="E427" s="62"/>
      <c r="F427" s="62"/>
    </row>
    <row r="428" spans="2:6" ht="15.75" customHeight="1" x14ac:dyDescent="0.4">
      <c r="B428" s="62"/>
      <c r="C428" s="62"/>
      <c r="D428" s="62"/>
      <c r="E428" s="62"/>
      <c r="F428" s="62"/>
    </row>
    <row r="429" spans="2:6" ht="15.75" customHeight="1" x14ac:dyDescent="0.4">
      <c r="B429" s="62"/>
      <c r="C429" s="62"/>
      <c r="D429" s="62"/>
      <c r="E429" s="62"/>
      <c r="F429" s="62"/>
    </row>
    <row r="430" spans="2:6" ht="15.75" customHeight="1" x14ac:dyDescent="0.4">
      <c r="B430" s="62"/>
      <c r="C430" s="62"/>
      <c r="D430" s="62"/>
      <c r="E430" s="62"/>
      <c r="F430" s="62"/>
    </row>
    <row r="431" spans="2:6" ht="15.75" customHeight="1" x14ac:dyDescent="0.4">
      <c r="B431" s="62"/>
      <c r="C431" s="62"/>
      <c r="D431" s="62"/>
      <c r="E431" s="62"/>
      <c r="F431" s="62"/>
    </row>
    <row r="432" spans="2:6" ht="15.75" customHeight="1" x14ac:dyDescent="0.4">
      <c r="B432" s="62"/>
      <c r="C432" s="62"/>
      <c r="D432" s="62"/>
      <c r="E432" s="62"/>
      <c r="F432" s="62"/>
    </row>
    <row r="433" spans="2:6" ht="15.75" customHeight="1" x14ac:dyDescent="0.4">
      <c r="B433" s="62"/>
      <c r="C433" s="62"/>
      <c r="D433" s="62"/>
      <c r="E433" s="62"/>
      <c r="F433" s="62"/>
    </row>
    <row r="434" spans="2:6" ht="15.75" customHeight="1" x14ac:dyDescent="0.4">
      <c r="B434" s="62"/>
      <c r="C434" s="62"/>
      <c r="D434" s="62"/>
      <c r="E434" s="62"/>
      <c r="F434" s="62"/>
    </row>
    <row r="435" spans="2:6" ht="15.75" customHeight="1" x14ac:dyDescent="0.4">
      <c r="B435" s="62"/>
      <c r="C435" s="62"/>
      <c r="D435" s="62"/>
      <c r="E435" s="62"/>
      <c r="F435" s="62"/>
    </row>
    <row r="436" spans="2:6" ht="15.75" customHeight="1" x14ac:dyDescent="0.4">
      <c r="B436" s="62"/>
      <c r="C436" s="62"/>
      <c r="D436" s="62"/>
      <c r="E436" s="62"/>
      <c r="F436" s="62"/>
    </row>
    <row r="437" spans="2:6" ht="15.75" customHeight="1" x14ac:dyDescent="0.4">
      <c r="B437" s="62"/>
      <c r="C437" s="62"/>
      <c r="D437" s="62"/>
      <c r="E437" s="62"/>
      <c r="F437" s="62"/>
    </row>
    <row r="438" spans="2:6" ht="15.75" customHeight="1" x14ac:dyDescent="0.4">
      <c r="B438" s="62"/>
      <c r="C438" s="62"/>
      <c r="D438" s="62"/>
      <c r="E438" s="62"/>
      <c r="F438" s="62"/>
    </row>
    <row r="439" spans="2:6" ht="15.75" customHeight="1" x14ac:dyDescent="0.4">
      <c r="B439" s="62"/>
      <c r="C439" s="62"/>
      <c r="D439" s="62"/>
      <c r="E439" s="62"/>
      <c r="F439" s="62"/>
    </row>
    <row r="440" spans="2:6" ht="15.75" customHeight="1" x14ac:dyDescent="0.4">
      <c r="B440" s="62"/>
      <c r="C440" s="62"/>
      <c r="D440" s="62"/>
      <c r="E440" s="62"/>
      <c r="F440" s="62"/>
    </row>
    <row r="441" spans="2:6" ht="15.75" customHeight="1" x14ac:dyDescent="0.4">
      <c r="B441" s="62"/>
      <c r="C441" s="62"/>
      <c r="D441" s="62"/>
      <c r="E441" s="62"/>
      <c r="F441" s="62"/>
    </row>
    <row r="442" spans="2:6" ht="15.75" customHeight="1" x14ac:dyDescent="0.4">
      <c r="B442" s="62"/>
      <c r="C442" s="62"/>
      <c r="D442" s="62"/>
      <c r="E442" s="62"/>
      <c r="F442" s="62"/>
    </row>
    <row r="443" spans="2:6" ht="15.75" customHeight="1" x14ac:dyDescent="0.4">
      <c r="B443" s="62"/>
      <c r="C443" s="62"/>
      <c r="D443" s="62"/>
      <c r="E443" s="62"/>
      <c r="F443" s="62"/>
    </row>
    <row r="444" spans="2:6" ht="15.75" customHeight="1" x14ac:dyDescent="0.4">
      <c r="B444" s="62"/>
      <c r="C444" s="62"/>
      <c r="D444" s="62"/>
      <c r="E444" s="62"/>
      <c r="F444" s="62"/>
    </row>
    <row r="445" spans="2:6" ht="15.75" customHeight="1" x14ac:dyDescent="0.4">
      <c r="B445" s="62"/>
      <c r="C445" s="62"/>
      <c r="D445" s="62"/>
      <c r="E445" s="62"/>
      <c r="F445" s="62"/>
    </row>
    <row r="446" spans="2:6" ht="15.75" customHeight="1" x14ac:dyDescent="0.4">
      <c r="B446" s="62"/>
      <c r="C446" s="62"/>
      <c r="D446" s="62"/>
      <c r="E446" s="62"/>
      <c r="F446" s="62"/>
    </row>
    <row r="447" spans="2:6" ht="15.75" customHeight="1" x14ac:dyDescent="0.4">
      <c r="B447" s="62"/>
      <c r="C447" s="62"/>
      <c r="D447" s="62"/>
      <c r="E447" s="62"/>
      <c r="F447" s="62"/>
    </row>
    <row r="448" spans="2:6" ht="15.75" customHeight="1" x14ac:dyDescent="0.4">
      <c r="B448" s="62"/>
      <c r="C448" s="62"/>
      <c r="D448" s="62"/>
      <c r="E448" s="62"/>
      <c r="F448" s="62"/>
    </row>
    <row r="449" spans="2:6" ht="15.75" customHeight="1" x14ac:dyDescent="0.4">
      <c r="B449" s="62"/>
      <c r="C449" s="62"/>
      <c r="D449" s="62"/>
      <c r="E449" s="62"/>
      <c r="F449" s="62"/>
    </row>
    <row r="450" spans="2:6" ht="15.75" customHeight="1" x14ac:dyDescent="0.4">
      <c r="B450" s="62"/>
      <c r="C450" s="62"/>
      <c r="D450" s="62"/>
      <c r="E450" s="62"/>
      <c r="F450" s="62"/>
    </row>
    <row r="451" spans="2:6" ht="15.75" customHeight="1" x14ac:dyDescent="0.4">
      <c r="B451" s="62"/>
      <c r="C451" s="62"/>
      <c r="D451" s="62"/>
      <c r="E451" s="62"/>
      <c r="F451" s="62"/>
    </row>
    <row r="452" spans="2:6" ht="15.75" customHeight="1" x14ac:dyDescent="0.4">
      <c r="B452" s="62"/>
      <c r="C452" s="62"/>
      <c r="D452" s="62"/>
      <c r="E452" s="62"/>
      <c r="F452" s="62"/>
    </row>
    <row r="453" spans="2:6" ht="15.75" customHeight="1" x14ac:dyDescent="0.4">
      <c r="B453" s="62"/>
      <c r="C453" s="62"/>
      <c r="D453" s="62"/>
      <c r="E453" s="62"/>
      <c r="F453" s="62"/>
    </row>
    <row r="454" spans="2:6" ht="15.75" customHeight="1" x14ac:dyDescent="0.4">
      <c r="B454" s="62"/>
      <c r="C454" s="62"/>
      <c r="D454" s="62"/>
      <c r="E454" s="62"/>
      <c r="F454" s="62"/>
    </row>
    <row r="455" spans="2:6" ht="15.75" customHeight="1" x14ac:dyDescent="0.4">
      <c r="B455" s="62"/>
      <c r="C455" s="62"/>
      <c r="D455" s="62"/>
      <c r="E455" s="62"/>
      <c r="F455" s="62"/>
    </row>
    <row r="456" spans="2:6" ht="15.75" customHeight="1" x14ac:dyDescent="0.4">
      <c r="B456" s="62"/>
      <c r="C456" s="62"/>
      <c r="D456" s="62"/>
      <c r="E456" s="62"/>
      <c r="F456" s="62"/>
    </row>
    <row r="457" spans="2:6" ht="15.75" customHeight="1" x14ac:dyDescent="0.4">
      <c r="B457" s="62"/>
      <c r="C457" s="62"/>
      <c r="D457" s="62"/>
      <c r="E457" s="62"/>
      <c r="F457" s="62"/>
    </row>
    <row r="458" spans="2:6" ht="15.75" customHeight="1" x14ac:dyDescent="0.4">
      <c r="B458" s="62"/>
      <c r="C458" s="62"/>
      <c r="D458" s="62"/>
      <c r="E458" s="62"/>
      <c r="F458" s="62"/>
    </row>
    <row r="459" spans="2:6" ht="15.75" customHeight="1" x14ac:dyDescent="0.4">
      <c r="B459" s="62"/>
      <c r="C459" s="62"/>
      <c r="D459" s="62"/>
      <c r="E459" s="62"/>
      <c r="F459" s="62"/>
    </row>
    <row r="460" spans="2:6" ht="15.75" customHeight="1" x14ac:dyDescent="0.4">
      <c r="B460" s="62"/>
      <c r="C460" s="62"/>
      <c r="D460" s="62"/>
      <c r="E460" s="62"/>
      <c r="F460" s="62"/>
    </row>
    <row r="461" spans="2:6" ht="15.75" customHeight="1" x14ac:dyDescent="0.4">
      <c r="B461" s="62"/>
      <c r="C461" s="62"/>
      <c r="D461" s="62"/>
      <c r="E461" s="62"/>
      <c r="F461" s="62"/>
    </row>
    <row r="462" spans="2:6" ht="15.75" customHeight="1" x14ac:dyDescent="0.4">
      <c r="B462" s="62"/>
      <c r="C462" s="62"/>
      <c r="D462" s="62"/>
      <c r="E462" s="62"/>
      <c r="F462" s="62"/>
    </row>
    <row r="463" spans="2:6" ht="15.75" customHeight="1" x14ac:dyDescent="0.4">
      <c r="B463" s="62"/>
      <c r="C463" s="62"/>
      <c r="D463" s="62"/>
      <c r="E463" s="62"/>
      <c r="F463" s="62"/>
    </row>
    <row r="464" spans="2:6" ht="15.75" customHeight="1" x14ac:dyDescent="0.4">
      <c r="B464" s="62"/>
      <c r="C464" s="62"/>
      <c r="D464" s="62"/>
      <c r="E464" s="62"/>
      <c r="F464" s="62"/>
    </row>
    <row r="465" spans="2:6" ht="15.75" customHeight="1" x14ac:dyDescent="0.4">
      <c r="B465" s="62"/>
      <c r="C465" s="62"/>
      <c r="D465" s="62"/>
      <c r="E465" s="62"/>
      <c r="F465" s="62"/>
    </row>
    <row r="466" spans="2:6" ht="15.75" customHeight="1" x14ac:dyDescent="0.4">
      <c r="B466" s="62"/>
      <c r="C466" s="62"/>
      <c r="D466" s="62"/>
      <c r="E466" s="62"/>
      <c r="F466" s="62"/>
    </row>
    <row r="467" spans="2:6" ht="15.75" customHeight="1" x14ac:dyDescent="0.4">
      <c r="B467" s="62"/>
      <c r="C467" s="62"/>
      <c r="D467" s="62"/>
      <c r="E467" s="62"/>
      <c r="F467" s="62"/>
    </row>
    <row r="468" spans="2:6" ht="15.75" customHeight="1" x14ac:dyDescent="0.4">
      <c r="B468" s="62"/>
      <c r="C468" s="62"/>
      <c r="D468" s="62"/>
      <c r="E468" s="62"/>
      <c r="F468" s="62"/>
    </row>
    <row r="469" spans="2:6" ht="15.75" customHeight="1" x14ac:dyDescent="0.4">
      <c r="B469" s="62"/>
      <c r="C469" s="62"/>
      <c r="D469" s="62"/>
      <c r="E469" s="62"/>
      <c r="F469" s="62"/>
    </row>
    <row r="470" spans="2:6" ht="15.75" customHeight="1" x14ac:dyDescent="0.4">
      <c r="B470" s="62"/>
      <c r="C470" s="62"/>
      <c r="D470" s="62"/>
      <c r="E470" s="62"/>
      <c r="F470" s="62"/>
    </row>
    <row r="471" spans="2:6" ht="15.75" customHeight="1" x14ac:dyDescent="0.4">
      <c r="B471" s="62"/>
      <c r="C471" s="62"/>
      <c r="D471" s="62"/>
      <c r="E471" s="62"/>
      <c r="F471" s="62"/>
    </row>
    <row r="472" spans="2:6" ht="15.75" customHeight="1" x14ac:dyDescent="0.4">
      <c r="B472" s="62"/>
      <c r="C472" s="62"/>
      <c r="D472" s="62"/>
      <c r="E472" s="62"/>
      <c r="F472" s="62"/>
    </row>
    <row r="473" spans="2:6" ht="15.75" customHeight="1" x14ac:dyDescent="0.4">
      <c r="B473" s="62"/>
      <c r="C473" s="62"/>
      <c r="D473" s="62"/>
      <c r="E473" s="62"/>
      <c r="F473" s="62"/>
    </row>
    <row r="474" spans="2:6" ht="15.75" customHeight="1" x14ac:dyDescent="0.4">
      <c r="B474" s="62"/>
      <c r="C474" s="62"/>
      <c r="D474" s="62"/>
      <c r="E474" s="62"/>
      <c r="F474" s="62"/>
    </row>
    <row r="475" spans="2:6" ht="15.75" customHeight="1" x14ac:dyDescent="0.4">
      <c r="B475" s="62"/>
      <c r="C475" s="62"/>
      <c r="D475" s="62"/>
      <c r="E475" s="62"/>
      <c r="F475" s="62"/>
    </row>
    <row r="476" spans="2:6" ht="15.75" customHeight="1" x14ac:dyDescent="0.4">
      <c r="B476" s="62"/>
      <c r="C476" s="62"/>
      <c r="D476" s="62"/>
      <c r="E476" s="62"/>
      <c r="F476" s="62"/>
    </row>
    <row r="477" spans="2:6" ht="15.75" customHeight="1" x14ac:dyDescent="0.4">
      <c r="B477" s="62"/>
      <c r="C477" s="62"/>
      <c r="D477" s="62"/>
      <c r="E477" s="62"/>
      <c r="F477" s="62"/>
    </row>
    <row r="478" spans="2:6" ht="15.75" customHeight="1" x14ac:dyDescent="0.4">
      <c r="B478" s="62"/>
      <c r="C478" s="62"/>
      <c r="D478" s="62"/>
      <c r="E478" s="62"/>
      <c r="F478" s="62"/>
    </row>
    <row r="479" spans="2:6" ht="15.75" customHeight="1" x14ac:dyDescent="0.4">
      <c r="B479" s="62"/>
      <c r="C479" s="62"/>
      <c r="D479" s="62"/>
      <c r="E479" s="62"/>
      <c r="F479" s="62"/>
    </row>
    <row r="480" spans="2:6" ht="15.75" customHeight="1" x14ac:dyDescent="0.4">
      <c r="B480" s="62"/>
      <c r="C480" s="62"/>
      <c r="D480" s="62"/>
      <c r="E480" s="62"/>
      <c r="F480" s="62"/>
    </row>
    <row r="481" spans="2:6" ht="15.75" customHeight="1" x14ac:dyDescent="0.4">
      <c r="B481" s="62"/>
      <c r="C481" s="62"/>
      <c r="D481" s="62"/>
      <c r="E481" s="62"/>
      <c r="F481" s="62"/>
    </row>
    <row r="482" spans="2:6" ht="15.75" customHeight="1" x14ac:dyDescent="0.4">
      <c r="B482" s="62"/>
      <c r="C482" s="62"/>
      <c r="D482" s="62"/>
      <c r="E482" s="62"/>
      <c r="F482" s="62"/>
    </row>
    <row r="483" spans="2:6" ht="15.75" customHeight="1" x14ac:dyDescent="0.4">
      <c r="B483" s="62"/>
      <c r="C483" s="62"/>
      <c r="D483" s="62"/>
      <c r="E483" s="62"/>
      <c r="F483" s="62"/>
    </row>
    <row r="484" spans="2:6" ht="15.75" customHeight="1" x14ac:dyDescent="0.4">
      <c r="B484" s="62"/>
      <c r="C484" s="62"/>
      <c r="D484" s="62"/>
      <c r="E484" s="62"/>
      <c r="F484" s="62"/>
    </row>
    <row r="485" spans="2:6" ht="15.75" customHeight="1" x14ac:dyDescent="0.4">
      <c r="B485" s="62"/>
      <c r="C485" s="62"/>
      <c r="D485" s="62"/>
      <c r="E485" s="62"/>
      <c r="F485" s="62"/>
    </row>
    <row r="486" spans="2:6" ht="15.75" customHeight="1" x14ac:dyDescent="0.4">
      <c r="B486" s="62"/>
      <c r="C486" s="62"/>
      <c r="D486" s="62"/>
      <c r="E486" s="62"/>
      <c r="F486" s="62"/>
    </row>
    <row r="487" spans="2:6" ht="15.75" customHeight="1" x14ac:dyDescent="0.4">
      <c r="B487" s="62"/>
      <c r="C487" s="62"/>
      <c r="D487" s="62"/>
      <c r="E487" s="62"/>
      <c r="F487" s="62"/>
    </row>
    <row r="488" spans="2:6" ht="15.75" customHeight="1" x14ac:dyDescent="0.4">
      <c r="B488" s="62"/>
      <c r="C488" s="62"/>
      <c r="D488" s="62"/>
      <c r="E488" s="62"/>
      <c r="F488" s="62"/>
    </row>
    <row r="489" spans="2:6" ht="15.75" customHeight="1" x14ac:dyDescent="0.4">
      <c r="B489" s="62"/>
      <c r="C489" s="62"/>
      <c r="D489" s="62"/>
      <c r="E489" s="62"/>
      <c r="F489" s="62"/>
    </row>
    <row r="490" spans="2:6" ht="15.75" customHeight="1" x14ac:dyDescent="0.4">
      <c r="B490" s="62"/>
      <c r="C490" s="62"/>
      <c r="D490" s="62"/>
      <c r="E490" s="62"/>
      <c r="F490" s="62"/>
    </row>
    <row r="491" spans="2:6" ht="15.75" customHeight="1" x14ac:dyDescent="0.4">
      <c r="B491" s="62"/>
      <c r="C491" s="62"/>
      <c r="D491" s="62"/>
      <c r="E491" s="62"/>
      <c r="F491" s="62"/>
    </row>
    <row r="492" spans="2:6" ht="15.75" customHeight="1" x14ac:dyDescent="0.4">
      <c r="B492" s="62"/>
      <c r="C492" s="62"/>
      <c r="D492" s="62"/>
      <c r="E492" s="62"/>
      <c r="F492" s="62"/>
    </row>
    <row r="493" spans="2:6" ht="15.75" customHeight="1" x14ac:dyDescent="0.4">
      <c r="B493" s="62"/>
      <c r="C493" s="62"/>
      <c r="D493" s="62"/>
      <c r="E493" s="62"/>
      <c r="F493" s="62"/>
    </row>
    <row r="494" spans="2:6" ht="15.75" customHeight="1" x14ac:dyDescent="0.4">
      <c r="B494" s="62"/>
      <c r="C494" s="62"/>
      <c r="D494" s="62"/>
      <c r="E494" s="62"/>
      <c r="F494" s="62"/>
    </row>
    <row r="495" spans="2:6" ht="15.75" customHeight="1" x14ac:dyDescent="0.4">
      <c r="B495" s="62"/>
      <c r="C495" s="62"/>
      <c r="D495" s="62"/>
      <c r="E495" s="62"/>
      <c r="F495" s="62"/>
    </row>
    <row r="496" spans="2:6" ht="15.75" customHeight="1" x14ac:dyDescent="0.4">
      <c r="B496" s="62"/>
      <c r="C496" s="62"/>
      <c r="D496" s="62"/>
      <c r="E496" s="62"/>
      <c r="F496" s="62"/>
    </row>
    <row r="497" spans="2:6" ht="15.75" customHeight="1" x14ac:dyDescent="0.4">
      <c r="B497" s="62"/>
      <c r="C497" s="62"/>
      <c r="D497" s="62"/>
      <c r="E497" s="62"/>
      <c r="F497" s="62"/>
    </row>
    <row r="498" spans="2:6" ht="15.75" customHeight="1" x14ac:dyDescent="0.4">
      <c r="B498" s="62"/>
      <c r="C498" s="62"/>
      <c r="D498" s="62"/>
      <c r="E498" s="62"/>
      <c r="F498" s="62"/>
    </row>
    <row r="499" spans="2:6" ht="15.75" customHeight="1" x14ac:dyDescent="0.4">
      <c r="B499" s="62"/>
      <c r="C499" s="62"/>
      <c r="D499" s="62"/>
      <c r="E499" s="62"/>
      <c r="F499" s="62"/>
    </row>
    <row r="500" spans="2:6" ht="15.75" customHeight="1" x14ac:dyDescent="0.4">
      <c r="B500" s="62"/>
      <c r="C500" s="62"/>
      <c r="D500" s="62"/>
      <c r="E500" s="62"/>
      <c r="F500" s="62"/>
    </row>
    <row r="501" spans="2:6" ht="15.75" customHeight="1" x14ac:dyDescent="0.4">
      <c r="B501" s="62"/>
      <c r="C501" s="62"/>
      <c r="D501" s="62"/>
      <c r="E501" s="62"/>
      <c r="F501" s="62"/>
    </row>
    <row r="502" spans="2:6" ht="15.75" customHeight="1" x14ac:dyDescent="0.4">
      <c r="B502" s="62"/>
      <c r="C502" s="62"/>
      <c r="D502" s="62"/>
      <c r="E502" s="62"/>
      <c r="F502" s="62"/>
    </row>
    <row r="503" spans="2:6" ht="15.75" customHeight="1" x14ac:dyDescent="0.4">
      <c r="B503" s="62"/>
      <c r="C503" s="62"/>
      <c r="D503" s="62"/>
      <c r="E503" s="62"/>
      <c r="F503" s="62"/>
    </row>
    <row r="504" spans="2:6" ht="15.75" customHeight="1" x14ac:dyDescent="0.4">
      <c r="B504" s="62"/>
      <c r="C504" s="62"/>
      <c r="D504" s="62"/>
      <c r="E504" s="62"/>
      <c r="F504" s="62"/>
    </row>
    <row r="505" spans="2:6" ht="15.75" customHeight="1" x14ac:dyDescent="0.4">
      <c r="B505" s="62"/>
      <c r="C505" s="62"/>
      <c r="D505" s="62"/>
      <c r="E505" s="62"/>
      <c r="F505" s="62"/>
    </row>
    <row r="506" spans="2:6" ht="15.75" customHeight="1" x14ac:dyDescent="0.4">
      <c r="B506" s="62"/>
      <c r="C506" s="62"/>
      <c r="D506" s="62"/>
      <c r="E506" s="62"/>
      <c r="F506" s="62"/>
    </row>
    <row r="507" spans="2:6" ht="15.75" customHeight="1" x14ac:dyDescent="0.4">
      <c r="B507" s="62"/>
      <c r="C507" s="62"/>
      <c r="D507" s="62"/>
      <c r="E507" s="62"/>
      <c r="F507" s="62"/>
    </row>
    <row r="508" spans="2:6" ht="15.75" customHeight="1" x14ac:dyDescent="0.4">
      <c r="B508" s="62"/>
      <c r="C508" s="62"/>
      <c r="D508" s="62"/>
      <c r="E508" s="62"/>
      <c r="F508" s="62"/>
    </row>
    <row r="509" spans="2:6" ht="15.75" customHeight="1" x14ac:dyDescent="0.4">
      <c r="B509" s="62"/>
      <c r="C509" s="62"/>
      <c r="D509" s="62"/>
      <c r="E509" s="62"/>
      <c r="F509" s="62"/>
    </row>
    <row r="510" spans="2:6" ht="15.75" customHeight="1" x14ac:dyDescent="0.4">
      <c r="B510" s="62"/>
      <c r="C510" s="62"/>
      <c r="D510" s="62"/>
      <c r="E510" s="62"/>
      <c r="F510" s="62"/>
    </row>
    <row r="511" spans="2:6" ht="15.75" customHeight="1" x14ac:dyDescent="0.4">
      <c r="B511" s="62"/>
      <c r="C511" s="62"/>
      <c r="D511" s="62"/>
      <c r="E511" s="62"/>
      <c r="F511" s="62"/>
    </row>
    <row r="512" spans="2:6" ht="15.75" customHeight="1" x14ac:dyDescent="0.4">
      <c r="B512" s="62"/>
      <c r="C512" s="62"/>
      <c r="D512" s="62"/>
      <c r="E512" s="62"/>
      <c r="F512" s="62"/>
    </row>
    <row r="513" spans="2:6" ht="15.75" customHeight="1" x14ac:dyDescent="0.4">
      <c r="B513" s="62"/>
      <c r="C513" s="62"/>
      <c r="D513" s="62"/>
      <c r="E513" s="62"/>
      <c r="F513" s="62"/>
    </row>
    <row r="514" spans="2:6" ht="15.75" customHeight="1" x14ac:dyDescent="0.4">
      <c r="B514" s="62"/>
      <c r="C514" s="62"/>
      <c r="D514" s="62"/>
      <c r="E514" s="62"/>
      <c r="F514" s="62"/>
    </row>
    <row r="515" spans="2:6" ht="15.75" customHeight="1" x14ac:dyDescent="0.4">
      <c r="B515" s="62"/>
      <c r="C515" s="62"/>
      <c r="D515" s="62"/>
      <c r="E515" s="62"/>
      <c r="F515" s="62"/>
    </row>
    <row r="516" spans="2:6" ht="15.75" customHeight="1" x14ac:dyDescent="0.4">
      <c r="B516" s="62"/>
      <c r="C516" s="62"/>
      <c r="D516" s="62"/>
      <c r="E516" s="62"/>
      <c r="F516" s="62"/>
    </row>
    <row r="517" spans="2:6" ht="15.75" customHeight="1" x14ac:dyDescent="0.4">
      <c r="B517" s="62"/>
      <c r="C517" s="62"/>
      <c r="D517" s="62"/>
      <c r="E517" s="62"/>
      <c r="F517" s="62"/>
    </row>
    <row r="518" spans="2:6" ht="15.75" customHeight="1" x14ac:dyDescent="0.4">
      <c r="B518" s="62"/>
      <c r="C518" s="62"/>
      <c r="D518" s="62"/>
      <c r="E518" s="62"/>
      <c r="F518" s="62"/>
    </row>
    <row r="519" spans="2:6" ht="15.75" customHeight="1" x14ac:dyDescent="0.4">
      <c r="B519" s="62"/>
      <c r="C519" s="62"/>
      <c r="D519" s="62"/>
      <c r="E519" s="62"/>
      <c r="F519" s="62"/>
    </row>
    <row r="520" spans="2:6" ht="15.75" customHeight="1" x14ac:dyDescent="0.4">
      <c r="B520" s="62"/>
      <c r="C520" s="62"/>
      <c r="D520" s="62"/>
      <c r="E520" s="62"/>
      <c r="F520" s="62"/>
    </row>
    <row r="521" spans="2:6" ht="15.75" customHeight="1" x14ac:dyDescent="0.4">
      <c r="B521" s="62"/>
      <c r="C521" s="62"/>
      <c r="D521" s="62"/>
      <c r="E521" s="62"/>
      <c r="F521" s="62"/>
    </row>
    <row r="522" spans="2:6" ht="15.75" customHeight="1" x14ac:dyDescent="0.4">
      <c r="B522" s="62"/>
      <c r="C522" s="62"/>
      <c r="D522" s="62"/>
      <c r="E522" s="62"/>
      <c r="F522" s="62"/>
    </row>
    <row r="523" spans="2:6" ht="15.75" customHeight="1" x14ac:dyDescent="0.4">
      <c r="B523" s="62"/>
      <c r="C523" s="62"/>
      <c r="D523" s="62"/>
      <c r="E523" s="62"/>
      <c r="F523" s="62"/>
    </row>
    <row r="524" spans="2:6" ht="15.75" customHeight="1" x14ac:dyDescent="0.4">
      <c r="B524" s="62"/>
      <c r="C524" s="62"/>
      <c r="D524" s="62"/>
      <c r="E524" s="62"/>
      <c r="F524" s="62"/>
    </row>
    <row r="525" spans="2:6" ht="15.75" customHeight="1" x14ac:dyDescent="0.4">
      <c r="B525" s="62"/>
      <c r="C525" s="62"/>
      <c r="D525" s="62"/>
      <c r="E525" s="62"/>
      <c r="F525" s="62"/>
    </row>
    <row r="526" spans="2:6" ht="15.75" customHeight="1" x14ac:dyDescent="0.4">
      <c r="B526" s="62"/>
      <c r="C526" s="62"/>
      <c r="D526" s="62"/>
      <c r="E526" s="62"/>
      <c r="F526" s="62"/>
    </row>
    <row r="527" spans="2:6" ht="15.75" customHeight="1" x14ac:dyDescent="0.4">
      <c r="B527" s="62"/>
      <c r="C527" s="62"/>
      <c r="D527" s="62"/>
      <c r="E527" s="62"/>
      <c r="F527" s="62"/>
    </row>
    <row r="528" spans="2:6" ht="15.75" customHeight="1" x14ac:dyDescent="0.4">
      <c r="B528" s="62"/>
      <c r="C528" s="62"/>
      <c r="D528" s="62"/>
      <c r="E528" s="62"/>
      <c r="F528" s="62"/>
    </row>
    <row r="529" spans="2:6" ht="15.75" customHeight="1" x14ac:dyDescent="0.4">
      <c r="B529" s="62"/>
      <c r="C529" s="62"/>
      <c r="D529" s="62"/>
      <c r="E529" s="62"/>
      <c r="F529" s="62"/>
    </row>
    <row r="530" spans="2:6" ht="15.75" customHeight="1" x14ac:dyDescent="0.4">
      <c r="B530" s="62"/>
      <c r="C530" s="62"/>
      <c r="D530" s="62"/>
      <c r="E530" s="62"/>
      <c r="F530" s="62"/>
    </row>
    <row r="531" spans="2:6" ht="15.75" customHeight="1" x14ac:dyDescent="0.4">
      <c r="B531" s="62"/>
      <c r="C531" s="62"/>
      <c r="D531" s="62"/>
      <c r="E531" s="62"/>
      <c r="F531" s="62"/>
    </row>
    <row r="532" spans="2:6" ht="15.75" customHeight="1" x14ac:dyDescent="0.4">
      <c r="B532" s="62"/>
      <c r="C532" s="62"/>
      <c r="D532" s="62"/>
      <c r="E532" s="62"/>
      <c r="F532" s="62"/>
    </row>
    <row r="533" spans="2:6" ht="15.75" customHeight="1" x14ac:dyDescent="0.4">
      <c r="B533" s="62"/>
      <c r="C533" s="62"/>
      <c r="D533" s="62"/>
      <c r="E533" s="62"/>
      <c r="F533" s="62"/>
    </row>
    <row r="534" spans="2:6" ht="15.75" customHeight="1" x14ac:dyDescent="0.4">
      <c r="B534" s="62"/>
      <c r="C534" s="62"/>
      <c r="D534" s="62"/>
      <c r="E534" s="62"/>
      <c r="F534" s="62"/>
    </row>
    <row r="535" spans="2:6" ht="15.75" customHeight="1" x14ac:dyDescent="0.4">
      <c r="B535" s="62"/>
      <c r="C535" s="62"/>
      <c r="D535" s="62"/>
      <c r="E535" s="62"/>
      <c r="F535" s="62"/>
    </row>
    <row r="536" spans="2:6" ht="15.75" customHeight="1" x14ac:dyDescent="0.4">
      <c r="B536" s="62"/>
      <c r="C536" s="62"/>
      <c r="D536" s="62"/>
      <c r="E536" s="62"/>
      <c r="F536" s="62"/>
    </row>
    <row r="537" spans="2:6" ht="15.75" customHeight="1" x14ac:dyDescent="0.4">
      <c r="B537" s="62"/>
      <c r="C537" s="62"/>
      <c r="D537" s="62"/>
      <c r="E537" s="62"/>
      <c r="F537" s="62"/>
    </row>
    <row r="538" spans="2:6" ht="15.75" customHeight="1" x14ac:dyDescent="0.4">
      <c r="B538" s="62"/>
      <c r="C538" s="62"/>
      <c r="D538" s="62"/>
      <c r="E538" s="62"/>
      <c r="F538" s="62"/>
    </row>
    <row r="539" spans="2:6" ht="15.75" customHeight="1" x14ac:dyDescent="0.4">
      <c r="B539" s="62"/>
      <c r="C539" s="62"/>
      <c r="D539" s="62"/>
      <c r="E539" s="62"/>
      <c r="F539" s="62"/>
    </row>
    <row r="540" spans="2:6" ht="15.75" customHeight="1" x14ac:dyDescent="0.4">
      <c r="B540" s="62"/>
      <c r="C540" s="62"/>
      <c r="D540" s="62"/>
      <c r="E540" s="62"/>
      <c r="F540" s="62"/>
    </row>
    <row r="541" spans="2:6" ht="15.75" customHeight="1" x14ac:dyDescent="0.4">
      <c r="B541" s="62"/>
      <c r="C541" s="62"/>
      <c r="D541" s="62"/>
      <c r="E541" s="62"/>
      <c r="F541" s="62"/>
    </row>
    <row r="542" spans="2:6" ht="15.75" customHeight="1" x14ac:dyDescent="0.4">
      <c r="B542" s="62"/>
      <c r="C542" s="62"/>
      <c r="D542" s="62"/>
      <c r="E542" s="62"/>
      <c r="F542" s="62"/>
    </row>
    <row r="543" spans="2:6" ht="15.75" customHeight="1" x14ac:dyDescent="0.4">
      <c r="B543" s="62"/>
      <c r="C543" s="62"/>
      <c r="D543" s="62"/>
      <c r="E543" s="62"/>
      <c r="F543" s="62"/>
    </row>
    <row r="544" spans="2:6" ht="15.75" customHeight="1" x14ac:dyDescent="0.4">
      <c r="B544" s="62"/>
      <c r="C544" s="62"/>
      <c r="D544" s="62"/>
      <c r="E544" s="62"/>
      <c r="F544" s="62"/>
    </row>
    <row r="545" spans="2:6" ht="15.75" customHeight="1" x14ac:dyDescent="0.4">
      <c r="B545" s="62"/>
      <c r="C545" s="62"/>
      <c r="D545" s="62"/>
      <c r="E545" s="62"/>
      <c r="F545" s="62"/>
    </row>
    <row r="546" spans="2:6" ht="15.75" customHeight="1" x14ac:dyDescent="0.4">
      <c r="B546" s="62"/>
      <c r="C546" s="62"/>
      <c r="D546" s="62"/>
      <c r="E546" s="62"/>
      <c r="F546" s="62"/>
    </row>
    <row r="547" spans="2:6" ht="15.75" customHeight="1" x14ac:dyDescent="0.4">
      <c r="B547" s="62"/>
      <c r="C547" s="62"/>
      <c r="D547" s="62"/>
      <c r="E547" s="62"/>
      <c r="F547" s="62"/>
    </row>
    <row r="548" spans="2:6" ht="15.75" customHeight="1" x14ac:dyDescent="0.4">
      <c r="B548" s="62"/>
      <c r="C548" s="62"/>
      <c r="D548" s="62"/>
      <c r="E548" s="62"/>
      <c r="F548" s="62"/>
    </row>
    <row r="549" spans="2:6" ht="15.75" customHeight="1" x14ac:dyDescent="0.4">
      <c r="B549" s="62"/>
      <c r="C549" s="62"/>
      <c r="D549" s="62"/>
      <c r="E549" s="62"/>
      <c r="F549" s="62"/>
    </row>
    <row r="550" spans="2:6" ht="15.75" customHeight="1" x14ac:dyDescent="0.4">
      <c r="B550" s="62"/>
      <c r="C550" s="62"/>
      <c r="D550" s="62"/>
      <c r="E550" s="62"/>
      <c r="F550" s="62"/>
    </row>
    <row r="551" spans="2:6" ht="15.75" customHeight="1" x14ac:dyDescent="0.4">
      <c r="B551" s="62"/>
      <c r="C551" s="62"/>
      <c r="D551" s="62"/>
      <c r="E551" s="62"/>
      <c r="F551" s="62"/>
    </row>
    <row r="552" spans="2:6" ht="15.75" customHeight="1" x14ac:dyDescent="0.4">
      <c r="B552" s="62"/>
      <c r="C552" s="62"/>
      <c r="D552" s="62"/>
      <c r="E552" s="62"/>
      <c r="F552" s="62"/>
    </row>
    <row r="553" spans="2:6" ht="15.75" customHeight="1" x14ac:dyDescent="0.4">
      <c r="B553" s="62"/>
      <c r="C553" s="62"/>
      <c r="D553" s="62"/>
      <c r="E553" s="62"/>
      <c r="F553" s="62"/>
    </row>
    <row r="554" spans="2:6" ht="15.75" customHeight="1" x14ac:dyDescent="0.4">
      <c r="B554" s="62"/>
      <c r="C554" s="62"/>
      <c r="D554" s="62"/>
      <c r="E554" s="62"/>
      <c r="F554" s="62"/>
    </row>
    <row r="555" spans="2:6" ht="15.75" customHeight="1" x14ac:dyDescent="0.4">
      <c r="B555" s="62"/>
      <c r="C555" s="62"/>
      <c r="D555" s="62"/>
      <c r="E555" s="62"/>
      <c r="F555" s="62"/>
    </row>
    <row r="556" spans="2:6" ht="15.75" customHeight="1" x14ac:dyDescent="0.4">
      <c r="B556" s="62"/>
      <c r="C556" s="62"/>
      <c r="D556" s="62"/>
      <c r="E556" s="62"/>
      <c r="F556" s="62"/>
    </row>
    <row r="557" spans="2:6" ht="15.75" customHeight="1" x14ac:dyDescent="0.4">
      <c r="B557" s="62"/>
      <c r="C557" s="62"/>
      <c r="D557" s="62"/>
      <c r="E557" s="62"/>
      <c r="F557" s="62"/>
    </row>
    <row r="558" spans="2:6" ht="15.75" customHeight="1" x14ac:dyDescent="0.4">
      <c r="B558" s="62"/>
      <c r="C558" s="62"/>
      <c r="D558" s="62"/>
      <c r="E558" s="62"/>
      <c r="F558" s="62"/>
    </row>
    <row r="559" spans="2:6" ht="15.75" customHeight="1" x14ac:dyDescent="0.4">
      <c r="B559" s="62"/>
      <c r="C559" s="62"/>
      <c r="D559" s="62"/>
      <c r="E559" s="62"/>
      <c r="F559" s="62"/>
    </row>
    <row r="560" spans="2:6" ht="15.75" customHeight="1" x14ac:dyDescent="0.4">
      <c r="B560" s="62"/>
      <c r="C560" s="62"/>
      <c r="D560" s="62"/>
      <c r="E560" s="62"/>
      <c r="F560" s="62"/>
    </row>
    <row r="561" spans="2:6" ht="15.75" customHeight="1" x14ac:dyDescent="0.4">
      <c r="B561" s="62"/>
      <c r="C561" s="62"/>
      <c r="D561" s="62"/>
      <c r="E561" s="62"/>
      <c r="F561" s="62"/>
    </row>
    <row r="562" spans="2:6" ht="15.75" customHeight="1" x14ac:dyDescent="0.4">
      <c r="B562" s="62"/>
      <c r="C562" s="62"/>
      <c r="D562" s="62"/>
      <c r="E562" s="62"/>
      <c r="F562" s="62"/>
    </row>
    <row r="563" spans="2:6" ht="15.75" customHeight="1" x14ac:dyDescent="0.4">
      <c r="B563" s="62"/>
      <c r="C563" s="62"/>
      <c r="D563" s="62"/>
      <c r="E563" s="62"/>
      <c r="F563" s="62"/>
    </row>
    <row r="564" spans="2:6" ht="15.75" customHeight="1" x14ac:dyDescent="0.4">
      <c r="B564" s="62"/>
      <c r="C564" s="62"/>
      <c r="D564" s="62"/>
      <c r="E564" s="62"/>
      <c r="F564" s="62"/>
    </row>
    <row r="565" spans="2:6" ht="15.75" customHeight="1" x14ac:dyDescent="0.4">
      <c r="B565" s="62"/>
      <c r="C565" s="62"/>
      <c r="D565" s="62"/>
      <c r="E565" s="62"/>
      <c r="F565" s="62"/>
    </row>
    <row r="566" spans="2:6" ht="15.75" customHeight="1" x14ac:dyDescent="0.4">
      <c r="B566" s="62"/>
      <c r="C566" s="62"/>
      <c r="D566" s="62"/>
      <c r="E566" s="62"/>
      <c r="F566" s="62"/>
    </row>
    <row r="567" spans="2:6" ht="15.75" customHeight="1" x14ac:dyDescent="0.4">
      <c r="B567" s="62"/>
      <c r="C567" s="62"/>
      <c r="D567" s="62"/>
      <c r="E567" s="62"/>
      <c r="F567" s="62"/>
    </row>
    <row r="568" spans="2:6" ht="15.75" customHeight="1" x14ac:dyDescent="0.4">
      <c r="B568" s="62"/>
      <c r="C568" s="62"/>
      <c r="D568" s="62"/>
      <c r="E568" s="62"/>
      <c r="F568" s="62"/>
    </row>
    <row r="569" spans="2:6" ht="15.75" customHeight="1" x14ac:dyDescent="0.4">
      <c r="B569" s="62"/>
      <c r="C569" s="62"/>
      <c r="D569" s="62"/>
      <c r="E569" s="62"/>
      <c r="F569" s="62"/>
    </row>
    <row r="570" spans="2:6" ht="15.75" customHeight="1" x14ac:dyDescent="0.4">
      <c r="B570" s="62"/>
      <c r="C570" s="62"/>
      <c r="D570" s="62"/>
      <c r="E570" s="62"/>
      <c r="F570" s="62"/>
    </row>
    <row r="571" spans="2:6" ht="15.75" customHeight="1" x14ac:dyDescent="0.4">
      <c r="B571" s="62"/>
      <c r="C571" s="62"/>
      <c r="D571" s="62"/>
      <c r="E571" s="62"/>
      <c r="F571" s="62"/>
    </row>
    <row r="572" spans="2:6" ht="15.75" customHeight="1" x14ac:dyDescent="0.4">
      <c r="B572" s="62"/>
      <c r="C572" s="62"/>
      <c r="D572" s="62"/>
      <c r="E572" s="62"/>
      <c r="F572" s="62"/>
    </row>
    <row r="573" spans="2:6" ht="15.75" customHeight="1" x14ac:dyDescent="0.4">
      <c r="B573" s="62"/>
      <c r="C573" s="62"/>
      <c r="D573" s="62"/>
      <c r="E573" s="62"/>
      <c r="F573" s="62"/>
    </row>
    <row r="574" spans="2:6" ht="15.75" customHeight="1" x14ac:dyDescent="0.4">
      <c r="B574" s="62"/>
      <c r="C574" s="62"/>
      <c r="D574" s="62"/>
      <c r="E574" s="62"/>
      <c r="F574" s="62"/>
    </row>
    <row r="575" spans="2:6" ht="15.75" customHeight="1" x14ac:dyDescent="0.4">
      <c r="B575" s="62"/>
      <c r="C575" s="62"/>
      <c r="D575" s="62"/>
      <c r="E575" s="62"/>
      <c r="F575" s="62"/>
    </row>
    <row r="576" spans="2:6" ht="15.75" customHeight="1" x14ac:dyDescent="0.4">
      <c r="B576" s="62"/>
      <c r="C576" s="62"/>
      <c r="D576" s="62"/>
      <c r="E576" s="62"/>
      <c r="F576" s="62"/>
    </row>
    <row r="577" spans="2:6" ht="15.75" customHeight="1" x14ac:dyDescent="0.4">
      <c r="B577" s="62"/>
      <c r="C577" s="62"/>
      <c r="D577" s="62"/>
      <c r="E577" s="62"/>
      <c r="F577" s="62"/>
    </row>
    <row r="578" spans="2:6" ht="15.75" customHeight="1" x14ac:dyDescent="0.4">
      <c r="B578" s="62"/>
      <c r="C578" s="62"/>
      <c r="D578" s="62"/>
      <c r="E578" s="62"/>
      <c r="F578" s="62"/>
    </row>
    <row r="579" spans="2:6" ht="15.75" customHeight="1" x14ac:dyDescent="0.4">
      <c r="B579" s="62"/>
      <c r="C579" s="62"/>
      <c r="D579" s="62"/>
      <c r="E579" s="62"/>
      <c r="F579" s="62"/>
    </row>
    <row r="580" spans="2:6" ht="15.75" customHeight="1" x14ac:dyDescent="0.4">
      <c r="B580" s="62"/>
      <c r="C580" s="62"/>
      <c r="D580" s="62"/>
      <c r="E580" s="62"/>
      <c r="F580" s="62"/>
    </row>
    <row r="581" spans="2:6" ht="15.75" customHeight="1" x14ac:dyDescent="0.4">
      <c r="B581" s="62"/>
      <c r="C581" s="62"/>
      <c r="D581" s="62"/>
      <c r="E581" s="62"/>
      <c r="F581" s="62"/>
    </row>
    <row r="582" spans="2:6" ht="15.75" customHeight="1" x14ac:dyDescent="0.4">
      <c r="B582" s="62"/>
      <c r="C582" s="62"/>
      <c r="D582" s="62"/>
      <c r="E582" s="62"/>
      <c r="F582" s="62"/>
    </row>
    <row r="583" spans="2:6" ht="15.75" customHeight="1" x14ac:dyDescent="0.4">
      <c r="B583" s="62"/>
      <c r="C583" s="62"/>
      <c r="D583" s="62"/>
      <c r="E583" s="62"/>
      <c r="F583" s="62"/>
    </row>
    <row r="584" spans="2:6" ht="15.75" customHeight="1" x14ac:dyDescent="0.4">
      <c r="B584" s="62"/>
      <c r="C584" s="62"/>
      <c r="D584" s="62"/>
      <c r="E584" s="62"/>
      <c r="F584" s="62"/>
    </row>
    <row r="585" spans="2:6" ht="15.75" customHeight="1" x14ac:dyDescent="0.4">
      <c r="B585" s="62"/>
      <c r="C585" s="62"/>
      <c r="D585" s="62"/>
      <c r="E585" s="62"/>
      <c r="F585" s="62"/>
    </row>
    <row r="586" spans="2:6" ht="15.75" customHeight="1" x14ac:dyDescent="0.4">
      <c r="B586" s="62"/>
      <c r="C586" s="62"/>
      <c r="D586" s="62"/>
      <c r="E586" s="62"/>
      <c r="F586" s="62"/>
    </row>
    <row r="587" spans="2:6" ht="15.75" customHeight="1" x14ac:dyDescent="0.4">
      <c r="B587" s="62"/>
      <c r="C587" s="62"/>
      <c r="D587" s="62"/>
      <c r="E587" s="62"/>
      <c r="F587" s="62"/>
    </row>
    <row r="588" spans="2:6" ht="15.75" customHeight="1" x14ac:dyDescent="0.4">
      <c r="B588" s="62"/>
      <c r="C588" s="62"/>
      <c r="D588" s="62"/>
      <c r="E588" s="62"/>
      <c r="F588" s="62"/>
    </row>
    <row r="589" spans="2:6" ht="15.75" customHeight="1" x14ac:dyDescent="0.4">
      <c r="B589" s="62"/>
      <c r="C589" s="62"/>
      <c r="D589" s="62"/>
      <c r="E589" s="62"/>
      <c r="F589" s="62"/>
    </row>
    <row r="590" spans="2:6" ht="15.75" customHeight="1" x14ac:dyDescent="0.4">
      <c r="B590" s="62"/>
      <c r="C590" s="62"/>
      <c r="D590" s="62"/>
      <c r="E590" s="62"/>
      <c r="F590" s="62"/>
    </row>
    <row r="591" spans="2:6" ht="15.75" customHeight="1" x14ac:dyDescent="0.4">
      <c r="B591" s="62"/>
      <c r="C591" s="62"/>
      <c r="D591" s="62"/>
      <c r="E591" s="62"/>
      <c r="F591" s="62"/>
    </row>
    <row r="592" spans="2:6" ht="15.75" customHeight="1" x14ac:dyDescent="0.4">
      <c r="B592" s="62"/>
      <c r="C592" s="62"/>
      <c r="D592" s="62"/>
      <c r="E592" s="62"/>
      <c r="F592" s="62"/>
    </row>
    <row r="593" spans="2:6" ht="15.75" customHeight="1" x14ac:dyDescent="0.4">
      <c r="B593" s="62"/>
      <c r="C593" s="62"/>
      <c r="D593" s="62"/>
      <c r="E593" s="62"/>
      <c r="F593" s="62"/>
    </row>
    <row r="594" spans="2:6" ht="15.75" customHeight="1" x14ac:dyDescent="0.4">
      <c r="B594" s="62"/>
      <c r="C594" s="62"/>
      <c r="D594" s="62"/>
      <c r="E594" s="62"/>
      <c r="F594" s="62"/>
    </row>
    <row r="595" spans="2:6" ht="15.75" customHeight="1" x14ac:dyDescent="0.4">
      <c r="B595" s="62"/>
      <c r="C595" s="62"/>
      <c r="D595" s="62"/>
      <c r="E595" s="62"/>
      <c r="F595" s="62"/>
    </row>
    <row r="596" spans="2:6" ht="15.75" customHeight="1" x14ac:dyDescent="0.4">
      <c r="B596" s="62"/>
      <c r="C596" s="62"/>
      <c r="D596" s="62"/>
      <c r="E596" s="62"/>
      <c r="F596" s="62"/>
    </row>
    <row r="597" spans="2:6" ht="15.75" customHeight="1" x14ac:dyDescent="0.4">
      <c r="B597" s="62"/>
      <c r="C597" s="62"/>
      <c r="D597" s="62"/>
      <c r="E597" s="62"/>
      <c r="F597" s="62"/>
    </row>
    <row r="598" spans="2:6" ht="15.75" customHeight="1" x14ac:dyDescent="0.4">
      <c r="B598" s="62"/>
      <c r="C598" s="62"/>
      <c r="D598" s="62"/>
      <c r="E598" s="62"/>
      <c r="F598" s="62"/>
    </row>
    <row r="599" spans="2:6" ht="15.75" customHeight="1" x14ac:dyDescent="0.4">
      <c r="B599" s="62"/>
      <c r="C599" s="62"/>
      <c r="D599" s="62"/>
      <c r="E599" s="62"/>
      <c r="F599" s="62"/>
    </row>
    <row r="600" spans="2:6" ht="15.75" customHeight="1" x14ac:dyDescent="0.4">
      <c r="B600" s="62"/>
      <c r="C600" s="62"/>
      <c r="D600" s="62"/>
      <c r="E600" s="62"/>
      <c r="F600" s="62"/>
    </row>
    <row r="601" spans="2:6" ht="15.75" customHeight="1" x14ac:dyDescent="0.4">
      <c r="B601" s="62"/>
      <c r="C601" s="62"/>
      <c r="D601" s="62"/>
      <c r="E601" s="62"/>
      <c r="F601" s="62"/>
    </row>
    <row r="602" spans="2:6" ht="15.75" customHeight="1" x14ac:dyDescent="0.4">
      <c r="B602" s="62"/>
      <c r="C602" s="62"/>
      <c r="D602" s="62"/>
      <c r="E602" s="62"/>
      <c r="F602" s="62"/>
    </row>
    <row r="603" spans="2:6" ht="15.75" customHeight="1" x14ac:dyDescent="0.4">
      <c r="B603" s="62"/>
      <c r="C603" s="62"/>
      <c r="D603" s="62"/>
      <c r="E603" s="62"/>
      <c r="F603" s="62"/>
    </row>
    <row r="604" spans="2:6" ht="15.75" customHeight="1" x14ac:dyDescent="0.4">
      <c r="B604" s="62"/>
      <c r="C604" s="62"/>
      <c r="D604" s="62"/>
      <c r="E604" s="62"/>
      <c r="F604" s="62"/>
    </row>
    <row r="605" spans="2:6" ht="15.75" customHeight="1" x14ac:dyDescent="0.4">
      <c r="B605" s="62"/>
      <c r="C605" s="62"/>
      <c r="D605" s="62"/>
      <c r="E605" s="62"/>
      <c r="F605" s="62"/>
    </row>
    <row r="606" spans="2:6" ht="15.75" customHeight="1" x14ac:dyDescent="0.4">
      <c r="B606" s="62"/>
      <c r="C606" s="62"/>
      <c r="D606" s="62"/>
      <c r="E606" s="62"/>
      <c r="F606" s="62"/>
    </row>
    <row r="607" spans="2:6" ht="15.75" customHeight="1" x14ac:dyDescent="0.4">
      <c r="B607" s="62"/>
      <c r="C607" s="62"/>
      <c r="D607" s="62"/>
      <c r="E607" s="62"/>
      <c r="F607" s="62"/>
    </row>
    <row r="608" spans="2:6" ht="15.75" customHeight="1" x14ac:dyDescent="0.4">
      <c r="B608" s="62"/>
      <c r="C608" s="62"/>
      <c r="D608" s="62"/>
      <c r="E608" s="62"/>
      <c r="F608" s="62"/>
    </row>
    <row r="609" spans="2:6" ht="15.75" customHeight="1" x14ac:dyDescent="0.4">
      <c r="B609" s="62"/>
      <c r="C609" s="62"/>
      <c r="D609" s="62"/>
      <c r="E609" s="62"/>
      <c r="F609" s="62"/>
    </row>
    <row r="610" spans="2:6" ht="15.75" customHeight="1" x14ac:dyDescent="0.4">
      <c r="B610" s="62"/>
      <c r="C610" s="62"/>
      <c r="D610" s="62"/>
      <c r="E610" s="62"/>
      <c r="F610" s="62"/>
    </row>
    <row r="611" spans="2:6" ht="15.75" customHeight="1" x14ac:dyDescent="0.4">
      <c r="B611" s="62"/>
      <c r="C611" s="62"/>
      <c r="D611" s="62"/>
      <c r="E611" s="62"/>
      <c r="F611" s="62"/>
    </row>
    <row r="612" spans="2:6" ht="15.75" customHeight="1" x14ac:dyDescent="0.4">
      <c r="B612" s="62"/>
      <c r="C612" s="62"/>
      <c r="D612" s="62"/>
      <c r="E612" s="62"/>
      <c r="F612" s="62"/>
    </row>
    <row r="613" spans="2:6" ht="15.75" customHeight="1" x14ac:dyDescent="0.4">
      <c r="B613" s="62"/>
      <c r="C613" s="62"/>
      <c r="D613" s="62"/>
      <c r="E613" s="62"/>
      <c r="F613" s="62"/>
    </row>
    <row r="614" spans="2:6" ht="15.75" customHeight="1" x14ac:dyDescent="0.4">
      <c r="B614" s="62"/>
      <c r="C614" s="62"/>
      <c r="D614" s="62"/>
      <c r="E614" s="62"/>
      <c r="F614" s="62"/>
    </row>
    <row r="615" spans="2:6" ht="15.75" customHeight="1" x14ac:dyDescent="0.4">
      <c r="B615" s="62"/>
      <c r="C615" s="62"/>
      <c r="D615" s="62"/>
      <c r="E615" s="62"/>
      <c r="F615" s="62"/>
    </row>
    <row r="616" spans="2:6" ht="15.75" customHeight="1" x14ac:dyDescent="0.4">
      <c r="B616" s="62"/>
      <c r="C616" s="62"/>
      <c r="D616" s="62"/>
      <c r="E616" s="62"/>
      <c r="F616" s="62"/>
    </row>
    <row r="617" spans="2:6" ht="15.75" customHeight="1" x14ac:dyDescent="0.4">
      <c r="B617" s="62"/>
      <c r="C617" s="62"/>
      <c r="D617" s="62"/>
      <c r="E617" s="62"/>
      <c r="F617" s="62"/>
    </row>
    <row r="618" spans="2:6" ht="15.75" customHeight="1" x14ac:dyDescent="0.4">
      <c r="B618" s="62"/>
      <c r="C618" s="62"/>
      <c r="D618" s="62"/>
      <c r="E618" s="62"/>
      <c r="F618" s="62"/>
    </row>
    <row r="619" spans="2:6" ht="15.75" customHeight="1" x14ac:dyDescent="0.4">
      <c r="B619" s="62"/>
      <c r="C619" s="62"/>
      <c r="D619" s="62"/>
      <c r="E619" s="62"/>
      <c r="F619" s="62"/>
    </row>
    <row r="620" spans="2:6" ht="15.75" customHeight="1" x14ac:dyDescent="0.4">
      <c r="B620" s="62"/>
      <c r="C620" s="62"/>
      <c r="D620" s="62"/>
      <c r="E620" s="62"/>
      <c r="F620" s="62"/>
    </row>
    <row r="621" spans="2:6" ht="15.75" customHeight="1" x14ac:dyDescent="0.4">
      <c r="B621" s="62"/>
      <c r="C621" s="62"/>
      <c r="D621" s="62"/>
      <c r="E621" s="62"/>
      <c r="F621" s="62"/>
    </row>
    <row r="622" spans="2:6" ht="15.75" customHeight="1" x14ac:dyDescent="0.4">
      <c r="B622" s="62"/>
      <c r="C622" s="62"/>
      <c r="D622" s="62"/>
      <c r="E622" s="62"/>
      <c r="F622" s="62"/>
    </row>
    <row r="623" spans="2:6" ht="15.75" customHeight="1" x14ac:dyDescent="0.4">
      <c r="B623" s="62"/>
      <c r="C623" s="62"/>
      <c r="D623" s="62"/>
      <c r="E623" s="62"/>
      <c r="F623" s="62"/>
    </row>
    <row r="624" spans="2:6" ht="15.75" customHeight="1" x14ac:dyDescent="0.4">
      <c r="B624" s="62"/>
      <c r="C624" s="62"/>
      <c r="D624" s="62"/>
      <c r="E624" s="62"/>
      <c r="F624" s="62"/>
    </row>
    <row r="625" spans="2:6" ht="15.75" customHeight="1" x14ac:dyDescent="0.4">
      <c r="B625" s="62"/>
      <c r="C625" s="62"/>
      <c r="D625" s="62"/>
      <c r="E625" s="62"/>
      <c r="F625" s="62"/>
    </row>
    <row r="626" spans="2:6" ht="15.75" customHeight="1" x14ac:dyDescent="0.4">
      <c r="B626" s="62"/>
      <c r="C626" s="62"/>
      <c r="D626" s="62"/>
      <c r="E626" s="62"/>
      <c r="F626" s="62"/>
    </row>
    <row r="627" spans="2:6" ht="15.75" customHeight="1" x14ac:dyDescent="0.4">
      <c r="B627" s="62"/>
      <c r="C627" s="62"/>
      <c r="D627" s="62"/>
      <c r="E627" s="62"/>
      <c r="F627" s="62"/>
    </row>
    <row r="628" spans="2:6" ht="15.75" customHeight="1" x14ac:dyDescent="0.4">
      <c r="B628" s="62"/>
      <c r="C628" s="62"/>
      <c r="D628" s="62"/>
      <c r="E628" s="62"/>
      <c r="F628" s="62"/>
    </row>
    <row r="629" spans="2:6" ht="15.75" customHeight="1" x14ac:dyDescent="0.4">
      <c r="B629" s="62"/>
      <c r="C629" s="62"/>
      <c r="D629" s="62"/>
      <c r="E629" s="62"/>
      <c r="F629" s="62"/>
    </row>
    <row r="630" spans="2:6" ht="15.75" customHeight="1" x14ac:dyDescent="0.4">
      <c r="B630" s="62"/>
      <c r="C630" s="62"/>
      <c r="D630" s="62"/>
      <c r="E630" s="62"/>
      <c r="F630" s="62"/>
    </row>
    <row r="631" spans="2:6" ht="15.75" customHeight="1" x14ac:dyDescent="0.4">
      <c r="B631" s="62"/>
      <c r="C631" s="62"/>
      <c r="D631" s="62"/>
      <c r="E631" s="62"/>
      <c r="F631" s="62"/>
    </row>
    <row r="632" spans="2:6" ht="15.75" customHeight="1" x14ac:dyDescent="0.4">
      <c r="B632" s="62"/>
      <c r="C632" s="62"/>
      <c r="D632" s="62"/>
      <c r="E632" s="62"/>
      <c r="F632" s="62"/>
    </row>
    <row r="633" spans="2:6" ht="15.75" customHeight="1" x14ac:dyDescent="0.4">
      <c r="B633" s="62"/>
      <c r="C633" s="62"/>
      <c r="D633" s="62"/>
      <c r="E633" s="62"/>
      <c r="F633" s="62"/>
    </row>
    <row r="634" spans="2:6" ht="15.75" customHeight="1" x14ac:dyDescent="0.4">
      <c r="B634" s="62"/>
      <c r="C634" s="62"/>
      <c r="D634" s="62"/>
      <c r="E634" s="62"/>
      <c r="F634" s="62"/>
    </row>
    <row r="635" spans="2:6" ht="15.75" customHeight="1" x14ac:dyDescent="0.4">
      <c r="B635" s="62"/>
      <c r="C635" s="62"/>
      <c r="D635" s="62"/>
      <c r="E635" s="62"/>
      <c r="F635" s="62"/>
    </row>
    <row r="636" spans="2:6" ht="15.75" customHeight="1" x14ac:dyDescent="0.4">
      <c r="B636" s="62"/>
      <c r="C636" s="62"/>
      <c r="D636" s="62"/>
      <c r="E636" s="62"/>
      <c r="F636" s="62"/>
    </row>
    <row r="637" spans="2:6" ht="15.75" customHeight="1" x14ac:dyDescent="0.4">
      <c r="B637" s="62"/>
      <c r="C637" s="62"/>
      <c r="D637" s="62"/>
      <c r="E637" s="62"/>
      <c r="F637" s="62"/>
    </row>
    <row r="638" spans="2:6" ht="15.75" customHeight="1" x14ac:dyDescent="0.4">
      <c r="B638" s="62"/>
      <c r="C638" s="62"/>
      <c r="D638" s="62"/>
      <c r="E638" s="62"/>
      <c r="F638" s="62"/>
    </row>
    <row r="639" spans="2:6" ht="15.75" customHeight="1" x14ac:dyDescent="0.4">
      <c r="B639" s="62"/>
      <c r="C639" s="62"/>
      <c r="D639" s="62"/>
      <c r="E639" s="62"/>
      <c r="F639" s="62"/>
    </row>
    <row r="640" spans="2:6" ht="15.75" customHeight="1" x14ac:dyDescent="0.4">
      <c r="B640" s="62"/>
      <c r="C640" s="62"/>
      <c r="D640" s="62"/>
      <c r="E640" s="62"/>
      <c r="F640" s="62"/>
    </row>
    <row r="641" spans="2:6" ht="15.75" customHeight="1" x14ac:dyDescent="0.4">
      <c r="B641" s="62"/>
      <c r="C641" s="62"/>
      <c r="D641" s="62"/>
      <c r="E641" s="62"/>
      <c r="F641" s="62"/>
    </row>
    <row r="642" spans="2:6" ht="15.75" customHeight="1" x14ac:dyDescent="0.4">
      <c r="B642" s="62"/>
      <c r="C642" s="62"/>
      <c r="D642" s="62"/>
      <c r="E642" s="62"/>
      <c r="F642" s="62"/>
    </row>
    <row r="643" spans="2:6" ht="15.75" customHeight="1" x14ac:dyDescent="0.4">
      <c r="B643" s="62"/>
      <c r="C643" s="62"/>
      <c r="D643" s="62"/>
      <c r="E643" s="62"/>
      <c r="F643" s="62"/>
    </row>
    <row r="644" spans="2:6" ht="15.75" customHeight="1" x14ac:dyDescent="0.4">
      <c r="B644" s="62"/>
      <c r="C644" s="62"/>
      <c r="D644" s="62"/>
      <c r="E644" s="62"/>
      <c r="F644" s="62"/>
    </row>
    <row r="645" spans="2:6" ht="15.75" customHeight="1" x14ac:dyDescent="0.4">
      <c r="B645" s="62"/>
      <c r="C645" s="62"/>
      <c r="D645" s="62"/>
      <c r="E645" s="62"/>
      <c r="F645" s="62"/>
    </row>
    <row r="646" spans="2:6" ht="15.75" customHeight="1" x14ac:dyDescent="0.4">
      <c r="B646" s="62"/>
      <c r="C646" s="62"/>
      <c r="D646" s="62"/>
      <c r="E646" s="62"/>
      <c r="F646" s="62"/>
    </row>
    <row r="647" spans="2:6" ht="15.75" customHeight="1" x14ac:dyDescent="0.4">
      <c r="B647" s="62"/>
      <c r="C647" s="62"/>
      <c r="D647" s="62"/>
      <c r="E647" s="62"/>
      <c r="F647" s="62"/>
    </row>
    <row r="648" spans="2:6" ht="15.75" customHeight="1" x14ac:dyDescent="0.4">
      <c r="B648" s="62"/>
      <c r="C648" s="62"/>
      <c r="D648" s="62"/>
      <c r="E648" s="62"/>
      <c r="F648" s="62"/>
    </row>
    <row r="649" spans="2:6" ht="15.75" customHeight="1" x14ac:dyDescent="0.4">
      <c r="B649" s="62"/>
      <c r="C649" s="62"/>
      <c r="D649" s="62"/>
      <c r="E649" s="62"/>
      <c r="F649" s="62"/>
    </row>
    <row r="650" spans="2:6" ht="15.75" customHeight="1" x14ac:dyDescent="0.4">
      <c r="B650" s="62"/>
      <c r="C650" s="62"/>
      <c r="D650" s="62"/>
      <c r="E650" s="62"/>
      <c r="F650" s="62"/>
    </row>
    <row r="651" spans="2:6" ht="15.75" customHeight="1" x14ac:dyDescent="0.4">
      <c r="B651" s="62"/>
      <c r="C651" s="62"/>
      <c r="D651" s="62"/>
      <c r="E651" s="62"/>
      <c r="F651" s="62"/>
    </row>
    <row r="652" spans="2:6" ht="15.75" customHeight="1" x14ac:dyDescent="0.4">
      <c r="B652" s="62"/>
      <c r="C652" s="62"/>
      <c r="D652" s="62"/>
      <c r="E652" s="62"/>
      <c r="F652" s="62"/>
    </row>
    <row r="653" spans="2:6" ht="15.75" customHeight="1" x14ac:dyDescent="0.4">
      <c r="B653" s="62"/>
      <c r="C653" s="62"/>
      <c r="D653" s="62"/>
      <c r="E653" s="62"/>
      <c r="F653" s="62"/>
    </row>
    <row r="654" spans="2:6" ht="15.75" customHeight="1" x14ac:dyDescent="0.4">
      <c r="B654" s="62"/>
      <c r="C654" s="62"/>
      <c r="D654" s="62"/>
      <c r="E654" s="62"/>
      <c r="F654" s="62"/>
    </row>
    <row r="655" spans="2:6" ht="15.75" customHeight="1" x14ac:dyDescent="0.4">
      <c r="B655" s="62"/>
      <c r="C655" s="62"/>
      <c r="D655" s="62"/>
      <c r="E655" s="62"/>
      <c r="F655" s="62"/>
    </row>
    <row r="656" spans="2:6" ht="15.75" customHeight="1" x14ac:dyDescent="0.4">
      <c r="B656" s="62"/>
      <c r="C656" s="62"/>
      <c r="D656" s="62"/>
      <c r="E656" s="62"/>
      <c r="F656" s="62"/>
    </row>
    <row r="657" spans="2:6" ht="15.75" customHeight="1" x14ac:dyDescent="0.4">
      <c r="B657" s="62"/>
      <c r="C657" s="62"/>
      <c r="D657" s="62"/>
      <c r="E657" s="62"/>
      <c r="F657" s="62"/>
    </row>
    <row r="658" spans="2:6" ht="15.75" customHeight="1" x14ac:dyDescent="0.4">
      <c r="B658" s="62"/>
      <c r="C658" s="62"/>
      <c r="D658" s="62"/>
      <c r="E658" s="62"/>
      <c r="F658" s="62"/>
    </row>
    <row r="659" spans="2:6" ht="15.75" customHeight="1" x14ac:dyDescent="0.4">
      <c r="B659" s="62"/>
      <c r="C659" s="62"/>
      <c r="D659" s="62"/>
      <c r="E659" s="62"/>
      <c r="F659" s="62"/>
    </row>
    <row r="660" spans="2:6" ht="15.75" customHeight="1" x14ac:dyDescent="0.4">
      <c r="B660" s="62"/>
      <c r="C660" s="62"/>
      <c r="D660" s="62"/>
      <c r="E660" s="62"/>
      <c r="F660" s="62"/>
    </row>
    <row r="661" spans="2:6" ht="15.75" customHeight="1" x14ac:dyDescent="0.4">
      <c r="B661" s="62"/>
      <c r="C661" s="62"/>
      <c r="D661" s="62"/>
      <c r="E661" s="62"/>
      <c r="F661" s="62"/>
    </row>
    <row r="662" spans="2:6" ht="15.75" customHeight="1" x14ac:dyDescent="0.4">
      <c r="B662" s="62"/>
      <c r="C662" s="62"/>
      <c r="D662" s="62"/>
      <c r="E662" s="62"/>
      <c r="F662" s="62"/>
    </row>
    <row r="663" spans="2:6" ht="15.75" customHeight="1" x14ac:dyDescent="0.4">
      <c r="B663" s="62"/>
      <c r="C663" s="62"/>
      <c r="D663" s="62"/>
      <c r="E663" s="62"/>
      <c r="F663" s="62"/>
    </row>
    <row r="664" spans="2:6" ht="15.75" customHeight="1" x14ac:dyDescent="0.4">
      <c r="B664" s="62"/>
      <c r="C664" s="62"/>
      <c r="D664" s="62"/>
      <c r="E664" s="62"/>
      <c r="F664" s="62"/>
    </row>
    <row r="665" spans="2:6" ht="15.75" customHeight="1" x14ac:dyDescent="0.4">
      <c r="B665" s="62"/>
      <c r="C665" s="62"/>
      <c r="D665" s="62"/>
      <c r="E665" s="62"/>
      <c r="F665" s="62"/>
    </row>
    <row r="666" spans="2:6" ht="15.75" customHeight="1" x14ac:dyDescent="0.4">
      <c r="B666" s="62"/>
      <c r="C666" s="62"/>
      <c r="D666" s="62"/>
      <c r="E666" s="62"/>
      <c r="F666" s="62"/>
    </row>
    <row r="667" spans="2:6" ht="15.75" customHeight="1" x14ac:dyDescent="0.4">
      <c r="B667" s="62"/>
      <c r="C667" s="62"/>
      <c r="D667" s="62"/>
      <c r="E667" s="62"/>
      <c r="F667" s="62"/>
    </row>
    <row r="668" spans="2:6" ht="15.75" customHeight="1" x14ac:dyDescent="0.4">
      <c r="B668" s="62"/>
      <c r="C668" s="62"/>
      <c r="D668" s="62"/>
      <c r="E668" s="62"/>
      <c r="F668" s="62"/>
    </row>
    <row r="669" spans="2:6" ht="15.75" customHeight="1" x14ac:dyDescent="0.4">
      <c r="B669" s="62"/>
      <c r="C669" s="62"/>
      <c r="D669" s="62"/>
      <c r="E669" s="62"/>
      <c r="F669" s="62"/>
    </row>
    <row r="670" spans="2:6" ht="15.75" customHeight="1" x14ac:dyDescent="0.4">
      <c r="B670" s="62"/>
      <c r="C670" s="62"/>
      <c r="D670" s="62"/>
      <c r="E670" s="62"/>
      <c r="F670" s="62"/>
    </row>
    <row r="671" spans="2:6" ht="15.75" customHeight="1" x14ac:dyDescent="0.4">
      <c r="B671" s="62"/>
      <c r="C671" s="62"/>
      <c r="D671" s="62"/>
      <c r="E671" s="62"/>
      <c r="F671" s="62"/>
    </row>
    <row r="672" spans="2:6" ht="15.75" customHeight="1" x14ac:dyDescent="0.4">
      <c r="B672" s="62"/>
      <c r="C672" s="62"/>
      <c r="D672" s="62"/>
      <c r="E672" s="62"/>
      <c r="F672" s="62"/>
    </row>
    <row r="673" spans="2:6" ht="15.75" customHeight="1" x14ac:dyDescent="0.4">
      <c r="B673" s="62"/>
      <c r="C673" s="62"/>
      <c r="D673" s="62"/>
      <c r="E673" s="62"/>
      <c r="F673" s="62"/>
    </row>
    <row r="674" spans="2:6" ht="15.75" customHeight="1" x14ac:dyDescent="0.4">
      <c r="B674" s="62"/>
      <c r="C674" s="62"/>
      <c r="D674" s="62"/>
      <c r="E674" s="62"/>
      <c r="F674" s="62"/>
    </row>
    <row r="675" spans="2:6" ht="15.75" customHeight="1" x14ac:dyDescent="0.4">
      <c r="B675" s="62"/>
      <c r="C675" s="62"/>
      <c r="D675" s="62"/>
      <c r="E675" s="62"/>
      <c r="F675" s="62"/>
    </row>
    <row r="676" spans="2:6" ht="15.75" customHeight="1" x14ac:dyDescent="0.4">
      <c r="B676" s="62"/>
      <c r="C676" s="62"/>
      <c r="D676" s="62"/>
      <c r="E676" s="62"/>
      <c r="F676" s="62"/>
    </row>
    <row r="677" spans="2:6" ht="15.75" customHeight="1" x14ac:dyDescent="0.4">
      <c r="B677" s="62"/>
      <c r="C677" s="62"/>
      <c r="D677" s="62"/>
      <c r="E677" s="62"/>
      <c r="F677" s="62"/>
    </row>
    <row r="678" spans="2:6" ht="15.75" customHeight="1" x14ac:dyDescent="0.4">
      <c r="B678" s="62"/>
      <c r="C678" s="62"/>
      <c r="D678" s="62"/>
      <c r="E678" s="62"/>
      <c r="F678" s="62"/>
    </row>
    <row r="679" spans="2:6" ht="15.75" customHeight="1" x14ac:dyDescent="0.4">
      <c r="B679" s="62"/>
      <c r="C679" s="62"/>
      <c r="D679" s="62"/>
      <c r="E679" s="62"/>
      <c r="F679" s="62"/>
    </row>
    <row r="680" spans="2:6" ht="15.75" customHeight="1" x14ac:dyDescent="0.4">
      <c r="B680" s="62"/>
      <c r="C680" s="62"/>
      <c r="D680" s="62"/>
      <c r="E680" s="62"/>
      <c r="F680" s="62"/>
    </row>
    <row r="681" spans="2:6" ht="15.75" customHeight="1" x14ac:dyDescent="0.4">
      <c r="B681" s="62"/>
      <c r="C681" s="62"/>
      <c r="D681" s="62"/>
      <c r="E681" s="62"/>
      <c r="F681" s="62"/>
    </row>
    <row r="682" spans="2:6" ht="15.75" customHeight="1" x14ac:dyDescent="0.4">
      <c r="B682" s="62"/>
      <c r="C682" s="62"/>
      <c r="D682" s="62"/>
      <c r="E682" s="62"/>
      <c r="F682" s="62"/>
    </row>
    <row r="683" spans="2:6" ht="15.75" customHeight="1" x14ac:dyDescent="0.4">
      <c r="B683" s="62"/>
      <c r="C683" s="62"/>
      <c r="D683" s="62"/>
      <c r="E683" s="62"/>
      <c r="F683" s="62"/>
    </row>
    <row r="684" spans="2:6" ht="15.75" customHeight="1" x14ac:dyDescent="0.4">
      <c r="B684" s="62"/>
      <c r="C684" s="62"/>
      <c r="D684" s="62"/>
      <c r="E684" s="62"/>
      <c r="F684" s="62"/>
    </row>
    <row r="685" spans="2:6" ht="15.75" customHeight="1" x14ac:dyDescent="0.4">
      <c r="B685" s="62"/>
      <c r="C685" s="62"/>
      <c r="D685" s="62"/>
      <c r="E685" s="62"/>
      <c r="F685" s="62"/>
    </row>
    <row r="686" spans="2:6" ht="15.75" customHeight="1" x14ac:dyDescent="0.4">
      <c r="B686" s="62"/>
      <c r="C686" s="62"/>
      <c r="D686" s="62"/>
      <c r="E686" s="62"/>
      <c r="F686" s="62"/>
    </row>
    <row r="687" spans="2:6" ht="15.75" customHeight="1" x14ac:dyDescent="0.4">
      <c r="B687" s="62"/>
      <c r="C687" s="62"/>
      <c r="D687" s="62"/>
      <c r="E687" s="62"/>
      <c r="F687" s="62"/>
    </row>
    <row r="688" spans="2:6" ht="15.75" customHeight="1" x14ac:dyDescent="0.4">
      <c r="B688" s="62"/>
      <c r="C688" s="62"/>
      <c r="D688" s="62"/>
      <c r="E688" s="62"/>
      <c r="F688" s="62"/>
    </row>
    <row r="689" spans="2:6" ht="15.75" customHeight="1" x14ac:dyDescent="0.4">
      <c r="B689" s="62"/>
      <c r="C689" s="62"/>
      <c r="D689" s="62"/>
      <c r="E689" s="62"/>
      <c r="F689" s="62"/>
    </row>
    <row r="690" spans="2:6" ht="15.75" customHeight="1" x14ac:dyDescent="0.4">
      <c r="B690" s="62"/>
      <c r="C690" s="62"/>
      <c r="D690" s="62"/>
      <c r="E690" s="62"/>
      <c r="F690" s="62"/>
    </row>
    <row r="691" spans="2:6" ht="15.75" customHeight="1" x14ac:dyDescent="0.4">
      <c r="B691" s="62"/>
      <c r="C691" s="62"/>
      <c r="D691" s="62"/>
      <c r="E691" s="62"/>
      <c r="F691" s="62"/>
    </row>
    <row r="692" spans="2:6" ht="15.75" customHeight="1" x14ac:dyDescent="0.4">
      <c r="B692" s="62"/>
      <c r="C692" s="62"/>
      <c r="D692" s="62"/>
      <c r="E692" s="62"/>
      <c r="F692" s="62"/>
    </row>
    <row r="693" spans="2:6" ht="15.75" customHeight="1" x14ac:dyDescent="0.4">
      <c r="B693" s="62"/>
      <c r="C693" s="62"/>
      <c r="D693" s="62"/>
      <c r="E693" s="62"/>
      <c r="F693" s="62"/>
    </row>
    <row r="694" spans="2:6" ht="15.75" customHeight="1" x14ac:dyDescent="0.4">
      <c r="B694" s="62"/>
      <c r="C694" s="62"/>
      <c r="D694" s="62"/>
      <c r="E694" s="62"/>
      <c r="F694" s="62"/>
    </row>
  </sheetData>
  <mergeCells count="28">
    <mergeCell ref="A129:A130"/>
    <mergeCell ref="A5:A7"/>
    <mergeCell ref="A8:A9"/>
    <mergeCell ref="A12:A14"/>
    <mergeCell ref="A3:A4"/>
    <mergeCell ref="A124:A126"/>
    <mergeCell ref="A21:A22"/>
    <mergeCell ref="A23:A25"/>
    <mergeCell ref="A35:A39"/>
    <mergeCell ref="A63:A64"/>
    <mergeCell ref="A30:A32"/>
    <mergeCell ref="A47:A48"/>
    <mergeCell ref="A51:A52"/>
    <mergeCell ref="A53:A54"/>
    <mergeCell ref="A55:A57"/>
    <mergeCell ref="A45:A46"/>
    <mergeCell ref="A67:A69"/>
    <mergeCell ref="A71:A72"/>
    <mergeCell ref="A75:A76"/>
    <mergeCell ref="A78:A79"/>
    <mergeCell ref="A81:A82"/>
    <mergeCell ref="A98:A100"/>
    <mergeCell ref="A102:A104"/>
    <mergeCell ref="A105:A108"/>
    <mergeCell ref="A83:A84"/>
    <mergeCell ref="A88:A89"/>
    <mergeCell ref="A90:A93"/>
    <mergeCell ref="A94:A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Progress Notes</vt:lpstr>
      <vt:lpstr>Opaque_Materials</vt:lpstr>
      <vt:lpstr>Window_Materials</vt:lpstr>
      <vt:lpstr>Layers</vt:lpstr>
      <vt:lpstr>Components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Blomsterberg</dc:creator>
  <cp:keywords/>
  <dc:description/>
  <cp:lastModifiedBy>Djamila mamedova</cp:lastModifiedBy>
  <cp:revision/>
  <dcterms:created xsi:type="dcterms:W3CDTF">2025-12-03T09:11:53Z</dcterms:created>
  <dcterms:modified xsi:type="dcterms:W3CDTF">2026-02-12T13:21:36Z</dcterms:modified>
  <cp:category/>
  <cp:contentStatus/>
</cp:coreProperties>
</file>